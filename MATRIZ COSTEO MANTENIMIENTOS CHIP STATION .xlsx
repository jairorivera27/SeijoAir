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.shortcut-targets-by-id\1Z5O8DZp0U5JdCZdTJABRH9oAWkBegDfI\ECOVIVIR COMPARTIDO CON TODOS 2025\016_Mantenimientos\006_En presupuesto\2025\Chip station\"/>
    </mc:Choice>
  </mc:AlternateContent>
  <xr:revisionPtr revIDLastSave="0" documentId="13_ncr:1_{C3E14986-6EAA-4452-8EE5-38BD5940531A}" xr6:coauthVersionLast="47" xr6:coauthVersionMax="47" xr10:uidLastSave="{00000000-0000-0000-0000-000000000000}"/>
  <bookViews>
    <workbookView xWindow="-120" yWindow="-120" windowWidth="20730" windowHeight="11160" activeTab="6" xr2:uid="{00000000-000D-0000-FFFF-FFFF00000000}"/>
  </bookViews>
  <sheets>
    <sheet name="DATOS INICIALES" sheetId="1" r:id="rId1"/>
    <sheet name="DATA PERSONAL" sheetId="2" state="hidden" r:id="rId2"/>
    <sheet name="SALARIOS" sheetId="3" r:id="rId3"/>
    <sheet name="TRANSPORTES" sheetId="4" r:id="rId4"/>
    <sheet name="DATOS INSU" sheetId="6" r:id="rId5"/>
    <sheet name="MATRIZ VENTA" sheetId="5" r:id="rId6"/>
    <sheet name="Oferta" sheetId="7" r:id="rId7"/>
    <sheet name="Hoja1" sheetId="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">#REF!</definedName>
    <definedName name="_A100006">#REF!</definedName>
    <definedName name="_Key1">'[1]BASE DE DATOS'!$A$250:$A$258</definedName>
    <definedName name="_Order1">255</definedName>
    <definedName name="_Order2">255</definedName>
    <definedName name="_Sort">'[1]BASE DE DATOS'!$A$248:$C$256</definedName>
    <definedName name="_TOT126">#REF!</definedName>
    <definedName name="A">'[2]TABLA AMORTIZACIÓN'!$D$12</definedName>
    <definedName name="A_1">#REF!</definedName>
    <definedName name="A_2">#REF!</definedName>
    <definedName name="A_3">#REF!</definedName>
    <definedName name="A_4">#REF!</definedName>
    <definedName name="abriendo">'[3]FORMATO LIMPIO'!$F$180</definedName>
    <definedName name="acces">#REF!</definedName>
    <definedName name="ACTIVAR">'[3]FORMATO LIMPIO'!$A$190</definedName>
    <definedName name="Acto">#REF!</definedName>
    <definedName name="Acto_inseguro">#REF!</definedName>
    <definedName name="Actualiza">#REF!</definedName>
    <definedName name="ACTUALIZACION">#REF!</definedName>
    <definedName name="ad">#REF!</definedName>
    <definedName name="ADMINISTRACION">'[4]3_ANALISIS_A'!$E$63</definedName>
    <definedName name="Agente_causante">#REF!</definedName>
    <definedName name="aguasjugos">#REF!</definedName>
    <definedName name="alcance">#REF!</definedName>
    <definedName name="ANEXOS">#REF!</definedName>
    <definedName name="Anio">[5]paramentros!$H$6:$H$12</definedName>
    <definedName name="AntBD">[6]BD!$K$2:$K$603</definedName>
    <definedName name="años">#REF!</definedName>
    <definedName name="Apellido">'[7]BD SNC ST)'!$N$2:$N$3003</definedName>
    <definedName name="Area">#REF!</definedName>
    <definedName name="AreBD">[6]BD!$F$2:$F$603</definedName>
    <definedName name="as">#REF!</definedName>
    <definedName name="Ass">[8]VALORACIÓN!$G$2:$G$3</definedName>
    <definedName name="autonomas">#REF!</definedName>
    <definedName name="Avance_de_la_acción_en">#REF!</definedName>
    <definedName name="B">#REF!</definedName>
    <definedName name="base">'[1]BASE DE DATOS'!$B$6:$D$39</definedName>
    <definedName name="basedatos">'[1]BASE DE DATOS'!$B$6:$D$39</definedName>
    <definedName name="BORDER">#REF!</definedName>
    <definedName name="borrar">#REF!</definedName>
    <definedName name="bu">_F3C4</definedName>
    <definedName name="buscaR">_F3C4</definedName>
    <definedName name="cal">#REF!</definedName>
    <definedName name="CAPACITACIONES">#REF!</definedName>
    <definedName name="Cargo">#REF!</definedName>
    <definedName name="Cargo_origen">#REF!</definedName>
    <definedName name="cargos">#REF!</definedName>
    <definedName name="cat">[9]Hoja2!$A$2:$A$9</definedName>
    <definedName name="categoria">#REF!</definedName>
    <definedName name="causa">#REF!</definedName>
    <definedName name="ccc">#REF!</definedName>
    <definedName name="cd">#REF!</definedName>
    <definedName name="ced">[10]valoracion!$B$64:$B$67</definedName>
    <definedName name="certificaciones_ISO">#REF!</definedName>
    <definedName name="CERTIFICADOS">#REF!</definedName>
    <definedName name="ciu">#REF!</definedName>
    <definedName name="ciudad">#REF!</definedName>
    <definedName name="codcargo">#REF!</definedName>
    <definedName name="Codigos">[11]!Productos[CÓDIGO]</definedName>
    <definedName name="COMPLEMENTAR_EL_PROYECTO_SAP7R3_EN_TODAS_LAS_PLANTAS">#REF!</definedName>
    <definedName name="COMPLETAA">#REF!</definedName>
    <definedName name="Comprobantes">'[12]Tabla de Comprobantes'!$A$3:$A$65</definedName>
    <definedName name="Condición">#REF!</definedName>
    <definedName name="Condición_insegura">[13]Datos!$E$7+[13]Datos!$H$7:$H$30</definedName>
    <definedName name="Conformidad_de_productos._Resultados_del_mes.">#REF!</definedName>
    <definedName name="consultadas">#REF!</definedName>
    <definedName name="contables">#REF!</definedName>
    <definedName name="CUADRO">#REF!</definedName>
    <definedName name="day">[5]paramentros!$F$6:$F$36</definedName>
    <definedName name="dd">[14]valoracion!$B$27:$B$30</definedName>
    <definedName name="definitiva">#REF!</definedName>
    <definedName name="DESARROLLAR_EL_PLAN_DE_FORMACION_DE_LA_VICEPRESIDENCIA_DE_MANUFACTURA">#REF!</definedName>
    <definedName name="descripcion">#REF!</definedName>
    <definedName name="DescRx">#REF!</definedName>
    <definedName name="detallerela">#REF!</definedName>
    <definedName name="detalleve">#REF!</definedName>
    <definedName name="determinante">#REF!</definedName>
    <definedName name="Día">#REF!</definedName>
    <definedName name="Día___ocurrencia_o_reporte">#REF!</definedName>
    <definedName name="dimecon">#REF!</definedName>
    <definedName name="din">#REF!</definedName>
    <definedName name="dina">#REF!</definedName>
    <definedName name="direccion">#REF!</definedName>
    <definedName name="directo">#REF!</definedName>
    <definedName name="DOCUMENTAL">#REF!</definedName>
    <definedName name="DOCUMENTALNA">#REF!</definedName>
    <definedName name="DOS">_F6C3:_F10C4</definedName>
    <definedName name="DUR_CONTRATO">'[4]0_PARAMETROS'!$B$24</definedName>
    <definedName name="EdaBD">[6]BD!$I$2:$I$603</definedName>
    <definedName name="educacion">#REF!</definedName>
    <definedName name="eee">[15]LISTAS!$M$1:$M$55</definedName>
    <definedName name="ELEMENTOS">#REF!</definedName>
    <definedName name="EPI4.2">#REF!</definedName>
    <definedName name="EQUIPOS">#REF!</definedName>
    <definedName name="Escala">#REF!</definedName>
    <definedName name="escrito">#REF!</definedName>
    <definedName name="estadistico">#REF!</definedName>
    <definedName name="Estado">#REF!</definedName>
    <definedName name="estados">[16]PARAMETROS!$A$2:$A$11</definedName>
    <definedName name="evaluaciones_internas">#REF!</definedName>
    <definedName name="EVENTO">#REF!</definedName>
    <definedName name="EXAMENES">#REF!</definedName>
    <definedName name="excel">#REF!</definedName>
    <definedName name="experiencia">#REF!</definedName>
    <definedName name="Factores_causales">#REF!</definedName>
    <definedName name="Factores_personales">#REF!</definedName>
    <definedName name="fecha">#REF!</definedName>
    <definedName name="fididi">[10]valoracion!$B$15:$B$18</definedName>
    <definedName name="formacion">#REF!</definedName>
    <definedName name="FUENTE">#REF!</definedName>
    <definedName name="funcion">#REF!</definedName>
    <definedName name="gerencia">#REF!</definedName>
    <definedName name="Gerencia_destino">#REF!</definedName>
    <definedName name="Gerencia_origen">#REF!</definedName>
    <definedName name="gporx">#REF!</definedName>
    <definedName name="GRAVEDAD">[17]LISTAS!$L$3:$L$1048576</definedName>
    <definedName name="GUIA">#REF!</definedName>
    <definedName name="GUIA02">#REF!</definedName>
    <definedName name="habilidad">#REF!</definedName>
    <definedName name="HCoBD">[6]BD!$P$2:$P$603</definedName>
    <definedName name="hht">#REF!</definedName>
    <definedName name="HOJA1">#REF!</definedName>
    <definedName name="horario">#REF!</definedName>
    <definedName name="horat">#REF!</definedName>
    <definedName name="imprela">#REF!</definedName>
    <definedName name="impresion">#REF!</definedName>
    <definedName name="IMPREVISTOS">'[4]4_ANALISIS_I'!$D$22</definedName>
    <definedName name="indirecto">#REF!</definedName>
    <definedName name="inexistente">#REF!</definedName>
    <definedName name="Ingeniero">#REF!</definedName>
    <definedName name="iniciativa">#REF!</definedName>
    <definedName name="INICIO">#REF!</definedName>
    <definedName name="INTxADTIVO">#REF!</definedName>
    <definedName name="INTxELIMINAC">#REF!</definedName>
    <definedName name="INTxEPP">#REF!</definedName>
    <definedName name="investigacion">#REF!</definedName>
    <definedName name="ivan">[15]VALORACIÓN!$B$15:$B$18</definedName>
    <definedName name="J">#REF!</definedName>
    <definedName name="JORNADA">[17]LISTAS!$F$3:$F$1048576</definedName>
    <definedName name="JORNADAS">[17]LISTAS!$E$3:$E$1048576</definedName>
    <definedName name="jug">#REF!</definedName>
    <definedName name="LAS_VACANTES_FABRICA">#REF!</definedName>
    <definedName name="Limón">#REF!</definedName>
    <definedName name="lISTA">#REF!</definedName>
    <definedName name="Lista_Departamentos">[18]Parametros!$C$4:$C$36</definedName>
    <definedName name="Lista_Modalidad">[18]Parametros!$E$4:$E$13</definedName>
    <definedName name="Lista_Negocios">'[18]Tabla 0. Base'!$E$5:$E$19</definedName>
    <definedName name="lista1">#REF!</definedName>
    <definedName name="los_voluntarios">#REF!</definedName>
    <definedName name="LU">_F6C3:_F11C4</definedName>
    <definedName name="LUIS">_F6C3:_F10C4</definedName>
    <definedName name="Medidadecontrol">#REF!</definedName>
    <definedName name="Mes">#REF!</definedName>
    <definedName name="N">'[2]TABLA AMORTIZACIÓN'!$D$9</definedName>
    <definedName name="Naturaleza">#REF!</definedName>
    <definedName name="NivBD">[6]BD!$G$2:$G$603</definedName>
    <definedName name="nivel">#REF!</definedName>
    <definedName name="Nivel4">#REF!</definedName>
    <definedName name="NivelCons">[19]valoracion!$B$64:$B$67</definedName>
    <definedName name="NivelDEf">[19]valoracion!$B$15:$B$18</definedName>
    <definedName name="NivelExp">[19]valoracion!$B$27:$B$30</definedName>
    <definedName name="No">#REF!</definedName>
    <definedName name="NomBD">[6]BD!$O$2:$O$603</definedName>
    <definedName name="Nombre">'[7]BD SNC ST)'!$M$2:$M$3003</definedName>
    <definedName name="nomcargo">#REF!</definedName>
    <definedName name="nompers_BTCOM">#REF!</definedName>
    <definedName name="nompers_BTCOMa">#REF!</definedName>
    <definedName name="numeroa">#REF!</definedName>
    <definedName name="numerob">#REF!</definedName>
    <definedName name="objetivo">#REF!</definedName>
    <definedName name="oral">#REF!</definedName>
    <definedName name="Origen">#REF!</definedName>
    <definedName name="otro">#REF!</definedName>
    <definedName name="otros">#REF!</definedName>
    <definedName name="participantes">#REF!</definedName>
    <definedName name="password">#REF!</definedName>
    <definedName name="password1">#REF!</definedName>
    <definedName name="PC">'[12]Tabla de Comprobantes'!$E$3:$E$14</definedName>
    <definedName name="PEP4.2">#REF!</definedName>
    <definedName name="PERMISOS">#REF!</definedName>
    <definedName name="PersonalBTCOM">[20]Personal_BTCOM!$B$3:$B$108</definedName>
    <definedName name="persuacion">#REF!</definedName>
    <definedName name="PLAN_EN_BIOTECNOLOGIA">#REF!</definedName>
    <definedName name="PosibleCons">#REF!</definedName>
    <definedName name="PosibleConsecuencia">#REF!</definedName>
    <definedName name="powerpoint">#REF!</definedName>
    <definedName name="pr">#REF!</definedName>
    <definedName name="presion">#REF!</definedName>
    <definedName name="Priority">[21]Sheet1!$M$11:$M$14</definedName>
    <definedName name="pro">#REF!</definedName>
    <definedName name="PROCEDIMIENTO">#REF!</definedName>
    <definedName name="PROCESO">#REF!</definedName>
    <definedName name="procesos">#REF!</definedName>
    <definedName name="prod_no_conforme">#REF!</definedName>
    <definedName name="Producto_en_proceso.__Resultados_del_mes.">#REF!</definedName>
    <definedName name="Producto_Terminado.">#REF!</definedName>
    <definedName name="productos">#REF!</definedName>
    <definedName name="profesion">#REF!</definedName>
    <definedName name="progreso">[16]PARAMETROS!#REF!</definedName>
    <definedName name="proyectos">#REF!</definedName>
    <definedName name="responsables">[16]!Tabla2[[#All],[RESPONSABLES]]</definedName>
    <definedName name="resultado">#REF!</definedName>
    <definedName name="RSSBD">[6]BD!$E$2:$E$603</definedName>
    <definedName name="SALBD">'[7]BD SNC ST)'!$AF$2:$AF$3003</definedName>
    <definedName name="Satisfacción__de_Clientes">#REF!</definedName>
    <definedName name="SegmentaciónDeDatos_CLASIFICACIÓN">#REF!</definedName>
    <definedName name="SegmentaciónDeDatos_ESPECÍFICO">#REF!</definedName>
    <definedName name="SegmentaciónDeDatos_PELIGRO">#REF!</definedName>
    <definedName name="SegmentaciónDeDatos_RIESGO">#REF!</definedName>
    <definedName name="Si">#REF!</definedName>
    <definedName name="significativa">#REF!</definedName>
    <definedName name="sise">#REF!</definedName>
    <definedName name="SISTEMAS">#REF!</definedName>
    <definedName name="sitios_anex_cgeog">[20]Anexo_CGeograf.!$G$5:$G$345</definedName>
    <definedName name="SlicerCache_Table_1_Col_1">#REF!</definedName>
    <definedName name="SlicerCache_Table_1_Col_2">#REF!</definedName>
    <definedName name="SlicerCache_Table_1_Col_3">#REF!</definedName>
    <definedName name="SlicerCache_Table_1_Col_4">#REF!</definedName>
    <definedName name="SN">[19]valoracion!$G$2:$G$3</definedName>
    <definedName name="SS">[15]LISTAS!$E$2:$E$173</definedName>
    <definedName name="sss">[15]LISTAS!$I$1:$I$69</definedName>
    <definedName name="Status">#REF!</definedName>
    <definedName name="tabi">#REF!</definedName>
    <definedName name="TABLA10">#REF!</definedName>
    <definedName name="TABLA11">#REF!</definedName>
    <definedName name="TABLA6">#REF!</definedName>
    <definedName name="TABLA7">#REF!</definedName>
    <definedName name="TABLA8">#REF!</definedName>
    <definedName name="TABLA9">#REF!</definedName>
    <definedName name="TABMES">#REF!</definedName>
    <definedName name="TABMES1">#REF!</definedName>
    <definedName name="TABMES2">#REF!</definedName>
    <definedName name="TABMES3">#REF!</definedName>
    <definedName name="TABMES4">#REF!</definedName>
    <definedName name="TABMES5">#REF!</definedName>
    <definedName name="TAREAS">#REF!</definedName>
    <definedName name="tdecision">#REF!</definedName>
    <definedName name="temasirapido">#REF!</definedName>
    <definedName name="tiempo">#REF!</definedName>
    <definedName name="tiempoA">#REF!</definedName>
    <definedName name="tip">#REF!</definedName>
    <definedName name="Tipo">[11]Auxiliar!$A$3:$A$5</definedName>
    <definedName name="Tipo_de_accidente">#REF!</definedName>
    <definedName name="TipoRx">#REF!</definedName>
    <definedName name="TIT">#REF!</definedName>
    <definedName name="TITULAR">#REF!</definedName>
    <definedName name="total_evaluacion_calidad">#REF!</definedName>
    <definedName name="trayectoria">#REF!</definedName>
    <definedName name="trayectoriaA">#REF!</definedName>
    <definedName name="trequerido">#REF!</definedName>
    <definedName name="Type">'[22]Maintenance Work Order'!#REF!</definedName>
    <definedName name="U">_F6C3:_F12C4</definedName>
    <definedName name="unidadcorp">#REF!</definedName>
    <definedName name="unidadneg">#REF!</definedName>
    <definedName name="unidadneg1">#REF!</definedName>
    <definedName name="unidadneg2">#REF!</definedName>
    <definedName name="unidadneg3">#REF!</definedName>
    <definedName name="unidadneg4">#REF!</definedName>
    <definedName name="UR">_F6C3:_F12C4</definedName>
    <definedName name="US">_F6C3:_F12C4</definedName>
    <definedName name="usu">#REF!</definedName>
    <definedName name="usua">_F6C3:_F10C4</definedName>
    <definedName name="usuario">#REF!</definedName>
    <definedName name="usuario1">#REF!</definedName>
    <definedName name="vehiculo">#REF!</definedName>
    <definedName name="vestrateg">#REF!</definedName>
    <definedName name="viaje">#REF!</definedName>
    <definedName name="vicepresidencia">#REF!</definedName>
    <definedName name="VP">'[2]TABLA AMORTIZACIÓN'!$D$7</definedName>
    <definedName name="word">#REF!</definedName>
    <definedName name="wrn.ActivosDeprecyAmortizaciones.">#REF!</definedName>
    <definedName name="wrn.Balance.">#REF!</definedName>
    <definedName name="wrn.CifraVentasRenault.">#REF!</definedName>
    <definedName name="wrn.CifraVentasToyota.">#REF!</definedName>
    <definedName name="wrn.P._.y._.G.">#REF!</definedName>
    <definedName name="wrn.PiezasLocalesRenault.">#REF!</definedName>
    <definedName name="wrn.PiezasLocalesToyota.">#REF!</definedName>
    <definedName name="XXX">[15]LISTAS!$C$2:$C$112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35" roundtripDataChecksum="OjEjH2ed0hbdTqskZrk/5f0hOa89QVGww0l5MkneDf0="/>
    </ext>
  </extLst>
</workbook>
</file>

<file path=xl/calcChain.xml><?xml version="1.0" encoding="utf-8"?>
<calcChain xmlns="http://schemas.openxmlformats.org/spreadsheetml/2006/main">
  <c r="N9" i="4" l="1"/>
  <c r="E5" i="6"/>
  <c r="F29" i="6"/>
  <c r="D29" i="6"/>
  <c r="E29" i="6" s="1"/>
  <c r="E30" i="6"/>
  <c r="E9" i="6"/>
  <c r="E10" i="6"/>
  <c r="E11" i="6"/>
  <c r="D2" i="5"/>
  <c r="C8" i="7"/>
  <c r="C7" i="7"/>
  <c r="C5" i="7"/>
  <c r="E53" i="6"/>
  <c r="F53" i="6" s="1"/>
  <c r="E9" i="4"/>
  <c r="C49" i="5"/>
  <c r="E49" i="5" s="1"/>
  <c r="G9" i="7" s="1"/>
  <c r="H9" i="7" s="1"/>
  <c r="F9" i="7" s="1"/>
  <c r="E51" i="6"/>
  <c r="B60" i="6"/>
  <c r="E60" i="6" s="1"/>
  <c r="F60" i="6" s="1"/>
  <c r="B61" i="6"/>
  <c r="E61" i="6" s="1"/>
  <c r="F61" i="6" s="1"/>
  <c r="B59" i="6"/>
  <c r="E59" i="6" s="1"/>
  <c r="F59" i="6" s="1"/>
  <c r="E45" i="6"/>
  <c r="E46" i="6"/>
  <c r="B46" i="6"/>
  <c r="B44" i="6"/>
  <c r="E52" i="6"/>
  <c r="F52" i="6" s="1"/>
  <c r="H52" i="6" s="1"/>
  <c r="G46" i="6"/>
  <c r="G44" i="6"/>
  <c r="D46" i="6"/>
  <c r="D44" i="6"/>
  <c r="G28" i="6"/>
  <c r="G27" i="6"/>
  <c r="Q11" i="3"/>
  <c r="D23" i="3"/>
  <c r="E23" i="3"/>
  <c r="F23" i="3"/>
  <c r="G23" i="3"/>
  <c r="H23" i="3"/>
  <c r="I23" i="3"/>
  <c r="J23" i="3"/>
  <c r="C23" i="3"/>
  <c r="H61" i="6" l="1"/>
  <c r="E44" i="6"/>
  <c r="H53" i="6"/>
  <c r="H59" i="6"/>
  <c r="I9" i="7"/>
  <c r="E9" i="7"/>
  <c r="F51" i="6"/>
  <c r="H51" i="6" s="1"/>
  <c r="K22" i="3" l="1"/>
  <c r="L22" i="3" s="1"/>
  <c r="K21" i="3"/>
  <c r="L21" i="3" s="1"/>
  <c r="K20" i="3"/>
  <c r="L20" i="3" s="1"/>
  <c r="H23" i="1" l="1"/>
  <c r="D28" i="6"/>
  <c r="E28" i="6" s="1"/>
  <c r="D27" i="6"/>
  <c r="E27" i="6" s="1"/>
  <c r="B4" i="8" l="1"/>
  <c r="I89" i="6"/>
  <c r="J86" i="6" s="1"/>
  <c r="D88" i="6"/>
  <c r="D87" i="6"/>
  <c r="D89" i="6" s="1"/>
  <c r="I81" i="6"/>
  <c r="J87" i="6" s="1"/>
  <c r="J80" i="6"/>
  <c r="J81" i="6" s="1"/>
  <c r="C80" i="6"/>
  <c r="D80" i="6" s="1"/>
  <c r="D79" i="6"/>
  <c r="B70" i="6"/>
  <c r="D70" i="6" s="1"/>
  <c r="D69" i="6"/>
  <c r="D67" i="6"/>
  <c r="H60" i="6"/>
  <c r="E12" i="6"/>
  <c r="I9" i="6"/>
  <c r="J9" i="6" s="1"/>
  <c r="E8" i="6"/>
  <c r="E7" i="6"/>
  <c r="E6" i="6"/>
  <c r="D47" i="5"/>
  <c r="B9" i="4"/>
  <c r="K6" i="4"/>
  <c r="H6" i="4"/>
  <c r="N5" i="4"/>
  <c r="E5" i="4"/>
  <c r="B5" i="4"/>
  <c r="B10" i="4" s="1"/>
  <c r="B74" i="2"/>
  <c r="B72" i="2"/>
  <c r="B70" i="2"/>
  <c r="B69" i="2"/>
  <c r="B68" i="2"/>
  <c r="B67" i="2"/>
  <c r="B71" i="2" s="1"/>
  <c r="G63" i="2"/>
  <c r="H63" i="2" s="1"/>
  <c r="G62" i="2"/>
  <c r="H62" i="2" s="1"/>
  <c r="G61" i="2"/>
  <c r="G60" i="2"/>
  <c r="H60" i="2" s="1"/>
  <c r="G59" i="2"/>
  <c r="H59" i="2" s="1"/>
  <c r="G58" i="2"/>
  <c r="H58" i="2" s="1"/>
  <c r="G57" i="2"/>
  <c r="G56" i="2"/>
  <c r="H56" i="2" s="1"/>
  <c r="G51" i="2"/>
  <c r="H51" i="2" s="1"/>
  <c r="G50" i="2"/>
  <c r="H50" i="2" s="1"/>
  <c r="G49" i="2"/>
  <c r="G48" i="2"/>
  <c r="H48" i="2" s="1"/>
  <c r="G47" i="2"/>
  <c r="H47" i="2" s="1"/>
  <c r="G46" i="2"/>
  <c r="H46" i="2" s="1"/>
  <c r="G45" i="2"/>
  <c r="G44" i="2"/>
  <c r="H44" i="2" s="1"/>
  <c r="G43" i="2"/>
  <c r="H43" i="2" s="1"/>
  <c r="G42" i="2"/>
  <c r="H42" i="2" s="1"/>
  <c r="G41" i="2"/>
  <c r="G40" i="2"/>
  <c r="H40" i="2" s="1"/>
  <c r="G39" i="2"/>
  <c r="H39" i="2" s="1"/>
  <c r="G38" i="2"/>
  <c r="H38" i="2" s="1"/>
  <c r="G37" i="2"/>
  <c r="G36" i="2"/>
  <c r="H36" i="2" s="1"/>
  <c r="G35" i="2"/>
  <c r="H35" i="2" s="1"/>
  <c r="G34" i="2"/>
  <c r="H34" i="2" s="1"/>
  <c r="G33" i="2"/>
  <c r="F28" i="2"/>
  <c r="G28" i="2" s="1"/>
  <c r="F27" i="2"/>
  <c r="G26" i="2" s="1"/>
  <c r="F26" i="2"/>
  <c r="F25" i="2"/>
  <c r="C24" i="2"/>
  <c r="F24" i="2" s="1"/>
  <c r="F23" i="2"/>
  <c r="F22" i="2"/>
  <c r="G22" i="2" s="1"/>
  <c r="F21" i="2"/>
  <c r="F20" i="2"/>
  <c r="G20" i="2" s="1"/>
  <c r="F19" i="2"/>
  <c r="F18" i="2"/>
  <c r="G18" i="2" s="1"/>
  <c r="F13" i="2"/>
  <c r="F12" i="2"/>
  <c r="F11" i="2"/>
  <c r="F14" i="2" s="1"/>
  <c r="E5" i="2"/>
  <c r="F5" i="2" s="1"/>
  <c r="E4" i="2"/>
  <c r="E3" i="2"/>
  <c r="F3" i="2" s="1"/>
  <c r="E30" i="1"/>
  <c r="C51" i="5" s="1"/>
  <c r="E51" i="5" s="1"/>
  <c r="H22" i="1"/>
  <c r="H21" i="1"/>
  <c r="C21" i="1"/>
  <c r="E37" i="6" s="1"/>
  <c r="F37" i="6" s="1"/>
  <c r="D15" i="1"/>
  <c r="D14" i="1"/>
  <c r="D13" i="1"/>
  <c r="E10" i="4" l="1"/>
  <c r="C50" i="5" s="1"/>
  <c r="E50" i="5" s="1"/>
  <c r="E52" i="5" s="1"/>
  <c r="E53" i="5" s="1"/>
  <c r="G3" i="2"/>
  <c r="J88" i="6"/>
  <c r="C6" i="7"/>
  <c r="E35" i="6"/>
  <c r="F35" i="6" s="1"/>
  <c r="H35" i="6" s="1"/>
  <c r="E36" i="6"/>
  <c r="F36" i="6" s="1"/>
  <c r="H36" i="6" s="1"/>
  <c r="E38" i="6"/>
  <c r="F38" i="6" s="1"/>
  <c r="H38" i="6" s="1"/>
  <c r="D14" i="5"/>
  <c r="D36" i="5"/>
  <c r="D25" i="5"/>
  <c r="H62" i="6"/>
  <c r="E41" i="5" s="1"/>
  <c r="D16" i="1"/>
  <c r="E20" i="6" s="1"/>
  <c r="F20" i="6" s="1"/>
  <c r="H20" i="6" s="1"/>
  <c r="G5" i="2"/>
  <c r="G24" i="2"/>
  <c r="F29" i="2"/>
  <c r="G23" i="2"/>
  <c r="G21" i="2"/>
  <c r="G19" i="2"/>
  <c r="G12" i="2"/>
  <c r="F4" i="2"/>
  <c r="J89" i="6"/>
  <c r="G13" i="2"/>
  <c r="G25" i="2"/>
  <c r="H33" i="2"/>
  <c r="H37" i="2"/>
  <c r="H41" i="2"/>
  <c r="H45" i="2"/>
  <c r="H49" i="2"/>
  <c r="H57" i="2"/>
  <c r="H64" i="2" s="1"/>
  <c r="H61" i="2"/>
  <c r="G52" i="2"/>
  <c r="G27" i="2"/>
  <c r="G11" i="2"/>
  <c r="G14" i="2" s="1"/>
  <c r="C7" i="3" s="1"/>
  <c r="G64" i="2"/>
  <c r="G29" i="2" l="1"/>
  <c r="C5" i="3"/>
  <c r="C13" i="3"/>
  <c r="D13" i="3" s="1"/>
  <c r="D7" i="3"/>
  <c r="F7" i="3" s="1"/>
  <c r="G4" i="2"/>
  <c r="C6" i="3"/>
  <c r="D5" i="3"/>
  <c r="C11" i="3"/>
  <c r="D11" i="3" s="1"/>
  <c r="H39" i="6"/>
  <c r="E19" i="5" s="1"/>
  <c r="F13" i="3"/>
  <c r="E13" i="3"/>
  <c r="G13" i="3"/>
  <c r="H13" i="3"/>
  <c r="E7" i="3"/>
  <c r="G10" i="7"/>
  <c r="H10" i="7" s="1"/>
  <c r="F10" i="7" s="1"/>
  <c r="E10" i="7" s="1"/>
  <c r="G71" i="6"/>
  <c r="E21" i="6"/>
  <c r="F21" i="6" s="1"/>
  <c r="H21" i="6" s="1"/>
  <c r="E17" i="6"/>
  <c r="F17" i="6" s="1"/>
  <c r="H17" i="6" s="1"/>
  <c r="E18" i="6"/>
  <c r="E19" i="6"/>
  <c r="F19" i="6" s="1"/>
  <c r="H19" i="6" s="1"/>
  <c r="J70" i="6"/>
  <c r="J67" i="6"/>
  <c r="J71" i="6"/>
  <c r="J69" i="6"/>
  <c r="J68" i="6"/>
  <c r="H52" i="2"/>
  <c r="G7" i="3" l="1"/>
  <c r="H7" i="3"/>
  <c r="C12" i="3"/>
  <c r="D12" i="3" s="1"/>
  <c r="D6" i="3"/>
  <c r="H11" i="3"/>
  <c r="G11" i="3"/>
  <c r="E11" i="3"/>
  <c r="F11" i="3"/>
  <c r="E5" i="3"/>
  <c r="G5" i="3"/>
  <c r="F5" i="3"/>
  <c r="H5" i="3"/>
  <c r="F18" i="6"/>
  <c r="H18" i="6" s="1"/>
  <c r="K7" i="3"/>
  <c r="K13" i="3" s="1"/>
  <c r="M7" i="3"/>
  <c r="M13" i="3" s="1"/>
  <c r="E28" i="5" s="1"/>
  <c r="L7" i="3"/>
  <c r="L13" i="3" s="1"/>
  <c r="E17" i="5" s="1"/>
  <c r="N7" i="3"/>
  <c r="N13" i="3" s="1"/>
  <c r="E39" i="5" s="1"/>
  <c r="H22" i="6"/>
  <c r="E7" i="5" s="1"/>
  <c r="I10" i="7"/>
  <c r="J72" i="6"/>
  <c r="E8" i="5" s="1"/>
  <c r="H6" i="3" l="1"/>
  <c r="G6" i="3"/>
  <c r="F6" i="3"/>
  <c r="E6" i="3"/>
  <c r="E12" i="3"/>
  <c r="G12" i="3"/>
  <c r="F12" i="3"/>
  <c r="L6" i="3" s="1"/>
  <c r="L12" i="3" s="1"/>
  <c r="H12" i="3"/>
  <c r="L5" i="3"/>
  <c r="L11" i="3" s="1"/>
  <c r="E16" i="5" s="1"/>
  <c r="E20" i="5" s="1"/>
  <c r="E21" i="5" s="1"/>
  <c r="E22" i="5" s="1"/>
  <c r="G6" i="7" s="1"/>
  <c r="H6" i="7" s="1"/>
  <c r="K5" i="3"/>
  <c r="K11" i="3" s="1"/>
  <c r="M5" i="3"/>
  <c r="M11" i="3" s="1"/>
  <c r="N5" i="3"/>
  <c r="N11" i="3" s="1"/>
  <c r="E5" i="5"/>
  <c r="N6" i="3" l="1"/>
  <c r="N12" i="3" s="1"/>
  <c r="E38" i="5" s="1"/>
  <c r="E42" i="5" s="1"/>
  <c r="E43" i="5" s="1"/>
  <c r="E44" i="5" s="1"/>
  <c r="G8" i="7" s="1"/>
  <c r="H8" i="7" s="1"/>
  <c r="M6" i="3"/>
  <c r="M12" i="3" s="1"/>
  <c r="E27" i="5" s="1"/>
  <c r="K6" i="3"/>
  <c r="K12" i="3" s="1"/>
  <c r="E4" i="5" s="1"/>
  <c r="F6" i="7"/>
  <c r="E6" i="7" s="1"/>
  <c r="I6" i="7"/>
  <c r="F8" i="7" l="1"/>
  <c r="E8" i="7" s="1"/>
  <c r="I8" i="7"/>
  <c r="E9" i="5"/>
  <c r="E10" i="5" s="1"/>
  <c r="E11" i="5" s="1"/>
  <c r="H54" i="6"/>
  <c r="E30" i="5" s="1"/>
  <c r="E31" i="5" l="1"/>
  <c r="E32" i="5" s="1"/>
  <c r="E33" i="5" s="1"/>
  <c r="G7" i="7" s="1"/>
  <c r="G5" i="7"/>
  <c r="H7" i="7" l="1"/>
  <c r="F7" i="7" s="1"/>
  <c r="G11" i="7"/>
  <c r="H5" i="7"/>
  <c r="F5" i="7" s="1"/>
  <c r="E7" i="7" l="1"/>
  <c r="I7" i="7"/>
  <c r="E5" i="7"/>
  <c r="I5" i="7"/>
  <c r="F11" i="7" l="1"/>
  <c r="H11" i="7" l="1"/>
  <c r="I11" i="7" s="1"/>
  <c r="J11" i="7" s="1"/>
  <c r="F12" i="7"/>
  <c r="H12" i="7" s="1"/>
  <c r="F13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87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======
ID#AAABkUaZglE
tc={7FDFC8AC-C3EF-41BC-BA1E-A082012C3F20}    (2025-05-20 19:56:36)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Equipo de soldadura</t>
        </r>
      </text>
    </comment>
    <comment ref="C88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======
ID#AAABkUaZglA
tc={A97DBED9-8CF2-4F34-8211-B6ACEE794251}    (2025-05-20 19:56:36)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ECC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A95Mm72zvh0+rD/VDSUiKLUkwRA=="/>
    </ext>
  </extLst>
</comments>
</file>

<file path=xl/sharedStrings.xml><?xml version="1.0" encoding="utf-8"?>
<sst xmlns="http://schemas.openxmlformats.org/spreadsheetml/2006/main" count="596" uniqueCount="330">
  <si>
    <t>CLIENTE</t>
  </si>
  <si>
    <t>FECHA ENVÍO PROPUESTA</t>
  </si>
  <si>
    <t>HORARIO PERMITIDO</t>
  </si>
  <si>
    <t>Diurno</t>
  </si>
  <si>
    <t>SISO ASIGNADO</t>
  </si>
  <si>
    <t>EQUIPOS A INTERVENIR</t>
  </si>
  <si>
    <t xml:space="preserve">Tipo de Precipitador </t>
  </si>
  <si>
    <t>Cantidad de Equipos</t>
  </si>
  <si>
    <t>Total Celdas Equivalentes</t>
  </si>
  <si>
    <t xml:space="preserve">Acceso </t>
  </si>
  <si>
    <t xml:space="preserve">Frecuencia </t>
  </si>
  <si>
    <t xml:space="preserve">Campana (2x1x0.6 m) </t>
  </si>
  <si>
    <t>Frecuencia Campana</t>
  </si>
  <si>
    <t>Acceso Campana</t>
  </si>
  <si>
    <t>Sencillo</t>
  </si>
  <si>
    <t>Semestral</t>
  </si>
  <si>
    <t>Doble</t>
  </si>
  <si>
    <t>Triple</t>
  </si>
  <si>
    <t>Total Equivalentes</t>
  </si>
  <si>
    <t>Tipo de Ventilador</t>
  </si>
  <si>
    <t>Cantidad</t>
  </si>
  <si>
    <t xml:space="preserve">Fercuencia Ventilador </t>
  </si>
  <si>
    <t xml:space="preserve">Dificultad </t>
  </si>
  <si>
    <t>Ducto (0.35x0.35x2) m</t>
  </si>
  <si>
    <t xml:space="preserve">Frecuencia Ducto </t>
  </si>
  <si>
    <t xml:space="preserve">Acceso Ducto </t>
  </si>
  <si>
    <t xml:space="preserve">Motor con flujo interno </t>
  </si>
  <si>
    <t>semestral</t>
  </si>
  <si>
    <t>Andamio 140 x 74 dos cuerpos de 2m</t>
  </si>
  <si>
    <t xml:space="preserve">Semestral </t>
  </si>
  <si>
    <t>Escalera</t>
  </si>
  <si>
    <t xml:space="preserve">Motor con fjujo externo </t>
  </si>
  <si>
    <t>Total Ventiladores</t>
  </si>
  <si>
    <t>m2</t>
  </si>
  <si>
    <t>Otros Costos</t>
  </si>
  <si>
    <t>Tramos de ducto equivalentes</t>
  </si>
  <si>
    <t>Nombre repuesto o material o servicio</t>
  </si>
  <si>
    <t>Unidad</t>
  </si>
  <si>
    <t>Costo</t>
  </si>
  <si>
    <t>Proveedor</t>
  </si>
  <si>
    <t>Total</t>
  </si>
  <si>
    <t>SALARIOS</t>
  </si>
  <si>
    <t>Nivel</t>
  </si>
  <si>
    <t>Nómina</t>
  </si>
  <si>
    <t>Aux. Transporte</t>
  </si>
  <si>
    <t>Rodamiento</t>
  </si>
  <si>
    <t>Subtotal</t>
  </si>
  <si>
    <t>COSTO DIA</t>
  </si>
  <si>
    <t>COSTO HORA</t>
  </si>
  <si>
    <t>Fecha del Dato</t>
  </si>
  <si>
    <t>Operario 1</t>
  </si>
  <si>
    <t>Operario 2</t>
  </si>
  <si>
    <t xml:space="preserve">Ingeniero </t>
  </si>
  <si>
    <t>CURSOS Y EXAMENES OPERARIOS E INGENIEROS</t>
  </si>
  <si>
    <t>Descripción Curso o Examen</t>
  </si>
  <si>
    <t>Tipo Elemento</t>
  </si>
  <si>
    <t>Und. Medida</t>
  </si>
  <si>
    <t>Factor de Uso / Meses Depreciación</t>
  </si>
  <si>
    <t>COSTO UNITARIO</t>
  </si>
  <si>
    <t>COSTO MENSUAL</t>
  </si>
  <si>
    <t>Trabajo en alturas</t>
  </si>
  <si>
    <t>Curso</t>
  </si>
  <si>
    <t>Und</t>
  </si>
  <si>
    <t>coordinador en alturas</t>
  </si>
  <si>
    <t>EMO</t>
  </si>
  <si>
    <t>Exámen</t>
  </si>
  <si>
    <t>DOTACIÓN Y E.P.P.  CLASE 1</t>
  </si>
  <si>
    <t>Descripción Elemento</t>
  </si>
  <si>
    <t>Cantidad por Vigencia</t>
  </si>
  <si>
    <t>Guantes de vaqueta</t>
  </si>
  <si>
    <t>E.P.P.</t>
  </si>
  <si>
    <t>Guantes de soldador</t>
  </si>
  <si>
    <t>Careta de soldadura</t>
  </si>
  <si>
    <t>Respirador</t>
  </si>
  <si>
    <t>Lentes de seguridad</t>
  </si>
  <si>
    <t>Botas de seguridad</t>
  </si>
  <si>
    <t>Arnés</t>
  </si>
  <si>
    <t>Línea de vida</t>
  </si>
  <si>
    <t>Jean</t>
  </si>
  <si>
    <t>Dotación</t>
  </si>
  <si>
    <t>Camisa</t>
  </si>
  <si>
    <t>Casco</t>
  </si>
  <si>
    <t>KIT DE HERRAMIENTA PERSONAL  CLASE 1</t>
  </si>
  <si>
    <t>DESCRIPCIÓN CLASE:</t>
  </si>
  <si>
    <t>Descripción Herramienta Personal</t>
  </si>
  <si>
    <t>MANTENIMIENTO</t>
  </si>
  <si>
    <t>Rotomartillo</t>
  </si>
  <si>
    <t>Herr. de Trabajo</t>
  </si>
  <si>
    <t>Taladro lámina</t>
  </si>
  <si>
    <t>Pulidora</t>
  </si>
  <si>
    <t>Almadana</t>
  </si>
  <si>
    <t>Martillo</t>
  </si>
  <si>
    <t>Equipo de soldadura</t>
  </si>
  <si>
    <t>Destornilaldor estrella</t>
  </si>
  <si>
    <t>Destornilllador pala</t>
  </si>
  <si>
    <t>Llave expansión</t>
  </si>
  <si>
    <t>Espatula</t>
  </si>
  <si>
    <t>Hombresolo</t>
  </si>
  <si>
    <t>Pistola de silicona</t>
  </si>
  <si>
    <t>Alicates</t>
  </si>
  <si>
    <t>Plomada</t>
  </si>
  <si>
    <t>Tijeras de lámina</t>
  </si>
  <si>
    <t>Sierra de drywall</t>
  </si>
  <si>
    <t>Brocas rotomartillo</t>
  </si>
  <si>
    <t>Cepillo de alambre</t>
  </si>
  <si>
    <t>KIT DE HERRAMIENTA PERSONAL  CLASE 2</t>
  </si>
  <si>
    <t>Computador</t>
  </si>
  <si>
    <t>Herr. TICS</t>
  </si>
  <si>
    <t>Láser</t>
  </si>
  <si>
    <t>Flexometro</t>
  </si>
  <si>
    <t>Tripode</t>
  </si>
  <si>
    <t>Anemometro</t>
  </si>
  <si>
    <t>Pinza amperimetrica</t>
  </si>
  <si>
    <t>Tacometro</t>
  </si>
  <si>
    <t>Multimetro</t>
  </si>
  <si>
    <t>Días laborales</t>
  </si>
  <si>
    <t>Días festivos</t>
  </si>
  <si>
    <t>vacaciones</t>
  </si>
  <si>
    <t>Ausentismo</t>
  </si>
  <si>
    <t>Total días al año</t>
  </si>
  <si>
    <t>Horas laborales semana</t>
  </si>
  <si>
    <t>Hras laborales día</t>
  </si>
  <si>
    <t>MANO DE OBRA PERSONAL EJECUTOR</t>
  </si>
  <si>
    <t xml:space="preserve">Empleado </t>
  </si>
  <si>
    <t>Salario día</t>
  </si>
  <si>
    <t>Valor Hora</t>
  </si>
  <si>
    <t>Valor tiempo Diurno</t>
  </si>
  <si>
    <t>Recargo nocturno</t>
  </si>
  <si>
    <t xml:space="preserve">Concepto </t>
  </si>
  <si>
    <t>% Equivalente</t>
  </si>
  <si>
    <t>Salud Pensión Empresa</t>
  </si>
  <si>
    <t xml:space="preserve">Salud Pensión empleado </t>
  </si>
  <si>
    <t>Coordinador</t>
  </si>
  <si>
    <t>ARL Empresa R5</t>
  </si>
  <si>
    <t>Caja de compensación</t>
  </si>
  <si>
    <t>Cesantías</t>
  </si>
  <si>
    <t xml:space="preserve">Interés Cesantías </t>
  </si>
  <si>
    <t xml:space="preserve">Prima </t>
  </si>
  <si>
    <t>Tener en cuenta tiempo de trabajo y de desplazamientos</t>
  </si>
  <si>
    <t xml:space="preserve">Total </t>
  </si>
  <si>
    <t>COSTOS POR TRANSPORTES / ALQUILER DE HERRAMIENTAS / RODAMIENTOS</t>
  </si>
  <si>
    <t xml:space="preserve">Andamio/día </t>
  </si>
  <si>
    <t>Transporte de Insumos y celdas</t>
  </si>
  <si>
    <t>¿Se Alquila Andamio?</t>
  </si>
  <si>
    <t>no</t>
  </si>
  <si>
    <t>¿Se Alquila Escalera ?</t>
  </si>
  <si>
    <t>Rodamiento/ operarios</t>
  </si>
  <si>
    <t xml:space="preserve">Días Andamio </t>
  </si>
  <si>
    <t>Costo Transporte de insumos área metropolitana</t>
  </si>
  <si>
    <t>trayectos</t>
  </si>
  <si>
    <t>total Andamio</t>
  </si>
  <si>
    <t>Costo Total transporte de insumos</t>
  </si>
  <si>
    <t xml:space="preserve">Costo Transporte </t>
  </si>
  <si>
    <t>Total Rodamientos</t>
  </si>
  <si>
    <t xml:space="preserve">Costo transporte Andamio </t>
  </si>
  <si>
    <t>Costo por Escalera</t>
  </si>
  <si>
    <t>Escalera/día</t>
  </si>
  <si>
    <t>Días Escalera</t>
  </si>
  <si>
    <t>Costo Transporte de insumos Rionegro</t>
  </si>
  <si>
    <t>total Escalera</t>
  </si>
  <si>
    <t>Costo Arriendo Equipos</t>
  </si>
  <si>
    <t>si</t>
  </si>
  <si>
    <t>ecovivir2023</t>
  </si>
  <si>
    <t>Descripción</t>
  </si>
  <si>
    <t>Costos</t>
  </si>
  <si>
    <t>Mano de obra</t>
  </si>
  <si>
    <t>Carga Salarial operativa</t>
  </si>
  <si>
    <t>Carga Salarial coordinador</t>
  </si>
  <si>
    <t>SST</t>
  </si>
  <si>
    <t>Transporte</t>
  </si>
  <si>
    <t>Insumos</t>
  </si>
  <si>
    <t>Otros costos</t>
  </si>
  <si>
    <t>Recursos para lavado de celdas</t>
  </si>
  <si>
    <t xml:space="preserve">Imprevistos </t>
  </si>
  <si>
    <t>Otros</t>
  </si>
  <si>
    <t>* Gastos fijos</t>
  </si>
  <si>
    <t>TOTAL</t>
  </si>
  <si>
    <t>COSTOS POR INSUMOS</t>
  </si>
  <si>
    <t>DATOS INSUMOS PRECIPITADORES</t>
  </si>
  <si>
    <t xml:space="preserve">Insumo </t>
  </si>
  <si>
    <t>Contenido por unidad</t>
  </si>
  <si>
    <t>Unidad de medida</t>
  </si>
  <si>
    <t xml:space="preserve">Costo/unidad </t>
  </si>
  <si>
    <t>Costo/Unidad medida</t>
  </si>
  <si>
    <t>Unidad de Medida (costo)</t>
  </si>
  <si>
    <t>Desincrustante</t>
  </si>
  <si>
    <t>L</t>
  </si>
  <si>
    <t>$/L</t>
  </si>
  <si>
    <t>Desengrasante Behrlan</t>
  </si>
  <si>
    <t>Estopa Fina</t>
  </si>
  <si>
    <t>Kg</t>
  </si>
  <si>
    <t>$/Kg</t>
  </si>
  <si>
    <t xml:space="preserve">Estopa Normal </t>
  </si>
  <si>
    <t>kg</t>
  </si>
  <si>
    <t>Toalla Cocina Pacx6Rollos</t>
  </si>
  <si>
    <t>Rollo</t>
  </si>
  <si>
    <t>$/Rollo</t>
  </si>
  <si>
    <t>Toalla Cocina Pacx3Rollos</t>
  </si>
  <si>
    <t>Bolsa Negra Pacx50</t>
  </si>
  <si>
    <t xml:space="preserve">Paquete </t>
  </si>
  <si>
    <t>$/Bolsa</t>
  </si>
  <si>
    <t>CONSUMOS Y COSTOS POR PRECIPITADORES</t>
  </si>
  <si>
    <t>Consumo promedio por Celda/equipo</t>
  </si>
  <si>
    <t>unidad de medida (consumo)</t>
  </si>
  <si>
    <t>Factor de Seguridad</t>
  </si>
  <si>
    <t>Consumo total / Celdas /o equipos</t>
  </si>
  <si>
    <t>Consumo /Rutina</t>
  </si>
  <si>
    <t>Cotos por Insumo/Rutina</t>
  </si>
  <si>
    <t>Desengrasante Hornos</t>
  </si>
  <si>
    <t>L/celda</t>
  </si>
  <si>
    <t>Kg/Celdas</t>
  </si>
  <si>
    <t>L/Equipo</t>
  </si>
  <si>
    <t>kg/celda</t>
  </si>
  <si>
    <t>Kg/Equipo</t>
  </si>
  <si>
    <t>Bolsa Basura Pacx50</t>
  </si>
  <si>
    <t>Paquete/celda</t>
  </si>
  <si>
    <t>Bolsa/Equipo</t>
  </si>
  <si>
    <t>DATOS INSUMOS VENTILADORES</t>
  </si>
  <si>
    <t>$/Kilo</t>
  </si>
  <si>
    <t xml:space="preserve">$/Litro </t>
  </si>
  <si>
    <t>Grasa lubricacion</t>
  </si>
  <si>
    <t xml:space="preserve">Gramos/tubo </t>
  </si>
  <si>
    <t>$/gramo</t>
  </si>
  <si>
    <t>CONSUMO Y COSTOS VENTILADORES</t>
  </si>
  <si>
    <t>Consumo promedio por ventilador</t>
  </si>
  <si>
    <t>Consumo total</t>
  </si>
  <si>
    <t>kg/ventila</t>
  </si>
  <si>
    <t>Litro/ventila</t>
  </si>
  <si>
    <t>Tubo/Ventila</t>
  </si>
  <si>
    <t>g/Equipo</t>
  </si>
  <si>
    <t>DATOS INSUMOS CAMPANAS</t>
  </si>
  <si>
    <t xml:space="preserve">Litros </t>
  </si>
  <si>
    <t>CONSUMO Y COSTOS CAMPANAS</t>
  </si>
  <si>
    <t>Consumo promedio campana (2x1x0.6) m</t>
  </si>
  <si>
    <t xml:space="preserve">Veces Equivalentes para un Campana de      (2 x 1 x 0,6) m </t>
  </si>
  <si>
    <t>Litro/campana</t>
  </si>
  <si>
    <t>L/Campana</t>
  </si>
  <si>
    <t>CONSUMO Y COSTOS DUCTOS</t>
  </si>
  <si>
    <t>Consumo promedio por Ducto                           (0,35 x 0,35 x 2) m</t>
  </si>
  <si>
    <t xml:space="preserve">Veces Equivalentes para un Ducto de       (0,35 x 0,35 x 2) m </t>
  </si>
  <si>
    <t>COSTOS POR RECURSOS PARA LAVADO DE CELDAS</t>
  </si>
  <si>
    <t>Recurso para lavado de celdas</t>
  </si>
  <si>
    <t xml:space="preserve">Consumo/ Herramienta </t>
  </si>
  <si>
    <t xml:space="preserve">Costos </t>
  </si>
  <si>
    <t>Consumo/ Celda</t>
  </si>
  <si>
    <t>Consumo total/ Rutina</t>
  </si>
  <si>
    <t>Tanque de Agua</t>
  </si>
  <si>
    <t>Litros</t>
  </si>
  <si>
    <t>$/Tanque</t>
  </si>
  <si>
    <t>Tanque/celda</t>
  </si>
  <si>
    <t xml:space="preserve">Electricidad Hidro </t>
  </si>
  <si>
    <t>KW/Hora</t>
  </si>
  <si>
    <t>$/KW-Hora</t>
  </si>
  <si>
    <t>Hora/celda</t>
  </si>
  <si>
    <t xml:space="preserve">Cosumo Agua y Alcantarillado </t>
  </si>
  <si>
    <t>L/min</t>
  </si>
  <si>
    <t>$/m3</t>
  </si>
  <si>
    <t xml:space="preserve">min/hidro </t>
  </si>
  <si>
    <t xml:space="preserve">Costo Fijo Agua y Alacantarillado </t>
  </si>
  <si>
    <t>$/mes</t>
  </si>
  <si>
    <t>$/hora</t>
  </si>
  <si>
    <t>Otros (guantes, jabón, espátula…)</t>
  </si>
  <si>
    <t>N/A</t>
  </si>
  <si>
    <t xml:space="preserve">$/otros </t>
  </si>
  <si>
    <t>$/otros</t>
  </si>
  <si>
    <t>INVERSIÓN INICIAL INFRAESTRUCTURA Y HERRAMIENTA</t>
  </si>
  <si>
    <t>Carga según %uso /mes</t>
  </si>
  <si>
    <t xml:space="preserve">Celdas </t>
  </si>
  <si>
    <t xml:space="preserve">% uso </t>
  </si>
  <si>
    <t>Vida Util / Mes</t>
  </si>
  <si>
    <t>Consumo por garantía Promedio / mes</t>
  </si>
  <si>
    <t>Costo/Mes</t>
  </si>
  <si>
    <t>Costos x Generales/Mes</t>
  </si>
  <si>
    <t>Costos x Fabricato/Mes</t>
  </si>
  <si>
    <t>Costos x Bogotá/Mes</t>
  </si>
  <si>
    <t xml:space="preserve">Generales </t>
  </si>
  <si>
    <t xml:space="preserve">Fabricato </t>
  </si>
  <si>
    <t xml:space="preserve">Bogotá </t>
  </si>
  <si>
    <t>OTRAS HERRAMIENTAS</t>
  </si>
  <si>
    <t>DESCRIPCIÓN</t>
  </si>
  <si>
    <t>CANT</t>
  </si>
  <si>
    <t>UN</t>
  </si>
  <si>
    <t>V/R UNITARIO COP</t>
  </si>
  <si>
    <t>V/R TOTAL COP</t>
  </si>
  <si>
    <t xml:space="preserve">COSTO </t>
  </si>
  <si>
    <t>VENTA</t>
  </si>
  <si>
    <t>UTILIDAD</t>
  </si>
  <si>
    <t>%</t>
  </si>
  <si>
    <t>Mantenimiento preventivo para precipitador electrostático</t>
  </si>
  <si>
    <t>UND</t>
  </si>
  <si>
    <t>TOTAL ANTES DE IVA</t>
  </si>
  <si>
    <t>Precipitador</t>
  </si>
  <si>
    <t>Ductos y rejilla</t>
  </si>
  <si>
    <t>precipitador</t>
  </si>
  <si>
    <t>Fecha
Actualización</t>
  </si>
  <si>
    <t>Mantenimiento preventivo para ventilador</t>
  </si>
  <si>
    <t>Mantenimiento preventivo para campana</t>
  </si>
  <si>
    <t>Mantenimiento preventivo para ducto</t>
  </si>
  <si>
    <t>ML</t>
  </si>
  <si>
    <t>Número de camapanas</t>
  </si>
  <si>
    <t>HORAS DIURNAS</t>
  </si>
  <si>
    <t>HORAS NOCTURNAS</t>
  </si>
  <si>
    <t>DIAS</t>
  </si>
  <si>
    <t>ventilador</t>
  </si>
  <si>
    <t>campana</t>
  </si>
  <si>
    <t>ducto</t>
  </si>
  <si>
    <t>TOTALES</t>
  </si>
  <si>
    <t>Totales</t>
  </si>
  <si>
    <t>Ventilador</t>
  </si>
  <si>
    <t>Camapana</t>
  </si>
  <si>
    <t>Ducto</t>
  </si>
  <si>
    <t>Valor Recaregto Nocturno</t>
  </si>
  <si>
    <t>Prestaciones</t>
  </si>
  <si>
    <t>MATRIZ DE VENTA PRECIPITADOR</t>
  </si>
  <si>
    <t>MATRIZ DE VENTA VENTILADOR</t>
  </si>
  <si>
    <t>MATRIZ DE VENTA CAMPANA</t>
  </si>
  <si>
    <t>MATRIZ DE VENTA DUCTO</t>
  </si>
  <si>
    <t>Logistica y transporte</t>
  </si>
  <si>
    <t>MATRIZ DE SST Y LOGISTICA Y TRANSPORTE</t>
  </si>
  <si>
    <t>Andamio</t>
  </si>
  <si>
    <t>Bimestral</t>
  </si>
  <si>
    <t>TOTAL IVA INCLUIDO</t>
  </si>
  <si>
    <t>IVA 19%</t>
  </si>
  <si>
    <t>Esponjas de alambre</t>
  </si>
  <si>
    <t>Un</t>
  </si>
  <si>
    <t>$/Unidad</t>
  </si>
  <si>
    <t>Unidad/Equipo</t>
  </si>
  <si>
    <t>Parqueadero</t>
  </si>
  <si>
    <t>Bandas</t>
  </si>
  <si>
    <t>Chip Station HONGO - DUCTOS - CAMPANAS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</si>
</sst>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[$-F800]dddd\,\ mmmm\ dd\,\ yyyy"/>
    <numFmt numFmtId="165" formatCode="_-&quot;$&quot;\ * #,##0.00_-;\-&quot;$&quot;\ * #,##0.00_-;_-&quot;$&quot;\ * &quot;-&quot;??_-;_-@"/>
    <numFmt numFmtId="166" formatCode="_-&quot;$&quot;\ * #,##0_-;\-&quot;$&quot;\ * #,##0_-;_-&quot;$&quot;\ * &quot;-&quot;??_-;_-@"/>
    <numFmt numFmtId="167" formatCode="_-&quot;$&quot;\ * #,##0_-;\-&quot;$&quot;\ * #,##0_-;_-&quot;$&quot;\ * &quot;-&quot;_-;_-@"/>
    <numFmt numFmtId="168" formatCode="[$-C0A]d\-mmm\-yy"/>
    <numFmt numFmtId="169" formatCode="_-&quot;$&quot;* #,##0_-;\-&quot;$&quot;* #,##0_-;_-&quot;$&quot;* &quot;-&quot;_-;_-@"/>
    <numFmt numFmtId="170" formatCode="0.000000"/>
    <numFmt numFmtId="171" formatCode="d/m/yyyy"/>
    <numFmt numFmtId="172" formatCode="0.0"/>
    <numFmt numFmtId="173" formatCode="_-&quot;$&quot;\ * #,##0.0_-;\-&quot;$&quot;\ * #,##0.0_-;_-&quot;$&quot;\ * &quot;-&quot;?_-;_-@"/>
    <numFmt numFmtId="174" formatCode="_(&quot;$&quot;\ * #,##0_);_(&quot;$&quot;\ * \(#,##0\);_(&quot;$&quot;\ * &quot;-&quot;??_);_(@_)"/>
  </numFmts>
  <fonts count="44">
    <font>
      <sz val="11"/>
      <color theme="1"/>
      <name val="Calibri"/>
      <scheme val="minor"/>
    </font>
    <font>
      <sz val="11"/>
      <color theme="1"/>
      <name val="Century Gothic"/>
      <family val="2"/>
    </font>
    <font>
      <b/>
      <sz val="9"/>
      <color theme="0"/>
      <name val="Century Gothic"/>
      <family val="2"/>
    </font>
    <font>
      <sz val="11"/>
      <color theme="0"/>
      <name val="Century Gothic"/>
      <family val="2"/>
    </font>
    <font>
      <sz val="11"/>
      <name val="Calibri"/>
      <family val="2"/>
    </font>
    <font>
      <sz val="9"/>
      <color theme="1"/>
      <name val="Century Gothic"/>
      <family val="2"/>
    </font>
    <font>
      <b/>
      <sz val="11"/>
      <color rgb="FFC00000"/>
      <name val="Century Gothic"/>
      <family val="2"/>
    </font>
    <font>
      <b/>
      <u/>
      <sz val="11"/>
      <color theme="1"/>
      <name val="Century Gothic"/>
      <family val="2"/>
    </font>
    <font>
      <sz val="11"/>
      <color rgb="FFC00000"/>
      <name val="Century Gothic"/>
      <family val="2"/>
    </font>
    <font>
      <b/>
      <sz val="11"/>
      <color theme="0"/>
      <name val="Century Gothic"/>
      <family val="2"/>
    </font>
    <font>
      <b/>
      <sz val="10"/>
      <color theme="0"/>
      <name val="Century Gothic"/>
      <family val="2"/>
    </font>
    <font>
      <sz val="10"/>
      <color theme="1"/>
      <name val="Century Gothic"/>
      <family val="2"/>
    </font>
    <font>
      <b/>
      <sz val="10"/>
      <color rgb="FFC00000"/>
      <name val="Century Gothic"/>
      <family val="2"/>
    </font>
    <font>
      <sz val="10"/>
      <color theme="0"/>
      <name val="Century Gothic"/>
      <family val="2"/>
    </font>
    <font>
      <b/>
      <sz val="10"/>
      <color rgb="FFFF0000"/>
      <name val="Century Gothic"/>
      <family val="2"/>
    </font>
    <font>
      <sz val="10"/>
      <color rgb="FFC00000"/>
      <name val="Century Gothic"/>
      <family val="2"/>
    </font>
    <font>
      <sz val="11"/>
      <color rgb="FFFF0000"/>
      <name val="Century Gothic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8"/>
      <color theme="1"/>
      <name val="Century Gothic"/>
      <family val="2"/>
    </font>
    <font>
      <sz val="9"/>
      <color theme="0"/>
      <name val="Century Gothic"/>
      <family val="2"/>
    </font>
    <font>
      <b/>
      <sz val="9"/>
      <color rgb="FFFF0000"/>
      <name val="Century Gothic"/>
      <family val="2"/>
    </font>
    <font>
      <b/>
      <sz val="20"/>
      <color rgb="FFC00000"/>
      <name val="Century Gothic"/>
      <family val="2"/>
    </font>
    <font>
      <b/>
      <sz val="8"/>
      <color rgb="FFC00000"/>
      <name val="Century Gothic"/>
      <family val="2"/>
    </font>
    <font>
      <sz val="8"/>
      <color theme="0"/>
      <name val="Century Gothic"/>
      <family val="2"/>
    </font>
    <font>
      <b/>
      <sz val="9"/>
      <color theme="1"/>
      <name val="Century Gothic"/>
      <family val="2"/>
    </font>
    <font>
      <b/>
      <sz val="8"/>
      <color theme="0"/>
      <name val="Century Gothic"/>
      <family val="2"/>
    </font>
    <font>
      <b/>
      <sz val="8"/>
      <color theme="1"/>
      <name val="Century Gothic"/>
      <family val="2"/>
    </font>
    <font>
      <sz val="8"/>
      <color rgb="FFFF0000"/>
      <name val="Century Gothic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9"/>
      <name val="Century Gothic"/>
      <family val="2"/>
    </font>
    <font>
      <b/>
      <sz val="12"/>
      <color theme="0"/>
      <name val="Century Gothic"/>
      <family val="2"/>
    </font>
    <font>
      <sz val="11"/>
      <color rgb="FFFF0000"/>
      <name val="Calibri"/>
      <family val="2"/>
    </font>
    <font>
      <b/>
      <sz val="10"/>
      <name val="Corbel"/>
      <family val="2"/>
    </font>
    <font>
      <sz val="10"/>
      <name val="Corbel"/>
      <family val="2"/>
    </font>
    <font>
      <sz val="11"/>
      <name val="Calibri"/>
      <scheme val="minor"/>
    </font>
    <font>
      <b/>
      <sz val="9"/>
      <name val="Corbel"/>
      <family val="2"/>
    </font>
    <font>
      <sz val="8"/>
      <name val="Corbel"/>
      <family val="2"/>
    </font>
    <font>
      <b/>
      <sz val="8"/>
      <name val="Corbel"/>
      <family val="2"/>
    </font>
    <font>
      <sz val="8"/>
      <name val="Century Gothic"/>
      <family val="2"/>
    </font>
    <font>
      <b/>
      <sz val="1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1F3864"/>
        <bgColor rgb="FF1F3864"/>
      </patternFill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203764"/>
        <bgColor rgb="FF203764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595959"/>
        <bgColor rgb="FF595959"/>
      </patternFill>
    </fill>
    <fill>
      <patternFill patternType="solid">
        <fgColor rgb="FF336699"/>
        <bgColor rgb="FF336699"/>
      </patternFill>
    </fill>
    <fill>
      <patternFill patternType="solid">
        <fgColor rgb="FF3F3F3F"/>
        <bgColor rgb="FF3F3F3F"/>
      </patternFill>
    </fill>
    <fill>
      <patternFill patternType="solid">
        <fgColor rgb="FFBFBFBF"/>
        <bgColor rgb="FFBFBFBF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rgb="FF8EAADB"/>
        <bgColor rgb="FF8EAADB"/>
      </patternFill>
    </fill>
    <fill>
      <patternFill patternType="solid">
        <fgColor rgb="FFF2F2F2"/>
        <bgColor indexed="64"/>
      </patternFill>
    </fill>
    <fill>
      <patternFill patternType="solid">
        <fgColor rgb="FF203764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rgb="FF1F3864"/>
        <bgColor indexed="64"/>
      </patternFill>
    </fill>
  </fills>
  <borders count="9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A5A5A5"/>
      </left>
      <right style="thin">
        <color rgb="FFA5A5A5"/>
      </right>
      <top style="medium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medium">
        <color rgb="FFA5A5A5"/>
      </top>
      <bottom style="thin">
        <color rgb="FFA5A5A5"/>
      </bottom>
      <diagonal/>
    </border>
    <border>
      <left style="thin">
        <color rgb="FFA5A5A5"/>
      </left>
      <right style="medium">
        <color rgb="FFA5A5A5"/>
      </right>
      <top style="medium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medium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medium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 style="medium">
        <color rgb="FFA5A5A5"/>
      </right>
      <top/>
      <bottom/>
      <diagonal/>
    </border>
    <border>
      <left style="medium">
        <color rgb="FFA5A5A5"/>
      </left>
      <right/>
      <top style="thin">
        <color rgb="FFA5A5A5"/>
      </top>
      <bottom style="medium">
        <color rgb="FFA5A5A5"/>
      </bottom>
      <diagonal/>
    </border>
    <border>
      <left/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 style="thin">
        <color rgb="FFA5A5A5"/>
      </left>
      <right style="thin">
        <color rgb="FFA5A5A5"/>
      </right>
      <top/>
      <bottom style="medium">
        <color rgb="FFA5A5A5"/>
      </bottom>
      <diagonal/>
    </border>
    <border>
      <left style="thin">
        <color rgb="FFA5A5A5"/>
      </left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thin">
        <color rgb="FFA5A5A5"/>
      </bottom>
      <diagonal/>
    </border>
    <border>
      <left/>
      <right/>
      <top style="medium">
        <color rgb="FFA5A5A5"/>
      </top>
      <bottom style="thin">
        <color rgb="FFA5A5A5"/>
      </bottom>
      <diagonal/>
    </border>
    <border>
      <left/>
      <right style="medium">
        <color rgb="FFA5A5A5"/>
      </right>
      <top style="medium">
        <color rgb="FFA5A5A5"/>
      </top>
      <bottom style="thin">
        <color rgb="FFA5A5A5"/>
      </bottom>
      <diagonal/>
    </border>
    <border>
      <left style="thin">
        <color rgb="FFA5A5A5"/>
      </left>
      <right style="medium">
        <color rgb="FFA5A5A5"/>
      </right>
      <top style="thin">
        <color rgb="FFA5A5A5"/>
      </top>
      <bottom style="thin">
        <color rgb="FFA5A5A5"/>
      </bottom>
      <diagonal/>
    </border>
    <border>
      <left style="medium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medium">
        <color rgb="FFA5A5A5"/>
      </right>
      <top style="thin">
        <color rgb="FFA5A5A5"/>
      </top>
      <bottom style="medium">
        <color rgb="FFA5A5A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7F7F7F"/>
      </left>
      <right style="thin">
        <color rgb="FF7F7F7F"/>
      </right>
      <top style="thin">
        <color rgb="FFD8D8D8"/>
      </top>
      <bottom style="thin">
        <color rgb="FFD8D8D8"/>
      </bottom>
      <diagonal/>
    </border>
    <border>
      <left style="thin">
        <color rgb="FFA5A5A5"/>
      </left>
      <right style="thin">
        <color rgb="FFA5A5A5"/>
      </right>
      <top style="medium">
        <color rgb="FFA5A5A5"/>
      </top>
      <bottom style="medium">
        <color rgb="FFA5A5A5"/>
      </bottom>
      <diagonal/>
    </border>
    <border>
      <left style="thin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/>
      <right/>
      <top/>
      <bottom style="thin">
        <color rgb="FF7F7F7F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 style="thin">
        <color rgb="FF000000"/>
      </left>
      <right/>
      <top style="thin">
        <color rgb="FFA5A5A5"/>
      </top>
      <bottom style="thin">
        <color rgb="FF000000"/>
      </bottom>
      <diagonal/>
    </border>
    <border>
      <left/>
      <right style="thin">
        <color rgb="FF000000"/>
      </right>
      <top style="thin">
        <color rgb="FFA5A5A5"/>
      </top>
      <bottom style="thin">
        <color rgb="FF000000"/>
      </bottom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A5A5A5"/>
      </right>
      <top style="thin">
        <color rgb="FF7F7F7F"/>
      </top>
      <bottom style="thin">
        <color rgb="FF7F7F7F"/>
      </bottom>
      <diagonal/>
    </border>
    <border>
      <left style="thin">
        <color rgb="FFA5A5A5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7F7F7F"/>
      </left>
      <right style="thin">
        <color rgb="FFA5A5A5"/>
      </right>
      <top style="thin">
        <color rgb="FFD8D8D8"/>
      </top>
      <bottom style="thin">
        <color rgb="FFD8D8D8"/>
      </bottom>
      <diagonal/>
    </border>
    <border>
      <left style="thin">
        <color rgb="FFA5A5A5"/>
      </left>
      <right style="thin">
        <color rgb="FFD8D8D8"/>
      </right>
      <top/>
      <bottom style="thin">
        <color rgb="FFD8D8D8"/>
      </bottom>
      <diagonal/>
    </border>
    <border>
      <left style="thin">
        <color rgb="FF7F7F7F"/>
      </left>
      <right style="thin">
        <color rgb="FFD8D8D8"/>
      </right>
      <top/>
      <bottom style="thin">
        <color rgb="FFD8D8D8"/>
      </bottom>
      <diagonal/>
    </border>
    <border>
      <left style="thin">
        <color rgb="FFA5A5A5"/>
      </left>
      <right style="thin">
        <color rgb="FFD8D8D8"/>
      </right>
      <top style="thin">
        <color rgb="FFD8D8D8"/>
      </top>
      <bottom style="thin">
        <color rgb="FFA5A5A5"/>
      </bottom>
      <diagonal/>
    </border>
    <border>
      <left style="thin">
        <color rgb="FF7F7F7F"/>
      </left>
      <right style="thin">
        <color rgb="FFD8D8D8"/>
      </right>
      <top style="thin">
        <color rgb="FFD8D8D8"/>
      </top>
      <bottom style="thin">
        <color rgb="FFA5A5A5"/>
      </bottom>
      <diagonal/>
    </border>
    <border>
      <left style="thin">
        <color rgb="FF7F7F7F"/>
      </left>
      <right style="thin">
        <color rgb="FFA5A5A5"/>
      </right>
      <top style="thin">
        <color rgb="FFD8D8D8"/>
      </top>
      <bottom style="thin">
        <color rgb="FFA5A5A5"/>
      </bottom>
      <diagonal/>
    </border>
    <border>
      <left style="thin">
        <color rgb="FFA5A5A5"/>
      </left>
      <right style="medium">
        <color rgb="FFA5A5A5"/>
      </right>
      <top/>
      <bottom style="medium">
        <color rgb="FFA5A5A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/>
      <right/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/>
      <top style="thin">
        <color rgb="FFF2F2F2"/>
      </top>
      <bottom style="thin">
        <color rgb="FFF2F2F2"/>
      </bottom>
      <diagonal/>
    </border>
    <border>
      <left/>
      <right/>
      <top style="thin">
        <color rgb="FFF2F2F2"/>
      </top>
      <bottom style="thin">
        <color rgb="FFF2F2F2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/>
      <right/>
      <top style="thin">
        <color rgb="FFA5A5A5"/>
      </top>
      <bottom style="medium">
        <color rgb="FFA5A5A5"/>
      </bottom>
      <diagonal/>
    </border>
    <border>
      <left/>
      <right style="medium">
        <color rgb="FFA5A5A5"/>
      </right>
      <top style="thin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A5A5A5"/>
      </bottom>
      <diagonal/>
    </border>
    <border>
      <left/>
      <right/>
      <top style="thin">
        <color indexed="64"/>
      </top>
      <bottom style="thin">
        <color rgb="FFA5A5A5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A5A5A5"/>
      </bottom>
      <diagonal/>
    </border>
    <border>
      <left style="thin">
        <color indexed="64"/>
      </left>
      <right style="thin">
        <color rgb="FFA5A5A5"/>
      </right>
      <top style="thin">
        <color indexed="64"/>
      </top>
      <bottom/>
      <diagonal/>
    </border>
    <border>
      <left style="thin">
        <color rgb="FFA5A5A5"/>
      </left>
      <right style="thin">
        <color rgb="FFA5A5A5"/>
      </right>
      <top style="thin">
        <color indexed="64"/>
      </top>
      <bottom/>
      <diagonal/>
    </border>
    <border>
      <left style="thin">
        <color rgb="FFA5A5A5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indexed="64"/>
      </right>
      <top style="thin">
        <color rgb="FFA5A5A5"/>
      </top>
      <bottom/>
      <diagonal/>
    </border>
    <border>
      <left style="thin">
        <color rgb="FFF2F2F2"/>
      </left>
      <right/>
      <top/>
      <bottom/>
      <diagonal/>
    </border>
    <border>
      <left/>
      <right style="thin">
        <color rgb="FFF2F2F2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1">
    <xf numFmtId="0" fontId="0" fillId="0" borderId="0"/>
  </cellStyleXfs>
  <cellXfs count="323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3" borderId="1" xfId="0" applyFont="1" applyFill="1" applyBorder="1"/>
    <xf numFmtId="0" fontId="5" fillId="2" borderId="1" xfId="0" applyFont="1" applyFill="1" applyBorder="1"/>
    <xf numFmtId="164" fontId="6" fillId="2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165" fontId="8" fillId="2" borderId="1" xfId="0" applyNumberFormat="1" applyFont="1" applyFill="1" applyBorder="1"/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 wrapText="1"/>
    </xf>
    <xf numFmtId="166" fontId="15" fillId="0" borderId="8" xfId="0" applyNumberFormat="1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left" vertical="center" wrapText="1"/>
    </xf>
    <xf numFmtId="166" fontId="15" fillId="0" borderId="10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166" fontId="11" fillId="0" borderId="19" xfId="0" applyNumberFormat="1" applyFont="1" applyBorder="1" applyAlignment="1">
      <alignment horizontal="center" vertical="center" wrapText="1"/>
    </xf>
    <xf numFmtId="0" fontId="16" fillId="2" borderId="1" xfId="0" applyFont="1" applyFill="1" applyBorder="1"/>
    <xf numFmtId="0" fontId="16" fillId="0" borderId="0" xfId="0" applyFont="1"/>
    <xf numFmtId="0" fontId="17" fillId="0" borderId="0" xfId="0" applyFont="1"/>
    <xf numFmtId="0" fontId="19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2" fillId="7" borderId="50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166" fontId="2" fillId="7" borderId="8" xfId="0" applyNumberFormat="1" applyFont="1" applyFill="1" applyBorder="1" applyAlignment="1">
      <alignment horizontal="center" vertical="center" wrapText="1"/>
    </xf>
    <xf numFmtId="166" fontId="5" fillId="0" borderId="8" xfId="0" applyNumberFormat="1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 wrapText="1"/>
    </xf>
    <xf numFmtId="166" fontId="5" fillId="2" borderId="1" xfId="0" applyNumberFormat="1" applyFont="1" applyFill="1" applyBorder="1" applyAlignment="1">
      <alignment vertical="center"/>
    </xf>
    <xf numFmtId="0" fontId="5" fillId="9" borderId="8" xfId="0" applyFont="1" applyFill="1" applyBorder="1"/>
    <xf numFmtId="0" fontId="2" fillId="7" borderId="8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 wrapText="1"/>
    </xf>
    <xf numFmtId="2" fontId="5" fillId="0" borderId="8" xfId="0" applyNumberFormat="1" applyFont="1" applyBorder="1" applyAlignment="1">
      <alignment horizontal="center" vertical="center"/>
    </xf>
    <xf numFmtId="0" fontId="21" fillId="6" borderId="8" xfId="0" applyFont="1" applyFill="1" applyBorder="1" applyAlignment="1">
      <alignment horizontal="center" vertical="center"/>
    </xf>
    <xf numFmtId="170" fontId="2" fillId="7" borderId="8" xfId="0" applyNumberFormat="1" applyFont="1" applyFill="1" applyBorder="1" applyAlignment="1">
      <alignment horizontal="center" vertical="center"/>
    </xf>
    <xf numFmtId="0" fontId="5" fillId="2" borderId="54" xfId="0" applyFont="1" applyFill="1" applyBorder="1"/>
    <xf numFmtId="0" fontId="5" fillId="0" borderId="0" xfId="0" applyFont="1"/>
    <xf numFmtId="0" fontId="19" fillId="0" borderId="5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6" borderId="8" xfId="0" applyFont="1" applyFill="1" applyBorder="1" applyAlignment="1">
      <alignment horizontal="left" vertical="center" wrapText="1"/>
    </xf>
    <xf numFmtId="166" fontId="23" fillId="0" borderId="8" xfId="0" applyNumberFormat="1" applyFont="1" applyBorder="1" applyAlignment="1">
      <alignment horizontal="right" vertical="center" wrapText="1"/>
    </xf>
    <xf numFmtId="1" fontId="23" fillId="0" borderId="8" xfId="0" applyNumberFormat="1" applyFont="1" applyBorder="1" applyAlignment="1">
      <alignment horizontal="center" vertical="center" wrapText="1"/>
    </xf>
    <xf numFmtId="0" fontId="19" fillId="0" borderId="8" xfId="0" applyFont="1" applyBorder="1" applyAlignment="1">
      <alignment horizontal="left" vertical="center" wrapText="1"/>
    </xf>
    <xf numFmtId="0" fontId="23" fillId="0" borderId="8" xfId="0" applyFont="1" applyBorder="1" applyAlignment="1">
      <alignment horizontal="center" vertical="center" wrapText="1"/>
    </xf>
    <xf numFmtId="166" fontId="19" fillId="0" borderId="0" xfId="0" applyNumberFormat="1" applyFont="1" applyAlignment="1">
      <alignment horizontal="center" vertical="center"/>
    </xf>
    <xf numFmtId="166" fontId="23" fillId="0" borderId="8" xfId="0" applyNumberFormat="1" applyFont="1" applyBorder="1" applyAlignment="1">
      <alignment horizontal="center" vertical="center" wrapText="1"/>
    </xf>
    <xf numFmtId="0" fontId="23" fillId="0" borderId="8" xfId="0" applyFont="1" applyBorder="1" applyAlignment="1">
      <alignment horizontal="right" vertical="center" wrapText="1"/>
    </xf>
    <xf numFmtId="166" fontId="23" fillId="0" borderId="8" xfId="0" applyNumberFormat="1" applyFont="1" applyBorder="1" applyAlignment="1">
      <alignment vertical="center" wrapText="1"/>
    </xf>
    <xf numFmtId="1" fontId="23" fillId="0" borderId="8" xfId="0" applyNumberFormat="1" applyFont="1" applyBorder="1" applyAlignment="1">
      <alignment horizontal="center" vertical="center"/>
    </xf>
    <xf numFmtId="166" fontId="19" fillId="0" borderId="8" xfId="0" applyNumberFormat="1" applyFont="1" applyBorder="1" applyAlignment="1">
      <alignment horizontal="right" vertical="center" wrapText="1"/>
    </xf>
    <xf numFmtId="0" fontId="24" fillId="10" borderId="33" xfId="0" applyFont="1" applyFill="1" applyBorder="1" applyAlignment="1">
      <alignment vertical="center" wrapText="1"/>
    </xf>
    <xf numFmtId="166" fontId="24" fillId="10" borderId="33" xfId="0" applyNumberFormat="1" applyFont="1" applyFill="1" applyBorder="1" applyAlignment="1">
      <alignment vertical="center" wrapText="1"/>
    </xf>
    <xf numFmtId="166" fontId="23" fillId="0" borderId="8" xfId="0" applyNumberFormat="1" applyFont="1" applyBorder="1" applyAlignment="1">
      <alignment horizontal="center" vertical="center"/>
    </xf>
    <xf numFmtId="0" fontId="24" fillId="10" borderId="33" xfId="0" applyFont="1" applyFill="1" applyBorder="1" applyAlignment="1">
      <alignment horizontal="left" vertical="center" wrapText="1"/>
    </xf>
    <xf numFmtId="166" fontId="24" fillId="10" borderId="33" xfId="0" applyNumberFormat="1" applyFont="1" applyFill="1" applyBorder="1" applyAlignment="1">
      <alignment vertical="center"/>
    </xf>
    <xf numFmtId="0" fontId="19" fillId="0" borderId="0" xfId="0" applyFont="1" applyAlignment="1">
      <alignment vertical="center" wrapText="1"/>
    </xf>
    <xf numFmtId="0" fontId="24" fillId="10" borderId="33" xfId="0" applyFont="1" applyFill="1" applyBorder="1" applyAlignment="1">
      <alignment vertic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wrapText="1"/>
    </xf>
    <xf numFmtId="0" fontId="24" fillId="3" borderId="56" xfId="0" applyFont="1" applyFill="1" applyBorder="1" applyAlignment="1">
      <alignment horizontal="left" vertical="center" wrapText="1"/>
    </xf>
    <xf numFmtId="166" fontId="24" fillId="3" borderId="56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166" fontId="10" fillId="3" borderId="1" xfId="0" applyNumberFormat="1" applyFont="1" applyFill="1" applyBorder="1" applyAlignment="1">
      <alignment vertical="center" wrapText="1"/>
    </xf>
    <xf numFmtId="0" fontId="24" fillId="0" borderId="0" xfId="0" applyFont="1"/>
    <xf numFmtId="0" fontId="3" fillId="0" borderId="0" xfId="0" applyFont="1"/>
    <xf numFmtId="0" fontId="2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6" fillId="4" borderId="57" xfId="0" applyFont="1" applyFill="1" applyBorder="1" applyAlignment="1">
      <alignment horizontal="left" vertical="center"/>
    </xf>
    <xf numFmtId="0" fontId="3" fillId="4" borderId="57" xfId="0" applyFont="1" applyFill="1" applyBorder="1"/>
    <xf numFmtId="0" fontId="26" fillId="3" borderId="58" xfId="0" applyFont="1" applyFill="1" applyBorder="1" applyAlignment="1">
      <alignment horizontal="center" vertical="center"/>
    </xf>
    <xf numFmtId="0" fontId="19" fillId="0" borderId="62" xfId="0" applyFont="1" applyBorder="1" applyAlignment="1">
      <alignment horizontal="left" vertical="center"/>
    </xf>
    <xf numFmtId="166" fontId="19" fillId="9" borderId="58" xfId="0" applyNumberFormat="1" applyFont="1" applyFill="1" applyBorder="1" applyAlignment="1">
      <alignment vertical="center" wrapText="1"/>
    </xf>
    <xf numFmtId="1" fontId="5" fillId="2" borderId="1" xfId="0" applyNumberFormat="1" applyFont="1" applyFill="1" applyBorder="1" applyAlignment="1">
      <alignment vertical="center"/>
    </xf>
    <xf numFmtId="0" fontId="5" fillId="5" borderId="58" xfId="0" applyFont="1" applyFill="1" applyBorder="1" applyAlignment="1">
      <alignment horizontal="left" vertical="center"/>
    </xf>
    <xf numFmtId="0" fontId="5" fillId="5" borderId="58" xfId="0" applyFont="1" applyFill="1" applyBorder="1" applyAlignment="1">
      <alignment vertical="center"/>
    </xf>
    <xf numFmtId="167" fontId="5" fillId="2" borderId="1" xfId="0" applyNumberFormat="1" applyFont="1" applyFill="1" applyBorder="1" applyAlignment="1">
      <alignment vertical="center"/>
    </xf>
    <xf numFmtId="166" fontId="19" fillId="9" borderId="58" xfId="0" applyNumberFormat="1" applyFont="1" applyFill="1" applyBorder="1" applyAlignment="1">
      <alignment vertical="center"/>
    </xf>
    <xf numFmtId="0" fontId="19" fillId="0" borderId="58" xfId="0" applyFont="1" applyBorder="1" applyAlignment="1">
      <alignment horizontal="left" vertical="center"/>
    </xf>
    <xf numFmtId="0" fontId="19" fillId="0" borderId="59" xfId="0" applyFont="1" applyBorder="1" applyAlignment="1">
      <alignment horizontal="left" vertical="center"/>
    </xf>
    <xf numFmtId="0" fontId="19" fillId="0" borderId="61" xfId="0" applyFont="1" applyBorder="1" applyAlignment="1">
      <alignment horizontal="left" vertical="center"/>
    </xf>
    <xf numFmtId="0" fontId="26" fillId="3" borderId="58" xfId="0" applyFont="1" applyFill="1" applyBorder="1" applyAlignment="1">
      <alignment horizontal="center" vertical="center" wrapText="1"/>
    </xf>
    <xf numFmtId="166" fontId="26" fillId="3" borderId="58" xfId="0" applyNumberFormat="1" applyFont="1" applyFill="1" applyBorder="1" applyAlignment="1">
      <alignment vertical="center" wrapText="1"/>
    </xf>
    <xf numFmtId="0" fontId="5" fillId="2" borderId="58" xfId="0" applyFont="1" applyFill="1" applyBorder="1" applyAlignment="1">
      <alignment horizontal="left" vertical="center"/>
    </xf>
    <xf numFmtId="0" fontId="5" fillId="2" borderId="58" xfId="0" applyFont="1" applyFill="1" applyBorder="1" applyAlignment="1">
      <alignment vertical="center"/>
    </xf>
    <xf numFmtId="0" fontId="19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55" xfId="0" applyFont="1" applyBorder="1"/>
    <xf numFmtId="0" fontId="26" fillId="11" borderId="8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wrapText="1"/>
    </xf>
    <xf numFmtId="0" fontId="19" fillId="0" borderId="8" xfId="0" applyFont="1" applyBorder="1" applyAlignment="1">
      <alignment horizontal="center" wrapText="1"/>
    </xf>
    <xf numFmtId="166" fontId="19" fillId="0" borderId="8" xfId="0" applyNumberFormat="1" applyFont="1" applyBorder="1" applyAlignment="1">
      <alignment wrapText="1"/>
    </xf>
    <xf numFmtId="171" fontId="19" fillId="0" borderId="8" xfId="0" applyNumberFormat="1" applyFont="1" applyBorder="1" applyAlignment="1">
      <alignment horizontal="center" wrapText="1"/>
    </xf>
    <xf numFmtId="166" fontId="19" fillId="0" borderId="0" xfId="0" applyNumberFormat="1" applyFont="1"/>
    <xf numFmtId="0" fontId="19" fillId="0" borderId="55" xfId="0" applyFont="1" applyBorder="1" applyAlignment="1">
      <alignment wrapText="1"/>
    </xf>
    <xf numFmtId="0" fontId="19" fillId="0" borderId="8" xfId="0" applyFont="1" applyBorder="1" applyAlignment="1">
      <alignment horizontal="center" vertical="center" wrapText="1"/>
    </xf>
    <xf numFmtId="2" fontId="19" fillId="0" borderId="8" xfId="0" applyNumberFormat="1" applyFont="1" applyBorder="1" applyAlignment="1">
      <alignment horizontal="center" vertical="center" wrapText="1"/>
    </xf>
    <xf numFmtId="166" fontId="19" fillId="0" borderId="8" xfId="0" applyNumberFormat="1" applyFont="1" applyBorder="1" applyAlignment="1">
      <alignment horizontal="center" vertical="center" wrapText="1"/>
    </xf>
    <xf numFmtId="166" fontId="24" fillId="11" borderId="8" xfId="0" applyNumberFormat="1" applyFont="1" applyFill="1" applyBorder="1" applyAlignment="1">
      <alignment vertical="center" wrapText="1"/>
    </xf>
    <xf numFmtId="0" fontId="26" fillId="11" borderId="56" xfId="0" applyFont="1" applyFill="1" applyBorder="1" applyAlignment="1">
      <alignment horizontal="center" vertical="center" wrapText="1"/>
    </xf>
    <xf numFmtId="0" fontId="26" fillId="11" borderId="56" xfId="0" applyFont="1" applyFill="1" applyBorder="1" applyAlignment="1">
      <alignment vertical="center" wrapText="1"/>
    </xf>
    <xf numFmtId="166" fontId="19" fillId="0" borderId="8" xfId="0" applyNumberFormat="1" applyFont="1" applyBorder="1" applyAlignment="1">
      <alignment horizontal="left" wrapText="1"/>
    </xf>
    <xf numFmtId="166" fontId="19" fillId="0" borderId="8" xfId="0" applyNumberFormat="1" applyFont="1" applyBorder="1" applyAlignment="1">
      <alignment horizontal="left"/>
    </xf>
    <xf numFmtId="0" fontId="19" fillId="0" borderId="8" xfId="0" applyFont="1" applyBorder="1" applyAlignment="1">
      <alignment horizontal="center"/>
    </xf>
    <xf numFmtId="2" fontId="19" fillId="0" borderId="8" xfId="0" applyNumberFormat="1" applyFont="1" applyBorder="1" applyAlignment="1">
      <alignment horizontal="center" wrapText="1"/>
    </xf>
    <xf numFmtId="166" fontId="19" fillId="0" borderId="8" xfId="0" applyNumberFormat="1" applyFont="1" applyBorder="1" applyAlignment="1">
      <alignment horizontal="center" wrapText="1"/>
    </xf>
    <xf numFmtId="0" fontId="19" fillId="0" borderId="8" xfId="0" applyFont="1" applyBorder="1"/>
    <xf numFmtId="0" fontId="27" fillId="13" borderId="8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vertical="center" wrapText="1"/>
    </xf>
    <xf numFmtId="166" fontId="24" fillId="11" borderId="8" xfId="0" applyNumberFormat="1" applyFont="1" applyFill="1" applyBorder="1"/>
    <xf numFmtId="0" fontId="28" fillId="0" borderId="8" xfId="0" applyFont="1" applyBorder="1" applyAlignment="1">
      <alignment horizontal="center" vertical="center" wrapText="1"/>
    </xf>
    <xf numFmtId="172" fontId="19" fillId="0" borderId="8" xfId="0" applyNumberFormat="1" applyFont="1" applyBorder="1" applyAlignment="1">
      <alignment horizontal="center" vertical="center" wrapText="1"/>
    </xf>
    <xf numFmtId="173" fontId="19" fillId="0" borderId="8" xfId="0" applyNumberFormat="1" applyFont="1" applyBorder="1" applyAlignment="1">
      <alignment horizontal="center" vertical="center" wrapText="1"/>
    </xf>
    <xf numFmtId="165" fontId="19" fillId="0" borderId="8" xfId="0" applyNumberFormat="1" applyFont="1" applyBorder="1" applyAlignment="1">
      <alignment horizontal="center" vertical="center" wrapText="1"/>
    </xf>
    <xf numFmtId="0" fontId="27" fillId="13" borderId="72" xfId="0" applyFont="1" applyFill="1" applyBorder="1" applyAlignment="1">
      <alignment horizontal="center" vertical="center" wrapText="1"/>
    </xf>
    <xf numFmtId="0" fontId="27" fillId="14" borderId="8" xfId="0" applyFont="1" applyFill="1" applyBorder="1" applyAlignment="1">
      <alignment horizontal="center" vertical="center" wrapText="1"/>
    </xf>
    <xf numFmtId="0" fontId="27" fillId="15" borderId="8" xfId="0" applyFont="1" applyFill="1" applyBorder="1" applyAlignment="1">
      <alignment horizontal="center" vertical="center" wrapText="1"/>
    </xf>
    <xf numFmtId="0" fontId="27" fillId="16" borderId="8" xfId="0" applyFont="1" applyFill="1" applyBorder="1" applyAlignment="1">
      <alignment horizontal="center" vertical="center" wrapText="1"/>
    </xf>
    <xf numFmtId="0" fontId="19" fillId="0" borderId="72" xfId="0" applyFont="1" applyBorder="1" applyAlignment="1">
      <alignment horizontal="center" vertical="center"/>
    </xf>
    <xf numFmtId="9" fontId="19" fillId="0" borderId="72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66" fontId="19" fillId="0" borderId="8" xfId="0" applyNumberFormat="1" applyFont="1" applyBorder="1" applyAlignment="1">
      <alignment horizontal="center" vertical="center"/>
    </xf>
    <xf numFmtId="166" fontId="19" fillId="0" borderId="8" xfId="0" applyNumberFormat="1" applyFont="1" applyBorder="1" applyAlignment="1">
      <alignment vertical="center"/>
    </xf>
    <xf numFmtId="0" fontId="19" fillId="17" borderId="72" xfId="0" applyFont="1" applyFill="1" applyBorder="1" applyAlignment="1">
      <alignment horizontal="center" vertical="center"/>
    </xf>
    <xf numFmtId="9" fontId="19" fillId="17" borderId="72" xfId="0" applyNumberFormat="1" applyFont="1" applyFill="1" applyBorder="1" applyAlignment="1">
      <alignment horizontal="center" vertical="center"/>
    </xf>
    <xf numFmtId="0" fontId="29" fillId="3" borderId="73" xfId="0" applyFont="1" applyFill="1" applyBorder="1" applyAlignment="1">
      <alignment horizontal="center" vertical="center" wrapText="1"/>
    </xf>
    <xf numFmtId="174" fontId="17" fillId="0" borderId="0" xfId="0" applyNumberFormat="1" applyFont="1" applyAlignment="1">
      <alignment vertical="center"/>
    </xf>
    <xf numFmtId="0" fontId="29" fillId="7" borderId="74" xfId="0" applyFont="1" applyFill="1" applyBorder="1" applyAlignment="1">
      <alignment horizontal="center" vertical="center"/>
    </xf>
    <xf numFmtId="174" fontId="29" fillId="7" borderId="26" xfId="0" applyNumberFormat="1" applyFont="1" applyFill="1" applyBorder="1" applyAlignment="1">
      <alignment horizontal="center" vertical="center"/>
    </xf>
    <xf numFmtId="174" fontId="17" fillId="0" borderId="0" xfId="0" applyNumberFormat="1" applyFont="1" applyAlignment="1">
      <alignment horizontal="center" vertical="center"/>
    </xf>
    <xf numFmtId="0" fontId="31" fillId="0" borderId="0" xfId="0" applyFont="1"/>
    <xf numFmtId="166" fontId="17" fillId="0" borderId="0" xfId="0" applyNumberFormat="1" applyFont="1"/>
    <xf numFmtId="174" fontId="17" fillId="0" borderId="0" xfId="0" applyNumberFormat="1" applyFont="1"/>
    <xf numFmtId="9" fontId="17" fillId="0" borderId="0" xfId="0" applyNumberFormat="1" applyFont="1"/>
    <xf numFmtId="0" fontId="32" fillId="0" borderId="0" xfId="0" applyFont="1"/>
    <xf numFmtId="172" fontId="5" fillId="0" borderId="8" xfId="0" applyNumberFormat="1" applyFont="1" applyBorder="1" applyAlignment="1">
      <alignment horizontal="center" vertical="center"/>
    </xf>
    <xf numFmtId="0" fontId="1" fillId="0" borderId="1" xfId="0" applyFont="1" applyBorder="1"/>
    <xf numFmtId="0" fontId="1" fillId="18" borderId="1" xfId="0" applyFont="1" applyFill="1" applyBorder="1"/>
    <xf numFmtId="166" fontId="24" fillId="11" borderId="8" xfId="0" applyNumberFormat="1" applyFont="1" applyFill="1" applyBorder="1" applyAlignment="1">
      <alignment horizontal="center" wrapText="1"/>
    </xf>
    <xf numFmtId="0" fontId="26" fillId="11" borderId="32" xfId="0" applyFont="1" applyFill="1" applyBorder="1" applyAlignment="1">
      <alignment horizontal="center" vertical="center" wrapText="1"/>
    </xf>
    <xf numFmtId="0" fontId="19" fillId="0" borderId="69" xfId="0" applyFont="1" applyBorder="1" applyAlignment="1">
      <alignment horizontal="left" wrapText="1"/>
    </xf>
    <xf numFmtId="0" fontId="2" fillId="7" borderId="56" xfId="0" applyFont="1" applyFill="1" applyBorder="1" applyAlignment="1">
      <alignment horizontal="center" vertical="center" wrapText="1"/>
    </xf>
    <xf numFmtId="0" fontId="2" fillId="7" borderId="69" xfId="0" applyFont="1" applyFill="1" applyBorder="1" applyAlignment="1">
      <alignment horizontal="center" vertical="center" wrapText="1"/>
    </xf>
    <xf numFmtId="0" fontId="2" fillId="19" borderId="8" xfId="0" applyFont="1" applyFill="1" applyBorder="1" applyAlignment="1">
      <alignment horizontal="center" vertical="center" wrapText="1"/>
    </xf>
    <xf numFmtId="0" fontId="33" fillId="6" borderId="8" xfId="0" applyFont="1" applyFill="1" applyBorder="1" applyAlignment="1">
      <alignment horizontal="center" vertical="center"/>
    </xf>
    <xf numFmtId="1" fontId="33" fillId="6" borderId="8" xfId="0" applyNumberFormat="1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vertical="center"/>
    </xf>
    <xf numFmtId="0" fontId="5" fillId="2" borderId="53" xfId="0" applyFont="1" applyFill="1" applyBorder="1" applyAlignment="1">
      <alignment horizontal="center" vertical="center"/>
    </xf>
    <xf numFmtId="0" fontId="5" fillId="2" borderId="53" xfId="0" applyFont="1" applyFill="1" applyBorder="1"/>
    <xf numFmtId="0" fontId="5" fillId="2" borderId="53" xfId="0" applyFont="1" applyFill="1" applyBorder="1" applyAlignment="1">
      <alignment horizontal="center" vertical="center" wrapText="1"/>
    </xf>
    <xf numFmtId="0" fontId="5" fillId="2" borderId="53" xfId="0" applyFont="1" applyFill="1" applyBorder="1" applyAlignment="1">
      <alignment vertical="center"/>
    </xf>
    <xf numFmtId="0" fontId="2" fillId="7" borderId="75" xfId="0" applyFont="1" applyFill="1" applyBorder="1" applyAlignment="1">
      <alignment horizontal="center" vertical="center" wrapText="1"/>
    </xf>
    <xf numFmtId="166" fontId="5" fillId="0" borderId="75" xfId="0" applyNumberFormat="1" applyFont="1" applyBorder="1" applyAlignment="1">
      <alignment horizontal="right" vertical="center"/>
    </xf>
    <xf numFmtId="166" fontId="2" fillId="7" borderId="8" xfId="0" applyNumberFormat="1" applyFont="1" applyFill="1" applyBorder="1" applyAlignment="1">
      <alignment horizontal="center" vertical="center"/>
    </xf>
    <xf numFmtId="0" fontId="2" fillId="7" borderId="32" xfId="0" applyFont="1" applyFill="1" applyBorder="1" applyAlignment="1">
      <alignment horizontal="center" vertical="center" wrapText="1"/>
    </xf>
    <xf numFmtId="0" fontId="2" fillId="7" borderId="82" xfId="0" applyFont="1" applyFill="1" applyBorder="1" applyAlignment="1">
      <alignment horizontal="center" vertical="center" wrapText="1"/>
    </xf>
    <xf numFmtId="0" fontId="2" fillId="7" borderId="83" xfId="0" applyFont="1" applyFill="1" applyBorder="1" applyAlignment="1">
      <alignment horizontal="center" vertical="center" wrapText="1"/>
    </xf>
    <xf numFmtId="0" fontId="2" fillId="7" borderId="84" xfId="0" applyFont="1" applyFill="1" applyBorder="1" applyAlignment="1">
      <alignment horizontal="center" vertical="center" wrapText="1"/>
    </xf>
    <xf numFmtId="0" fontId="2" fillId="7" borderId="85" xfId="0" applyFont="1" applyFill="1" applyBorder="1" applyAlignment="1">
      <alignment horizontal="center" vertical="center" wrapText="1"/>
    </xf>
    <xf numFmtId="166" fontId="5" fillId="20" borderId="75" xfId="0" applyNumberFormat="1" applyFont="1" applyFill="1" applyBorder="1" applyAlignment="1">
      <alignment horizontal="right" vertical="center"/>
    </xf>
    <xf numFmtId="0" fontId="2" fillId="7" borderId="86" xfId="0" applyFont="1" applyFill="1" applyBorder="1" applyAlignment="1">
      <alignment horizontal="center" vertical="center" wrapText="1"/>
    </xf>
    <xf numFmtId="0" fontId="2" fillId="7" borderId="87" xfId="0" applyFont="1" applyFill="1" applyBorder="1" applyAlignment="1">
      <alignment horizontal="center" vertical="center" wrapText="1"/>
    </xf>
    <xf numFmtId="166" fontId="19" fillId="9" borderId="58" xfId="0" quotePrefix="1" applyNumberFormat="1" applyFont="1" applyFill="1" applyBorder="1" applyAlignment="1">
      <alignment vertical="center"/>
    </xf>
    <xf numFmtId="9" fontId="26" fillId="3" borderId="59" xfId="0" applyNumberFormat="1" applyFont="1" applyFill="1" applyBorder="1" applyAlignment="1">
      <alignment vertical="center"/>
    </xf>
    <xf numFmtId="0" fontId="26" fillId="3" borderId="58" xfId="0" applyFont="1" applyFill="1" applyBorder="1" applyAlignment="1">
      <alignment horizontal="left" vertical="center"/>
    </xf>
    <xf numFmtId="166" fontId="19" fillId="0" borderId="59" xfId="0" applyNumberFormat="1" applyFont="1" applyBorder="1" applyAlignment="1">
      <alignment horizontal="left" vertical="center" wrapText="1"/>
    </xf>
    <xf numFmtId="9" fontId="17" fillId="0" borderId="0" xfId="0" applyNumberFormat="1" applyFont="1" applyAlignment="1">
      <alignment horizontal="right" vertical="center"/>
    </xf>
    <xf numFmtId="167" fontId="29" fillId="7" borderId="90" xfId="0" applyNumberFormat="1" applyFont="1" applyFill="1" applyBorder="1" applyAlignment="1">
      <alignment horizontal="center" vertical="center" wrapText="1"/>
    </xf>
    <xf numFmtId="0" fontId="29" fillId="7" borderId="90" xfId="0" applyFont="1" applyFill="1" applyBorder="1" applyAlignment="1">
      <alignment horizontal="center" vertical="center" wrapText="1"/>
    </xf>
    <xf numFmtId="165" fontId="29" fillId="7" borderId="90" xfId="0" applyNumberFormat="1" applyFont="1" applyFill="1" applyBorder="1" applyAlignment="1">
      <alignment horizontal="center" vertical="center" wrapText="1"/>
    </xf>
    <xf numFmtId="0" fontId="17" fillId="0" borderId="53" xfId="0" applyFont="1" applyBorder="1"/>
    <xf numFmtId="0" fontId="17" fillId="0" borderId="91" xfId="0" applyFont="1" applyBorder="1"/>
    <xf numFmtId="174" fontId="29" fillId="7" borderId="92" xfId="0" applyNumberFormat="1" applyFont="1" applyFill="1" applyBorder="1" applyAlignment="1">
      <alignment horizontal="center" vertical="center"/>
    </xf>
    <xf numFmtId="0" fontId="30" fillId="0" borderId="75" xfId="0" applyFont="1" applyBorder="1" applyAlignment="1">
      <alignment horizontal="left" vertical="center" wrapText="1"/>
    </xf>
    <xf numFmtId="0" fontId="30" fillId="0" borderId="75" xfId="0" applyFont="1" applyBorder="1" applyAlignment="1">
      <alignment horizontal="center" vertical="center" wrapText="1"/>
    </xf>
    <xf numFmtId="174" fontId="30" fillId="0" borderId="75" xfId="0" applyNumberFormat="1" applyFont="1" applyBorder="1" applyAlignment="1">
      <alignment horizontal="center" vertical="center"/>
    </xf>
    <xf numFmtId="9" fontId="35" fillId="0" borderId="0" xfId="0" applyNumberFormat="1" applyFont="1" applyAlignment="1">
      <alignment vertical="center"/>
    </xf>
    <xf numFmtId="9" fontId="4" fillId="0" borderId="0" xfId="0" applyNumberFormat="1" applyFont="1" applyAlignment="1">
      <alignment vertical="center"/>
    </xf>
    <xf numFmtId="171" fontId="19" fillId="0" borderId="69" xfId="0" applyNumberFormat="1" applyFont="1" applyBorder="1" applyAlignment="1">
      <alignment horizontal="left" wrapText="1"/>
    </xf>
    <xf numFmtId="0" fontId="36" fillId="5" borderId="1" xfId="0" applyFont="1" applyFill="1" applyBorder="1"/>
    <xf numFmtId="0" fontId="37" fillId="5" borderId="1" xfId="0" applyFont="1" applyFill="1" applyBorder="1"/>
    <xf numFmtId="0" fontId="4" fillId="0" borderId="0" xfId="0" applyFont="1"/>
    <xf numFmtId="0" fontId="38" fillId="0" borderId="0" xfId="0" applyFont="1"/>
    <xf numFmtId="0" fontId="39" fillId="6" borderId="26" xfId="0" applyFont="1" applyFill="1" applyBorder="1" applyAlignment="1">
      <alignment horizontal="center" vertical="center" wrapText="1"/>
    </xf>
    <xf numFmtId="0" fontId="39" fillId="7" borderId="26" xfId="0" applyFont="1" applyFill="1" applyBorder="1" applyAlignment="1">
      <alignment horizontal="center" vertical="center" wrapText="1"/>
    </xf>
    <xf numFmtId="0" fontId="39" fillId="3" borderId="26" xfId="0" applyFont="1" applyFill="1" applyBorder="1" applyAlignment="1">
      <alignment horizontal="center" vertical="center" wrapText="1"/>
    </xf>
    <xf numFmtId="0" fontId="40" fillId="2" borderId="27" xfId="0" applyFont="1" applyFill="1" applyBorder="1"/>
    <xf numFmtId="167" fontId="40" fillId="0" borderId="27" xfId="0" applyNumberFormat="1" applyFont="1" applyBorder="1"/>
    <xf numFmtId="167" fontId="40" fillId="0" borderId="27" xfId="0" applyNumberFormat="1" applyFont="1" applyBorder="1" applyAlignment="1">
      <alignment horizontal="center"/>
    </xf>
    <xf numFmtId="167" fontId="41" fillId="8" borderId="27" xfId="0" applyNumberFormat="1" applyFont="1" applyFill="1" applyBorder="1"/>
    <xf numFmtId="168" fontId="40" fillId="0" borderId="28" xfId="0" applyNumberFormat="1" applyFont="1" applyBorder="1" applyAlignment="1">
      <alignment horizontal="center"/>
    </xf>
    <xf numFmtId="0" fontId="40" fillId="0" borderId="0" xfId="0" applyFont="1"/>
    <xf numFmtId="0" fontId="40" fillId="0" borderId="27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/>
    </xf>
    <xf numFmtId="169" fontId="39" fillId="3" borderId="29" xfId="0" applyNumberFormat="1" applyFont="1" applyFill="1" applyBorder="1"/>
    <xf numFmtId="169" fontId="39" fillId="3" borderId="30" xfId="0" applyNumberFormat="1" applyFont="1" applyFill="1" applyBorder="1"/>
    <xf numFmtId="169" fontId="40" fillId="0" borderId="0" xfId="0" applyNumberFormat="1" applyFont="1"/>
    <xf numFmtId="0" fontId="36" fillId="5" borderId="31" xfId="0" applyFont="1" applyFill="1" applyBorder="1"/>
    <xf numFmtId="0" fontId="42" fillId="2" borderId="27" xfId="0" applyFont="1" applyFill="1" applyBorder="1"/>
    <xf numFmtId="0" fontId="42" fillId="0" borderId="27" xfId="0" applyFont="1" applyBorder="1" applyAlignment="1">
      <alignment horizontal="center" vertical="center"/>
    </xf>
    <xf numFmtId="0" fontId="42" fillId="0" borderId="27" xfId="0" applyFont="1" applyBorder="1" applyAlignment="1">
      <alignment horizontal="center"/>
    </xf>
    <xf numFmtId="167" fontId="42" fillId="0" borderId="27" xfId="0" applyNumberFormat="1" applyFont="1" applyBorder="1"/>
    <xf numFmtId="0" fontId="36" fillId="5" borderId="32" xfId="0" applyFont="1" applyFill="1" applyBorder="1"/>
    <xf numFmtId="0" fontId="36" fillId="5" borderId="33" xfId="0" applyFont="1" applyFill="1" applyBorder="1"/>
    <xf numFmtId="0" fontId="41" fillId="5" borderId="34" xfId="0" applyFont="1" applyFill="1" applyBorder="1" applyAlignment="1">
      <alignment vertical="center"/>
    </xf>
    <xf numFmtId="0" fontId="36" fillId="5" borderId="35" xfId="0" applyFont="1" applyFill="1" applyBorder="1"/>
    <xf numFmtId="0" fontId="37" fillId="5" borderId="33" xfId="0" applyFont="1" applyFill="1" applyBorder="1"/>
    <xf numFmtId="0" fontId="4" fillId="0" borderId="36" xfId="0" applyFont="1" applyBorder="1"/>
    <xf numFmtId="0" fontId="39" fillId="6" borderId="37" xfId="0" applyFont="1" applyFill="1" applyBorder="1" applyAlignment="1">
      <alignment horizontal="center" vertical="center" wrapText="1"/>
    </xf>
    <xf numFmtId="0" fontId="39" fillId="6" borderId="38" xfId="0" applyFont="1" applyFill="1" applyBorder="1" applyAlignment="1">
      <alignment horizontal="center" vertical="center" wrapText="1"/>
    </xf>
    <xf numFmtId="0" fontId="40" fillId="2" borderId="39" xfId="0" applyFont="1" applyFill="1" applyBorder="1"/>
    <xf numFmtId="169" fontId="41" fillId="8" borderId="27" xfId="0" applyNumberFormat="1" applyFont="1" applyFill="1" applyBorder="1"/>
    <xf numFmtId="168" fontId="40" fillId="0" borderId="40" xfId="0" applyNumberFormat="1" applyFont="1" applyBorder="1" applyAlignment="1">
      <alignment horizontal="center"/>
    </xf>
    <xf numFmtId="0" fontId="40" fillId="2" borderId="41" xfId="0" applyFont="1" applyFill="1" applyBorder="1"/>
    <xf numFmtId="0" fontId="40" fillId="0" borderId="42" xfId="0" applyFont="1" applyBorder="1" applyAlignment="1">
      <alignment horizontal="center"/>
    </xf>
    <xf numFmtId="167" fontId="40" fillId="0" borderId="42" xfId="0" applyNumberFormat="1" applyFont="1" applyBorder="1"/>
    <xf numFmtId="0" fontId="40" fillId="2" borderId="43" xfId="0" applyFont="1" applyFill="1" applyBorder="1"/>
    <xf numFmtId="0" fontId="40" fillId="0" borderId="44" xfId="0" applyFont="1" applyBorder="1" applyAlignment="1">
      <alignment horizontal="center" vertical="center"/>
    </xf>
    <xf numFmtId="0" fontId="40" fillId="0" borderId="44" xfId="0" applyFont="1" applyBorder="1" applyAlignment="1">
      <alignment horizontal="center"/>
    </xf>
    <xf numFmtId="167" fontId="40" fillId="0" borderId="44" xfId="0" applyNumberFormat="1" applyFont="1" applyBorder="1"/>
    <xf numFmtId="169" fontId="41" fillId="8" borderId="44" xfId="0" applyNumberFormat="1" applyFont="1" applyFill="1" applyBorder="1"/>
    <xf numFmtId="168" fontId="40" fillId="0" borderId="45" xfId="0" applyNumberFormat="1" applyFont="1" applyBorder="1" applyAlignment="1">
      <alignment horizontal="center"/>
    </xf>
    <xf numFmtId="169" fontId="39" fillId="3" borderId="46" xfId="0" applyNumberFormat="1" applyFont="1" applyFill="1" applyBorder="1"/>
    <xf numFmtId="0" fontId="42" fillId="0" borderId="0" xfId="0" applyFont="1"/>
    <xf numFmtId="2" fontId="42" fillId="0" borderId="0" xfId="0" applyNumberFormat="1" applyFont="1"/>
    <xf numFmtId="0" fontId="10" fillId="3" borderId="20" xfId="0" applyFont="1" applyFill="1" applyBorder="1" applyAlignment="1">
      <alignment horizontal="left" vertical="center" wrapText="1"/>
    </xf>
    <xf numFmtId="0" fontId="4" fillId="0" borderId="21" xfId="0" applyFont="1" applyBorder="1"/>
    <xf numFmtId="0" fontId="4" fillId="0" borderId="22" xfId="0" applyFont="1" applyBorder="1"/>
    <xf numFmtId="0" fontId="12" fillId="0" borderId="10" xfId="0" applyFont="1" applyBorder="1" applyAlignment="1">
      <alignment horizontal="center" vertical="center" wrapText="1"/>
    </xf>
    <xf numFmtId="0" fontId="4" fillId="0" borderId="12" xfId="0" applyFont="1" applyBorder="1"/>
    <xf numFmtId="0" fontId="4" fillId="0" borderId="17" xfId="0" applyFont="1" applyBorder="1"/>
    <xf numFmtId="0" fontId="11" fillId="0" borderId="11" xfId="0" applyFont="1" applyBorder="1" applyAlignment="1">
      <alignment horizontal="center" vertical="center"/>
    </xf>
    <xf numFmtId="0" fontId="4" fillId="0" borderId="13" xfId="0" applyFont="1" applyBorder="1"/>
    <xf numFmtId="0" fontId="4" fillId="0" borderId="18" xfId="0" applyFont="1" applyBorder="1"/>
    <xf numFmtId="0" fontId="9" fillId="3" borderId="2" xfId="0" applyFont="1" applyFill="1" applyBorder="1" applyAlignment="1">
      <alignment horizontal="center"/>
    </xf>
    <xf numFmtId="0" fontId="43" fillId="0" borderId="3" xfId="0" applyFont="1" applyBorder="1"/>
    <xf numFmtId="0" fontId="43" fillId="0" borderId="4" xfId="0" applyFont="1" applyBorder="1"/>
    <xf numFmtId="164" fontId="1" fillId="2" borderId="2" xfId="0" applyNumberFormat="1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9" fillId="4" borderId="2" xfId="0" applyFont="1" applyFill="1" applyBorder="1" applyAlignment="1">
      <alignment horizontal="center"/>
    </xf>
    <xf numFmtId="0" fontId="12" fillId="0" borderId="11" xfId="0" applyFont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4" fillId="0" borderId="15" xfId="0" applyFont="1" applyBorder="1"/>
    <xf numFmtId="0" fontId="12" fillId="0" borderId="10" xfId="0" applyFont="1" applyBorder="1" applyAlignment="1">
      <alignment horizontal="center" vertical="center"/>
    </xf>
    <xf numFmtId="0" fontId="2" fillId="7" borderId="69" xfId="0" applyFont="1" applyFill="1" applyBorder="1" applyAlignment="1">
      <alignment horizontal="center" vertical="center" wrapText="1"/>
    </xf>
    <xf numFmtId="0" fontId="2" fillId="7" borderId="70" xfId="0" applyFont="1" applyFill="1" applyBorder="1" applyAlignment="1">
      <alignment horizontal="center" vertical="center" wrapText="1"/>
    </xf>
    <xf numFmtId="0" fontId="2" fillId="7" borderId="71" xfId="0" applyFont="1" applyFill="1" applyBorder="1" applyAlignment="1">
      <alignment horizontal="center" vertical="center" wrapText="1"/>
    </xf>
    <xf numFmtId="0" fontId="2" fillId="7" borderId="56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0" fontId="22" fillId="2" borderId="52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/>
    </xf>
    <xf numFmtId="0" fontId="4" fillId="0" borderId="48" xfId="0" applyFont="1" applyBorder="1"/>
    <xf numFmtId="0" fontId="4" fillId="0" borderId="53" xfId="0" applyFont="1" applyBorder="1"/>
    <xf numFmtId="0" fontId="4" fillId="0" borderId="49" xfId="0" applyFont="1" applyBorder="1"/>
    <xf numFmtId="0" fontId="2" fillId="7" borderId="79" xfId="0" applyFont="1" applyFill="1" applyBorder="1" applyAlignment="1">
      <alignment horizontal="center" vertical="center" wrapText="1"/>
    </xf>
    <xf numFmtId="0" fontId="2" fillId="7" borderId="80" xfId="0" applyFont="1" applyFill="1" applyBorder="1" applyAlignment="1">
      <alignment horizontal="center" vertical="center" wrapText="1"/>
    </xf>
    <xf numFmtId="0" fontId="2" fillId="7" borderId="78" xfId="0" applyFont="1" applyFill="1" applyBorder="1" applyAlignment="1">
      <alignment horizontal="center" vertical="center" wrapText="1"/>
    </xf>
    <xf numFmtId="0" fontId="2" fillId="7" borderId="76" xfId="0" applyFont="1" applyFill="1" applyBorder="1" applyAlignment="1">
      <alignment horizontal="center" vertical="center" wrapText="1"/>
    </xf>
    <xf numFmtId="0" fontId="2" fillId="7" borderId="77" xfId="0" applyFont="1" applyFill="1" applyBorder="1" applyAlignment="1">
      <alignment horizontal="center" vertical="center" wrapText="1"/>
    </xf>
    <xf numFmtId="0" fontId="2" fillId="7" borderId="81" xfId="0" applyFont="1" applyFill="1" applyBorder="1" applyAlignment="1">
      <alignment horizontal="center" vertical="center" wrapText="1"/>
    </xf>
    <xf numFmtId="0" fontId="34" fillId="7" borderId="5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6" fillId="11" borderId="20" xfId="0" applyFont="1" applyFill="1" applyBorder="1" applyAlignment="1">
      <alignment horizontal="center" vertical="center"/>
    </xf>
    <xf numFmtId="0" fontId="27" fillId="6" borderId="14" xfId="0" applyFont="1" applyFill="1" applyBorder="1" applyAlignment="1">
      <alignment horizontal="center" vertical="center"/>
    </xf>
    <xf numFmtId="0" fontId="4" fillId="0" borderId="64" xfId="0" applyFont="1" applyBorder="1"/>
    <xf numFmtId="0" fontId="4" fillId="0" borderId="65" xfId="0" applyFont="1" applyBorder="1"/>
    <xf numFmtId="0" fontId="26" fillId="12" borderId="66" xfId="0" applyFont="1" applyFill="1" applyBorder="1" applyAlignment="1">
      <alignment horizontal="center" vertical="center"/>
    </xf>
    <xf numFmtId="0" fontId="4" fillId="0" borderId="67" xfId="0" applyFont="1" applyBorder="1"/>
    <xf numFmtId="0" fontId="4" fillId="0" borderId="68" xfId="0" applyFont="1" applyBorder="1"/>
    <xf numFmtId="0" fontId="26" fillId="11" borderId="69" xfId="0" applyFont="1" applyFill="1" applyBorder="1" applyAlignment="1">
      <alignment horizontal="center" vertical="center" wrapText="1"/>
    </xf>
    <xf numFmtId="0" fontId="4" fillId="0" borderId="70" xfId="0" applyFont="1" applyBorder="1"/>
    <xf numFmtId="0" fontId="4" fillId="0" borderId="71" xfId="0" applyFont="1" applyBorder="1"/>
    <xf numFmtId="0" fontId="27" fillId="2" borderId="10" xfId="0" applyFont="1" applyFill="1" applyBorder="1" applyAlignment="1">
      <alignment horizontal="center" vertical="center" wrapText="1"/>
    </xf>
    <xf numFmtId="0" fontId="4" fillId="0" borderId="51" xfId="0" applyFont="1" applyBorder="1"/>
    <xf numFmtId="166" fontId="24" fillId="11" borderId="69" xfId="0" applyNumberFormat="1" applyFont="1" applyFill="1" applyBorder="1" applyAlignment="1">
      <alignment horizontal="center" wrapText="1"/>
    </xf>
    <xf numFmtId="0" fontId="18" fillId="0" borderId="70" xfId="0" applyFont="1" applyBorder="1"/>
    <xf numFmtId="0" fontId="18" fillId="0" borderId="71" xfId="0" applyFont="1" applyBorder="1"/>
    <xf numFmtId="0" fontId="26" fillId="7" borderId="20" xfId="0" applyFont="1" applyFill="1" applyBorder="1" applyAlignment="1">
      <alignment horizontal="center" vertical="center"/>
    </xf>
    <xf numFmtId="0" fontId="27" fillId="13" borderId="69" xfId="0" applyFont="1" applyFill="1" applyBorder="1" applyAlignment="1">
      <alignment horizontal="center" vertical="center" wrapText="1"/>
    </xf>
    <xf numFmtId="0" fontId="26" fillId="11" borderId="69" xfId="0" applyFont="1" applyFill="1" applyBorder="1" applyAlignment="1">
      <alignment horizontal="center"/>
    </xf>
    <xf numFmtId="0" fontId="19" fillId="0" borderId="59" xfId="0" applyFont="1" applyBorder="1" applyAlignment="1">
      <alignment horizontal="left" vertical="center"/>
    </xf>
    <xf numFmtId="0" fontId="4" fillId="0" borderId="61" xfId="0" applyFont="1" applyBorder="1"/>
    <xf numFmtId="0" fontId="19" fillId="0" borderId="59" xfId="0" applyFont="1" applyBorder="1" applyAlignment="1">
      <alignment horizontal="left" vertical="center" wrapText="1"/>
    </xf>
    <xf numFmtId="0" fontId="25" fillId="2" borderId="2" xfId="0" applyFont="1" applyFill="1" applyBorder="1" applyAlignment="1">
      <alignment horizontal="center" vertical="center"/>
    </xf>
    <xf numFmtId="0" fontId="26" fillId="3" borderId="59" xfId="0" applyFont="1" applyFill="1" applyBorder="1" applyAlignment="1">
      <alignment horizontal="center" vertical="center"/>
    </xf>
    <xf numFmtId="0" fontId="4" fillId="0" borderId="60" xfId="0" applyFont="1" applyBorder="1"/>
    <xf numFmtId="0" fontId="19" fillId="0" borderId="62" xfId="0" applyFont="1" applyBorder="1" applyAlignment="1">
      <alignment horizontal="left" vertical="center"/>
    </xf>
    <xf numFmtId="0" fontId="4" fillId="0" borderId="63" xfId="0" applyFont="1" applyBorder="1"/>
    <xf numFmtId="0" fontId="26" fillId="3" borderId="59" xfId="0" applyFont="1" applyFill="1" applyBorder="1" applyAlignment="1">
      <alignment horizontal="center" vertical="center" wrapText="1"/>
    </xf>
    <xf numFmtId="0" fontId="4" fillId="21" borderId="60" xfId="0" applyFont="1" applyFill="1" applyBorder="1" applyAlignment="1">
      <alignment horizontal="center"/>
    </xf>
    <xf numFmtId="0" fontId="4" fillId="21" borderId="61" xfId="0" applyFont="1" applyFill="1" applyBorder="1" applyAlignment="1">
      <alignment horizontal="center"/>
    </xf>
    <xf numFmtId="0" fontId="26" fillId="3" borderId="60" xfId="0" applyFont="1" applyFill="1" applyBorder="1" applyAlignment="1">
      <alignment horizontal="center" vertical="center"/>
    </xf>
    <xf numFmtId="166" fontId="19" fillId="9" borderId="59" xfId="0" applyNumberFormat="1" applyFont="1" applyFill="1" applyBorder="1" applyAlignment="1">
      <alignment horizontal="center" vertical="center"/>
    </xf>
    <xf numFmtId="166" fontId="19" fillId="9" borderId="61" xfId="0" applyNumberFormat="1" applyFont="1" applyFill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F3864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customschemas.google.com/relationships/workbookmetadata" Target="metadata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600075</xdr:colOff>
      <xdr:row>6</xdr:row>
      <xdr:rowOff>257175</xdr:rowOff>
    </xdr:from>
    <xdr:ext cx="2486025" cy="9429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962650" y="2085975"/>
          <a:ext cx="2486025" cy="942975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w="120000" h="120000" fill="none" extrusionOk="0">
              <a:moveTo>
                <a:pt x="-10000" y="22500"/>
              </a:moveTo>
              <a:lnTo>
                <a:pt x="-20000" y="22500"/>
              </a:lnTo>
              <a:lnTo>
                <a:pt x="-8593" y="22684"/>
              </a:lnTo>
            </a:path>
          </a:pathLst>
        </a:custGeom>
        <a:solidFill>
          <a:srgbClr val="BFBFBF"/>
        </a:solidFill>
        <a:ln w="12700" cap="flat" cmpd="sng">
          <a:solidFill>
            <a:srgbClr val="1F386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 cap="none">
            <a:solidFill>
              <a:schemeClr val="dk1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0" cap="none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IMPORTANTE</a:t>
          </a:r>
          <a:endParaRPr sz="1100" b="0" cap="none">
            <a:solidFill>
              <a:srgbClr val="C0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cap="none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Los días minimos de andamio deben consultarse con el proveedor </a:t>
          </a:r>
          <a:endParaRPr sz="1100" b="0" cap="none">
            <a:solidFill>
              <a:srgbClr val="C00000"/>
            </a:solidFill>
          </a:endParaRPr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octrl2\techo\Documents%20and%20Settings\jrodrigv\Mis%20documentos\AHORA\Programa%20Gestion%20en%20Cambios%20de%20Producto\Excel\Excel%2016%2003%2004\Base%20de%20Dat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geniesys-my.sharepoint.com/CACIQUE/Curso%20de%20Excel/App_Excel_For_All/Plantillas%20Web/4.%20Plantilla_TablaAmortizaci&#243;n_Prestamo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yog\PERFILES%20DEFINITIVO\Documents%20and%20Settings\godoyger\Escritorio\JABS\PERFILES\consolidado%20Perfil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geniesys-my.sharepoint.com/Users/Usuario/Desktop/CALCULADORA/COSTOS%20SEPTIEMBR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garcia3\Documents\2%20Plan%20de%20Acci&#243;n%20+%20INDICADORES_SGGC\2019\FO-AC-80_RENDICION_DE_CUENTAS_SST_0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geniesys-my.sharepoint.com/Users/Luis%20Fernando%20Donis/AppData/Local/Microsoft/Windows/Temporary%20Internet%20Files/Content.Outlook/ZBC0U4KF/Salario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geniesys-my.sharepoint.com/Users/Orlando/Documents/BMC/Proyectos/PMC/Modelo%20de%20Gobierno/Dise&#241;o/Analisis%20de%20Salario%20V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triz%20de%20peligros,%20Identificacion%20y%20control%20de%20riesgos\Users\usuario\Downloads\PFR%20GTC%2045%20ALGAMA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geniesys-my.sharepoint.com/Users/ITX8311/AppData/Local/Microsoft/Windows/Temporary%20Internet%20Files/Content.Outlook/V5AA51PE/BASE%20DE%20DATOS%20PROVEEDORES%20INTERNEX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9FCF68A\PANORAMA%20DE%20FACTORES%20DE%20RIESGO%20DOMETAL%202013%20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geniesys-my.sharepoint.com/Users/lenovo/Downloads/planilla-de-excel-para-control-de-stock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geniesys-my.sharepoint.com/Users/santiago/Downloads/planilla-de-excel-para-el-aplicativo-de-compras-y-venta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9F532FA\PRCSST029%20PROCEDIMIENTO%20REPORTE%20EL%20-%20copia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triz%20de%20peligros,%20Identificacion%20y%20control%20de%20riesgos\Users\USUARIO1\Documents\MIS%20DOCUMENTOS\CLIENTES%202014\Fotomontajes\PANORAMA%20DE%20RIESGOS%20FOTOMONTAJES%20201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triz%20de%20peligros,%20Identificacion%20y%20control%20de%20riesgos\Users\d3g7a2o9\Documents\CLIENTES\DOMETAL\SG-SST%20DOMETAL%202013\ANEXOS\Users\usuario\Desktop\MY%20MEMORIA\CLIENTES\ALGAMAR\PANORAMA%20DE%20RIESGOS%20ALGAMAR%20S.A%20OK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geniesys-my.sharepoint.com/CACIQUE/Curso%20de%20Excel/App_Excel_For_All/Plantillas%20Web/6.%20Plantilla%20Administraci&#243;n%20proyectos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geniesys-my.sharepoint.com/Users/salud/Documents/SG%20SST%20SERVIGPODER/AT%20SERVIGPODER%202020/AT%202020%20-%20copi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geniesys-my.sharepoint.com/Users/bt%20latam/Desktop/Docs_Licitacion/ANEXO%20LB_01_COBERTURA_GEOGRAFIC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geniesys-my.sharepoint.com/Users/CarlosIgnacio/Documents/APS/AUDITORIA/2020/EHS/13.%20MATRIZ%20RYP/MATRIZ%20RYP%20CKB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geniesys-my.sharepoint.com/SALUD%20OCUPACIONAL/CONTRATISTAS/ORBECOM/ATS%20Formato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geniesys-my.sharepoint.com/Users/CarlosIgnacio/Downloads/Request_For_Information_Log-ES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E DATOS"/>
      <sheetName val="#¡REF"/>
      <sheetName val="INFORME "/>
    </sheetNames>
    <sheetDataSet>
      <sheetData sheetId="0">
        <row r="6">
          <cell r="B6" t="str">
            <v>ADRIANA BRICE¥O VIDAL</v>
          </cell>
          <cell r="C6" t="str">
            <v>0EBC119</v>
          </cell>
          <cell r="D6" t="str">
            <v>ABRAHAM LINCON*</v>
          </cell>
        </row>
        <row r="7">
          <cell r="B7" t="str">
            <v>HAROLD EDUARDO RINCON PULIDO</v>
          </cell>
          <cell r="C7" t="str">
            <v>0EGB096</v>
          </cell>
          <cell r="D7" t="str">
            <v>AEROPUERTO INSTITUC</v>
          </cell>
        </row>
        <row r="8">
          <cell r="B8" t="str">
            <v>JAIRO EDGAR GOMEZ BAOS</v>
          </cell>
          <cell r="C8" t="str">
            <v>0EHB104</v>
          </cell>
          <cell r="D8" t="str">
            <v>ALAMOS*</v>
          </cell>
        </row>
        <row r="9">
          <cell r="B9" t="str">
            <v>GERMAN COLMENARES AMADOR</v>
          </cell>
          <cell r="C9" t="str">
            <v>0EKB74B</v>
          </cell>
          <cell r="D9" t="str">
            <v>ALFONSO LOPEZ*</v>
          </cell>
        </row>
        <row r="10">
          <cell r="B10" t="str">
            <v>LUIS ALBERTO JARA AVILA</v>
          </cell>
          <cell r="C10" t="str">
            <v>0EKB74A</v>
          </cell>
          <cell r="D10" t="str">
            <v>ALFONSO LOPEZ*</v>
          </cell>
        </row>
        <row r="11">
          <cell r="B11" t="str">
            <v>MARCO CESAR LOPEZ DAZA</v>
          </cell>
          <cell r="C11" t="str">
            <v>0EBC149</v>
          </cell>
          <cell r="D11" t="str">
            <v>ALFONSO LOPEZ-LOMA</v>
          </cell>
        </row>
        <row r="12">
          <cell r="B12" t="str">
            <v>JOSE ANTONIO CA¥IZARES MORALES</v>
          </cell>
          <cell r="C12" t="str">
            <v>0EKB47A</v>
          </cell>
          <cell r="D12" t="str">
            <v>ALHAMBRA</v>
          </cell>
        </row>
        <row r="13">
          <cell r="B13" t="str">
            <v>LUIS ALBERTO CAVIEDES CAVIEDES</v>
          </cell>
          <cell r="C13" t="str">
            <v>0EKB47C</v>
          </cell>
          <cell r="D13" t="str">
            <v>ALHAMBRA</v>
          </cell>
        </row>
        <row r="14">
          <cell r="B14" t="str">
            <v>MONICA MARCELA CASTILLO ALFONS</v>
          </cell>
          <cell r="C14" t="str">
            <v>0EKB47B</v>
          </cell>
          <cell r="D14" t="str">
            <v>ALHAMBRA</v>
          </cell>
        </row>
        <row r="15">
          <cell r="B15" t="str">
            <v>ANA PATRICIA JIMENEZ JIMENEZ</v>
          </cell>
          <cell r="C15" t="str">
            <v>0EHB151</v>
          </cell>
          <cell r="D15" t="str">
            <v>ALMENAR*</v>
          </cell>
        </row>
        <row r="16">
          <cell r="B16" t="str">
            <v>HECTOR ERNESTO MORALES SOSA</v>
          </cell>
          <cell r="C16" t="str">
            <v>0EAB32A</v>
          </cell>
          <cell r="D16" t="str">
            <v>ALQUERIA</v>
          </cell>
        </row>
        <row r="17">
          <cell r="B17" t="str">
            <v>OMAR JESUS CORDERO PAEZ</v>
          </cell>
          <cell r="C17" t="str">
            <v>0EAB32B</v>
          </cell>
          <cell r="D17" t="str">
            <v>ALQUERIA</v>
          </cell>
        </row>
        <row r="18">
          <cell r="B18" t="str">
            <v>OLGA EMILSE BRAVO ROMERO</v>
          </cell>
          <cell r="C18" t="str">
            <v>0EHB138</v>
          </cell>
          <cell r="D18" t="str">
            <v>ALQUERIA*</v>
          </cell>
        </row>
        <row r="19">
          <cell r="B19" t="str">
            <v>JHON JAIRO VELASQUEZ MEDINA</v>
          </cell>
          <cell r="C19" t="str">
            <v>0EBC140</v>
          </cell>
          <cell r="D19" t="str">
            <v>ALTO DE LA CRUZ-LOMA</v>
          </cell>
        </row>
        <row r="20">
          <cell r="B20" t="str">
            <v>LUZ ADRIANA URDANETA ESPINOSA</v>
          </cell>
          <cell r="C20" t="str">
            <v>0EBC128</v>
          </cell>
          <cell r="D20" t="str">
            <v>ANTONIO GALAN</v>
          </cell>
        </row>
        <row r="21">
          <cell r="B21" t="str">
            <v>PABLO SARMIENTO</v>
          </cell>
          <cell r="C21" t="str">
            <v>0EHB127</v>
          </cell>
          <cell r="D21" t="str">
            <v>ARABIA*</v>
          </cell>
        </row>
        <row r="22">
          <cell r="B22" t="str">
            <v>SANDRA PATRICIA PELAEZ TORRES</v>
          </cell>
          <cell r="C22" t="str">
            <v>0EAB005</v>
          </cell>
          <cell r="D22" t="str">
            <v>ATENAS*</v>
          </cell>
        </row>
        <row r="23">
          <cell r="B23" t="str">
            <v>VICTOR MANUEL RODRIGUEZ</v>
          </cell>
          <cell r="C23" t="str">
            <v>0EKB122</v>
          </cell>
          <cell r="D23" t="str">
            <v>AURES*</v>
          </cell>
        </row>
        <row r="24">
          <cell r="B24" t="str">
            <v>YESID FRANCISCO ZAMUDIO</v>
          </cell>
          <cell r="C24" t="str">
            <v>0EAB004</v>
          </cell>
          <cell r="D24" t="str">
            <v>AYACUCHO*</v>
          </cell>
        </row>
        <row r="25">
          <cell r="B25" t="str">
            <v>HERNANDO BUSTOS CARDENAS</v>
          </cell>
          <cell r="C25" t="str">
            <v>0EKB140</v>
          </cell>
          <cell r="D25" t="str">
            <v>BARRANCAS</v>
          </cell>
        </row>
        <row r="26">
          <cell r="B26" t="str">
            <v>MARIA MARGARITA BONILLA L.</v>
          </cell>
          <cell r="C26" t="str">
            <v>0EHB119</v>
          </cell>
          <cell r="D26" t="str">
            <v>BATAVIA*</v>
          </cell>
        </row>
        <row r="27">
          <cell r="B27" t="str">
            <v>JOSE ORLANDO GUTIERREZ FAJARDO</v>
          </cell>
          <cell r="C27" t="str">
            <v>0EAB056</v>
          </cell>
          <cell r="D27" t="str">
            <v>BELEN*</v>
          </cell>
        </row>
        <row r="28">
          <cell r="B28" t="str">
            <v>LUZ AMPARO LEON ZAPATA</v>
          </cell>
          <cell r="C28" t="str">
            <v>0EKB105</v>
          </cell>
          <cell r="D28" t="str">
            <v>BELLAVISTA*</v>
          </cell>
        </row>
        <row r="29">
          <cell r="B29" t="str">
            <v>MIGUEL ANGEL FORERO RAMIREZ</v>
          </cell>
          <cell r="C29" t="str">
            <v>0EKB25A</v>
          </cell>
          <cell r="D29" t="str">
            <v>BILBAO*</v>
          </cell>
        </row>
        <row r="30">
          <cell r="B30" t="str">
            <v>REGULO FORERO MATEUS</v>
          </cell>
          <cell r="C30" t="str">
            <v>0EKB25B</v>
          </cell>
          <cell r="D30" t="str">
            <v>BILBAO*</v>
          </cell>
        </row>
        <row r="31">
          <cell r="B31" t="str">
            <v>NYDIA SOTELO DUARTE</v>
          </cell>
          <cell r="C31" t="str">
            <v>0EBC158</v>
          </cell>
          <cell r="D31" t="str">
            <v>BOCHICA</v>
          </cell>
        </row>
        <row r="32">
          <cell r="B32" t="str">
            <v>NESTOR ANTONIO SERRANO VELASCO</v>
          </cell>
          <cell r="C32" t="str">
            <v>0EHB42A</v>
          </cell>
          <cell r="D32" t="str">
            <v>BOITA</v>
          </cell>
        </row>
        <row r="33">
          <cell r="B33" t="str">
            <v>ANDRES MENDEZ REVOLLO</v>
          </cell>
          <cell r="C33" t="str">
            <v>0EHB42B</v>
          </cell>
          <cell r="D33" t="str">
            <v>BOITA*</v>
          </cell>
        </row>
        <row r="34">
          <cell r="B34" t="str">
            <v>ADRIANA BENAVIDES ARIAS</v>
          </cell>
          <cell r="C34" t="str">
            <v>0EKB17B</v>
          </cell>
          <cell r="D34" t="str">
            <v>BOLIVIA</v>
          </cell>
        </row>
        <row r="35">
          <cell r="B35" t="str">
            <v>RODRIGO HERNANDO DIAZ LEON</v>
          </cell>
          <cell r="C35" t="str">
            <v>0EKB17A</v>
          </cell>
          <cell r="D35" t="str">
            <v>BOLIVIA</v>
          </cell>
        </row>
        <row r="36">
          <cell r="B36" t="str">
            <v>LUZ ANGELA RODRIGUEZ CASTRO</v>
          </cell>
          <cell r="C36" t="str">
            <v>0EHB155</v>
          </cell>
          <cell r="D36" t="str">
            <v>BOMBEROS*</v>
          </cell>
        </row>
        <row r="37">
          <cell r="B37" t="str">
            <v>NELSON DARIO GARZON PARRA</v>
          </cell>
          <cell r="C37" t="str">
            <v>0EHB02B</v>
          </cell>
          <cell r="D37" t="str">
            <v>BOSA BRASIL*</v>
          </cell>
        </row>
        <row r="38">
          <cell r="B38" t="str">
            <v>WILLIAN ENRIQUE GOMEZ TAPIERO</v>
          </cell>
          <cell r="C38" t="str">
            <v>0EHB02A</v>
          </cell>
          <cell r="D38" t="str">
            <v>BOSA BRASIL*</v>
          </cell>
        </row>
        <row r="39">
          <cell r="B39" t="str">
            <v>CARLOS ALFONSO GOMEZ MORENO</v>
          </cell>
          <cell r="C39" t="str">
            <v>0EBC127</v>
          </cell>
          <cell r="D39" t="str">
            <v>BOSA CENTRO</v>
          </cell>
        </row>
        <row r="248">
          <cell r="A248" t="str">
            <v>09054</v>
          </cell>
          <cell r="B248" t="str">
            <v>SANDRA RUBIELA MURCIA LANCHERO</v>
          </cell>
          <cell r="C248" t="str">
            <v>0EBC108</v>
          </cell>
        </row>
        <row r="249">
          <cell r="A249" t="str">
            <v>09051</v>
          </cell>
          <cell r="B249" t="str">
            <v>SANDRA PATRICIA MEJIA RENDON</v>
          </cell>
          <cell r="C249" t="str">
            <v>0EAB111</v>
          </cell>
        </row>
        <row r="250">
          <cell r="A250" t="str">
            <v>08847</v>
          </cell>
          <cell r="B250" t="str">
            <v>EDDY NILSON GAMBOA VASQUEZ</v>
          </cell>
          <cell r="C250" t="str">
            <v>0EBC137</v>
          </cell>
        </row>
        <row r="251">
          <cell r="A251" t="str">
            <v>10630</v>
          </cell>
          <cell r="B251" t="str">
            <v>PAULINA RESTREPO MORENO</v>
          </cell>
          <cell r="C251" t="str">
            <v>0EHB121</v>
          </cell>
        </row>
        <row r="252">
          <cell r="A252" t="str">
            <v>08800</v>
          </cell>
          <cell r="B252" t="str">
            <v>ALICIA RINCON MOLINA</v>
          </cell>
          <cell r="C252" t="str">
            <v>0EHB129</v>
          </cell>
        </row>
        <row r="253">
          <cell r="A253" t="str">
            <v>09044</v>
          </cell>
          <cell r="B253" t="str">
            <v>ROBERTO LOZANO PIEDERNA</v>
          </cell>
          <cell r="C253" t="str">
            <v>0EAB101</v>
          </cell>
        </row>
        <row r="254">
          <cell r="A254" t="str">
            <v>08841</v>
          </cell>
          <cell r="B254" t="str">
            <v>DEISY ORTIZ ARIAS</v>
          </cell>
          <cell r="C254" t="str">
            <v>0EAB113</v>
          </cell>
        </row>
        <row r="255">
          <cell r="A255" t="str">
            <v>09002</v>
          </cell>
          <cell r="B255" t="str">
            <v>ODILIA JIMENEZ CARDENAS</v>
          </cell>
          <cell r="C255" t="str">
            <v>0EBC152</v>
          </cell>
        </row>
        <row r="256">
          <cell r="A256" t="str">
            <v>08812</v>
          </cell>
          <cell r="B256" t="str">
            <v>ANGELA JOHANA GRISALES CARVAJA</v>
          </cell>
          <cell r="C256" t="str">
            <v>0EBC105</v>
          </cell>
        </row>
        <row r="257">
          <cell r="A257" t="str">
            <v>08852</v>
          </cell>
        </row>
        <row r="258">
          <cell r="A258" t="str">
            <v>10628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 AYUDA -"/>
      <sheetName val="TABLA AMORTIZACIÓN"/>
      <sheetName val="Hoja1"/>
    </sheetNames>
    <sheetDataSet>
      <sheetData sheetId="0" refreshError="1"/>
      <sheetData sheetId="1">
        <row r="7">
          <cell r="D7">
            <v>1000000</v>
          </cell>
        </row>
        <row r="9">
          <cell r="D9">
            <v>96</v>
          </cell>
        </row>
        <row r="12">
          <cell r="D12">
            <v>15917.674824714726</v>
          </cell>
        </row>
      </sheetData>
      <sheetData sheetId="2">
        <row r="7">
          <cell r="D7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O ESQUEMA"/>
      <sheetName val="FORMATO LIMPIO"/>
    </sheetNames>
    <sheetDataSet>
      <sheetData sheetId="0"/>
      <sheetData sheetId="1">
        <row r="180">
          <cell r="F180" t="str">
            <v>DEFINITIVA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0_PARAMETROS"/>
      <sheetName val="A_RESUMEN COTIZACION"/>
      <sheetName val="B_AUXILIAR PV NOVEDADES"/>
      <sheetName val="C_COSTO DISTRIBUIDO_PV HH"/>
      <sheetName val="1_PERSONAL_ASIGNADO"/>
      <sheetName val="1.a_AUXILIAR_SALARIO_VAR"/>
      <sheetName val="2_COSTEO DIRECTO"/>
      <sheetName val="2.a_DOT_EPP_PERSONAL"/>
      <sheetName val="2.b_CURSOS_EXAMENES"/>
      <sheetName val="2.c_KIT_HTA_PERSONAL"/>
      <sheetName val="2.d_CONCEPTOS_GENERALES"/>
      <sheetName val="3_ANALISIS_A"/>
      <sheetName val="4_ANALISIS_I"/>
      <sheetName val="5_ANALISIS_COSTOS_COMERCIALES"/>
      <sheetName val="6.a_TABLAS_PV"/>
      <sheetName val="6.b_PV_CONSULTORIA_ESPECIAL"/>
      <sheetName val="6.c_PV_CMMS"/>
      <sheetName val="6.d_PV_APOYO_EXTERNO"/>
      <sheetName val="6.e_PV_MATERIALES_CONSUMIBLES"/>
      <sheetName val="6.f_PV_VIATICOS_ESPECIALES"/>
      <sheetName val="6.g_PV_EQUIPOS"/>
      <sheetName val="TM_LISTAS"/>
      <sheetName val="REF_LABORAL"/>
    </sheetNames>
    <sheetDataSet>
      <sheetData sheetId="0" refreshError="1"/>
      <sheetData sheetId="1">
        <row r="24">
          <cell r="B24">
            <v>0.34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63">
          <cell r="E63">
            <v>0.50302302252758613</v>
          </cell>
        </row>
      </sheetData>
      <sheetData sheetId="13">
        <row r="22">
          <cell r="D22">
            <v>0.19687783817077176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o"/>
      <sheetName val="paramentros"/>
      <sheetName val="Control"/>
    </sheetNames>
    <sheetDataSet>
      <sheetData sheetId="0" refreshError="1"/>
      <sheetData sheetId="1" refreshError="1">
        <row r="6">
          <cell r="F6">
            <v>1</v>
          </cell>
          <cell r="H6">
            <v>2018</v>
          </cell>
        </row>
        <row r="7">
          <cell r="F7">
            <v>2</v>
          </cell>
          <cell r="H7">
            <v>2019</v>
          </cell>
        </row>
        <row r="8">
          <cell r="F8">
            <v>3</v>
          </cell>
          <cell r="H8">
            <v>2020</v>
          </cell>
        </row>
        <row r="9">
          <cell r="F9">
            <v>4</v>
          </cell>
          <cell r="H9">
            <v>2021</v>
          </cell>
        </row>
        <row r="10">
          <cell r="F10">
            <v>5</v>
          </cell>
          <cell r="H10">
            <v>2022</v>
          </cell>
        </row>
        <row r="11">
          <cell r="F11">
            <v>6</v>
          </cell>
          <cell r="H11">
            <v>2023</v>
          </cell>
        </row>
        <row r="12">
          <cell r="F12">
            <v>7</v>
          </cell>
          <cell r="H12">
            <v>2024</v>
          </cell>
        </row>
        <row r="13">
          <cell r="F13">
            <v>8</v>
          </cell>
        </row>
        <row r="14">
          <cell r="F14">
            <v>9</v>
          </cell>
        </row>
        <row r="15">
          <cell r="F15">
            <v>10</v>
          </cell>
        </row>
        <row r="16">
          <cell r="F16">
            <v>11</v>
          </cell>
        </row>
        <row r="17">
          <cell r="F17">
            <v>12</v>
          </cell>
        </row>
        <row r="18">
          <cell r="F18">
            <v>13</v>
          </cell>
        </row>
        <row r="19">
          <cell r="F19">
            <v>14</v>
          </cell>
        </row>
        <row r="20">
          <cell r="F20">
            <v>15</v>
          </cell>
        </row>
        <row r="21">
          <cell r="F21">
            <v>16</v>
          </cell>
        </row>
        <row r="22">
          <cell r="F22">
            <v>17</v>
          </cell>
        </row>
        <row r="23">
          <cell r="F23">
            <v>18</v>
          </cell>
        </row>
        <row r="24">
          <cell r="F24">
            <v>19</v>
          </cell>
        </row>
        <row r="25">
          <cell r="F25">
            <v>20</v>
          </cell>
        </row>
        <row r="26">
          <cell r="F26">
            <v>21</v>
          </cell>
        </row>
        <row r="27">
          <cell r="F27">
            <v>22</v>
          </cell>
        </row>
        <row r="28">
          <cell r="F28">
            <v>23</v>
          </cell>
        </row>
        <row r="29">
          <cell r="F29">
            <v>24</v>
          </cell>
        </row>
        <row r="30">
          <cell r="F30">
            <v>25</v>
          </cell>
        </row>
        <row r="31">
          <cell r="F31">
            <v>26</v>
          </cell>
        </row>
        <row r="32">
          <cell r="F32">
            <v>27</v>
          </cell>
        </row>
        <row r="33">
          <cell r="F33">
            <v>28</v>
          </cell>
        </row>
        <row r="34">
          <cell r="F34">
            <v>29</v>
          </cell>
        </row>
        <row r="35">
          <cell r="F35">
            <v>30</v>
          </cell>
        </row>
        <row r="36">
          <cell r="F36">
            <v>31</v>
          </cell>
        </row>
      </sheetData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S-ANT-EDAD"/>
      <sheetName val="Hoja1"/>
      <sheetName val="Gráfico3"/>
      <sheetName val="Escala Salaria"/>
      <sheetName val="BD"/>
      <sheetName val="Hoja2"/>
      <sheetName val="Filtro"/>
      <sheetName val="Organigrama"/>
    </sheetNames>
    <sheetDataSet>
      <sheetData sheetId="0"/>
      <sheetData sheetId="1"/>
      <sheetData sheetId="2" refreshError="1"/>
      <sheetData sheetId="3"/>
      <sheetData sheetId="4">
        <row r="2">
          <cell r="E2" t="str">
            <v>RSS</v>
          </cell>
          <cell r="F2" t="str">
            <v>AREA</v>
          </cell>
          <cell r="G2" t="str">
            <v>NIVEL</v>
          </cell>
          <cell r="I2" t="str">
            <v>EDAD</v>
          </cell>
          <cell r="K2" t="str">
            <v>Antigüedad (Anos)</v>
          </cell>
          <cell r="O2" t="str">
            <v>NOMINA</v>
          </cell>
          <cell r="P2" t="str">
            <v>HEAD COUNT</v>
          </cell>
        </row>
        <row r="3">
          <cell r="E3" t="str">
            <v>S</v>
          </cell>
          <cell r="F3" t="str">
            <v>Presidencia</v>
          </cell>
          <cell r="G3" t="str">
            <v>Presidencia</v>
          </cell>
          <cell r="I3">
            <v>57.050880625634193</v>
          </cell>
          <cell r="K3">
            <v>31.29471624207255</v>
          </cell>
          <cell r="O3">
            <v>419205600</v>
          </cell>
          <cell r="P3">
            <v>1</v>
          </cell>
        </row>
        <row r="4">
          <cell r="E4" t="str">
            <v>S</v>
          </cell>
          <cell r="F4" t="str">
            <v>Técnica</v>
          </cell>
          <cell r="G4" t="str">
            <v>1 Nivel</v>
          </cell>
          <cell r="I4">
            <v>53.804305283168439</v>
          </cell>
          <cell r="K4">
            <v>5.9796477489218667</v>
          </cell>
          <cell r="O4">
            <v>315893851.20000005</v>
          </cell>
          <cell r="P4">
            <v>1</v>
          </cell>
        </row>
        <row r="5">
          <cell r="E5" t="str">
            <v>S</v>
          </cell>
          <cell r="F5" t="str">
            <v>Administrativa</v>
          </cell>
          <cell r="G5" t="str">
            <v>2 Nivel</v>
          </cell>
          <cell r="I5">
            <v>61.922113502346527</v>
          </cell>
          <cell r="K5">
            <v>13.571428570839675</v>
          </cell>
          <cell r="O5">
            <v>221099999.77028596</v>
          </cell>
          <cell r="P5">
            <v>1</v>
          </cell>
        </row>
        <row r="6">
          <cell r="E6" t="str">
            <v>S</v>
          </cell>
          <cell r="F6" t="str">
            <v>Técnica</v>
          </cell>
          <cell r="G6" t="str">
            <v>2 Nivel</v>
          </cell>
          <cell r="I6">
            <v>46.390606653031455</v>
          </cell>
          <cell r="K6">
            <v>20.996086105086249</v>
          </cell>
          <cell r="O6">
            <v>212256000</v>
          </cell>
          <cell r="P6">
            <v>1</v>
          </cell>
        </row>
        <row r="7">
          <cell r="E7" t="str">
            <v>S</v>
          </cell>
          <cell r="F7" t="str">
            <v>Auditoria Técnica</v>
          </cell>
          <cell r="G7" t="str">
            <v>3 Nivel</v>
          </cell>
          <cell r="I7">
            <v>50.818003913305425</v>
          </cell>
          <cell r="K7">
            <v>4.3878669270040582</v>
          </cell>
          <cell r="O7">
            <v>184919999.77028593</v>
          </cell>
          <cell r="P7">
            <v>1</v>
          </cell>
        </row>
        <row r="8">
          <cell r="E8" t="str">
            <v>S</v>
          </cell>
          <cell r="F8" t="str">
            <v>Comercial</v>
          </cell>
          <cell r="G8" t="str">
            <v>2 Nivel</v>
          </cell>
          <cell r="I8">
            <v>35.867318981798576</v>
          </cell>
          <cell r="K8">
            <v>2.2399217215246061</v>
          </cell>
          <cell r="O8">
            <v>176880000.22971407</v>
          </cell>
          <cell r="P8">
            <v>1</v>
          </cell>
        </row>
        <row r="9">
          <cell r="E9" t="str">
            <v>S</v>
          </cell>
          <cell r="F9" t="str">
            <v>Diseño</v>
          </cell>
          <cell r="G9" t="str">
            <v>2 Nivel</v>
          </cell>
          <cell r="I9">
            <v>49.360469666730083</v>
          </cell>
          <cell r="K9">
            <v>25.952250488647895</v>
          </cell>
          <cell r="O9">
            <v>211151999.71542883</v>
          </cell>
          <cell r="P9">
            <v>1</v>
          </cell>
        </row>
        <row r="10">
          <cell r="E10" t="str">
            <v>S</v>
          </cell>
          <cell r="F10" t="str">
            <v>Técnica</v>
          </cell>
          <cell r="G10" t="str">
            <v>4 Nivel</v>
          </cell>
          <cell r="I10">
            <v>44.502935420154742</v>
          </cell>
          <cell r="K10">
            <v>0.54677103659309911</v>
          </cell>
          <cell r="O10">
            <v>157319999.86752003</v>
          </cell>
          <cell r="P10">
            <v>1</v>
          </cell>
        </row>
        <row r="11">
          <cell r="E11" t="str">
            <v>S</v>
          </cell>
          <cell r="F11" t="str">
            <v>Diseño</v>
          </cell>
          <cell r="G11" t="str">
            <v>4 Nivel</v>
          </cell>
          <cell r="I11">
            <v>37.494716242072549</v>
          </cell>
          <cell r="K11">
            <v>10.407045009195839</v>
          </cell>
          <cell r="O11">
            <v>128640000.22971436</v>
          </cell>
          <cell r="P11">
            <v>1</v>
          </cell>
        </row>
        <row r="12">
          <cell r="E12" t="str">
            <v>S</v>
          </cell>
          <cell r="F12" t="str">
            <v>Técnica</v>
          </cell>
          <cell r="G12" t="str">
            <v>2 Nivel</v>
          </cell>
          <cell r="I12">
            <v>38.533072406456114</v>
          </cell>
          <cell r="K12">
            <v>8.2043052831684413</v>
          </cell>
          <cell r="O12">
            <v>159360000.28457156</v>
          </cell>
          <cell r="P12">
            <v>1</v>
          </cell>
        </row>
        <row r="13">
          <cell r="E13" t="str">
            <v>S</v>
          </cell>
          <cell r="F13" t="str">
            <v>Técnica</v>
          </cell>
          <cell r="G13" t="str">
            <v>4 Nivel</v>
          </cell>
          <cell r="I13">
            <v>39.73581213248351</v>
          </cell>
          <cell r="K13">
            <v>0.55225048864789372</v>
          </cell>
          <cell r="O13">
            <v>115920000.13248</v>
          </cell>
          <cell r="P13">
            <v>1</v>
          </cell>
        </row>
        <row r="14">
          <cell r="E14" t="str">
            <v>S</v>
          </cell>
          <cell r="F14" t="str">
            <v>Técnica</v>
          </cell>
          <cell r="G14" t="str">
            <v>4 Nivel</v>
          </cell>
          <cell r="I14">
            <v>48.513894324264335</v>
          </cell>
          <cell r="K14">
            <v>22.626223091387619</v>
          </cell>
          <cell r="O14">
            <v>139439999.71542865</v>
          </cell>
          <cell r="P14">
            <v>1</v>
          </cell>
        </row>
        <row r="15">
          <cell r="E15" t="str">
            <v>S</v>
          </cell>
          <cell r="F15" t="str">
            <v>Técnica</v>
          </cell>
          <cell r="G15" t="str">
            <v>4 Nivel</v>
          </cell>
          <cell r="I15">
            <v>58.239921721524603</v>
          </cell>
          <cell r="K15">
            <v>0.39882583111364711</v>
          </cell>
          <cell r="O15">
            <v>139439998.00800002</v>
          </cell>
          <cell r="P15">
            <v>1</v>
          </cell>
        </row>
        <row r="16">
          <cell r="E16" t="str">
            <v>S</v>
          </cell>
          <cell r="F16" t="str">
            <v>Técnica</v>
          </cell>
          <cell r="G16" t="str">
            <v>4 Nivel</v>
          </cell>
          <cell r="I16">
            <v>47.018003913305428</v>
          </cell>
          <cell r="K16">
            <v>13.957729940702688</v>
          </cell>
          <cell r="O16">
            <v>126691200</v>
          </cell>
          <cell r="P16">
            <v>1</v>
          </cell>
        </row>
        <row r="17">
          <cell r="E17" t="str">
            <v>S</v>
          </cell>
          <cell r="F17" t="str">
            <v>Técnica</v>
          </cell>
          <cell r="G17" t="str">
            <v>4 Nivel</v>
          </cell>
          <cell r="I17">
            <v>38.407045009195841</v>
          </cell>
          <cell r="K17">
            <v>15.012524461250633</v>
          </cell>
          <cell r="O17">
            <v>126492000.28457133</v>
          </cell>
          <cell r="P17">
            <v>1</v>
          </cell>
        </row>
        <row r="18">
          <cell r="E18" t="str">
            <v>S</v>
          </cell>
          <cell r="F18" t="str">
            <v>Técnica</v>
          </cell>
          <cell r="G18" t="str">
            <v>4 Nivel</v>
          </cell>
          <cell r="I18">
            <v>39.135812132483508</v>
          </cell>
          <cell r="K18">
            <v>1.6837573379629622</v>
          </cell>
          <cell r="O18">
            <v>102672000.23657134</v>
          </cell>
          <cell r="P18">
            <v>1</v>
          </cell>
        </row>
        <row r="19">
          <cell r="E19" t="str">
            <v>S</v>
          </cell>
          <cell r="F19" t="str">
            <v>Juridica</v>
          </cell>
          <cell r="G19" t="str">
            <v>3 Nivel</v>
          </cell>
          <cell r="I19">
            <v>39.401565557141048</v>
          </cell>
          <cell r="K19">
            <v>11.250880625634196</v>
          </cell>
          <cell r="O19">
            <v>119520000</v>
          </cell>
          <cell r="P19">
            <v>1</v>
          </cell>
        </row>
        <row r="20">
          <cell r="E20" t="str">
            <v>S</v>
          </cell>
          <cell r="F20" t="str">
            <v>Técnica</v>
          </cell>
          <cell r="G20" t="str">
            <v>4 Nivel</v>
          </cell>
          <cell r="I20">
            <v>45.524853228373921</v>
          </cell>
          <cell r="K20">
            <v>17.878277885908169</v>
          </cell>
          <cell r="O20">
            <v>119520000</v>
          </cell>
          <cell r="P20">
            <v>1</v>
          </cell>
        </row>
        <row r="21">
          <cell r="E21" t="str">
            <v>S</v>
          </cell>
          <cell r="F21" t="str">
            <v>Técnica</v>
          </cell>
          <cell r="G21" t="str">
            <v>4 Nivel</v>
          </cell>
          <cell r="I21">
            <v>59.5467710365931</v>
          </cell>
          <cell r="K21">
            <v>29.587866927004058</v>
          </cell>
          <cell r="O21">
            <v>119520000</v>
          </cell>
          <cell r="P21">
            <v>1</v>
          </cell>
        </row>
        <row r="22">
          <cell r="E22" t="str">
            <v>S</v>
          </cell>
          <cell r="F22" t="str">
            <v>Compras &amp; Equipos</v>
          </cell>
          <cell r="G22" t="str">
            <v>4 Nivel</v>
          </cell>
          <cell r="I22">
            <v>36.922113502346527</v>
          </cell>
          <cell r="K22">
            <v>10.982387474949263</v>
          </cell>
          <cell r="O22">
            <v>119520000</v>
          </cell>
          <cell r="P22">
            <v>1</v>
          </cell>
        </row>
        <row r="23">
          <cell r="E23" t="str">
            <v>S</v>
          </cell>
          <cell r="F23" t="str">
            <v>Proyectos Promoción y Ventas</v>
          </cell>
          <cell r="G23" t="str">
            <v>4 Nivel</v>
          </cell>
          <cell r="I23">
            <v>58.609784735223236</v>
          </cell>
          <cell r="K23">
            <v>22.426223091387619</v>
          </cell>
          <cell r="O23">
            <v>91656000</v>
          </cell>
          <cell r="P23">
            <v>1</v>
          </cell>
        </row>
        <row r="24">
          <cell r="E24" t="str">
            <v>S</v>
          </cell>
          <cell r="F24" t="str">
            <v>Técnica</v>
          </cell>
          <cell r="G24" t="str">
            <v>4 Nivel</v>
          </cell>
          <cell r="I24">
            <v>51.42896281741502</v>
          </cell>
          <cell r="K24">
            <v>0.39882583111364711</v>
          </cell>
          <cell r="O24">
            <v>99600000.284571335</v>
          </cell>
          <cell r="P24">
            <v>1</v>
          </cell>
        </row>
        <row r="25">
          <cell r="E25" t="str">
            <v>S</v>
          </cell>
          <cell r="F25" t="str">
            <v>Técnica</v>
          </cell>
          <cell r="G25" t="str">
            <v>4 Nivel</v>
          </cell>
          <cell r="I25">
            <v>43.009784735223235</v>
          </cell>
          <cell r="K25">
            <v>1.281017611935565</v>
          </cell>
          <cell r="O25">
            <v>99599999.840639994</v>
          </cell>
          <cell r="P25">
            <v>1</v>
          </cell>
        </row>
        <row r="26">
          <cell r="E26" t="str">
            <v>S</v>
          </cell>
          <cell r="F26" t="str">
            <v>Administrativa</v>
          </cell>
          <cell r="G26" t="str">
            <v>2 Nivel</v>
          </cell>
          <cell r="I26">
            <v>43.85909980371639</v>
          </cell>
          <cell r="K26">
            <v>14.738551858510908</v>
          </cell>
          <cell r="O26">
            <v>98604000</v>
          </cell>
          <cell r="P26">
            <v>1</v>
          </cell>
        </row>
        <row r="27">
          <cell r="E27" t="str">
            <v>S</v>
          </cell>
          <cell r="F27" t="str">
            <v>Técnica</v>
          </cell>
          <cell r="G27" t="str">
            <v>4 Nivel</v>
          </cell>
          <cell r="I27">
            <v>42.407045009195841</v>
          </cell>
          <cell r="K27">
            <v>0.46731898179857861</v>
          </cell>
          <cell r="O27">
            <v>89640000</v>
          </cell>
          <cell r="P27">
            <v>1</v>
          </cell>
        </row>
        <row r="28">
          <cell r="E28" t="str">
            <v>S</v>
          </cell>
          <cell r="F28" t="str">
            <v>Técnica</v>
          </cell>
          <cell r="G28" t="str">
            <v>4 Nivel</v>
          </cell>
          <cell r="I28">
            <v>52.272798433853374</v>
          </cell>
          <cell r="K28">
            <v>21.891976516045155</v>
          </cell>
          <cell r="O28">
            <v>89640000</v>
          </cell>
          <cell r="P28">
            <v>1</v>
          </cell>
        </row>
        <row r="29">
          <cell r="E29" t="str">
            <v>S</v>
          </cell>
          <cell r="F29" t="str">
            <v>Técnica</v>
          </cell>
          <cell r="G29" t="str">
            <v>4 Nivel</v>
          </cell>
          <cell r="I29">
            <v>40.47553815988077</v>
          </cell>
          <cell r="K29">
            <v>12.039921721524607</v>
          </cell>
          <cell r="O29">
            <v>89640000</v>
          </cell>
          <cell r="P29">
            <v>1</v>
          </cell>
        </row>
        <row r="30">
          <cell r="E30" t="str">
            <v>S</v>
          </cell>
          <cell r="F30" t="str">
            <v>Técnica</v>
          </cell>
          <cell r="G30" t="str">
            <v>4 Nivel</v>
          </cell>
          <cell r="I30">
            <v>57.396086105086248</v>
          </cell>
          <cell r="K30">
            <v>2.6043052831684417</v>
          </cell>
          <cell r="O30">
            <v>83664000</v>
          </cell>
          <cell r="P30">
            <v>1</v>
          </cell>
        </row>
        <row r="31">
          <cell r="E31" t="str">
            <v>S</v>
          </cell>
          <cell r="F31" t="str">
            <v>Técnica</v>
          </cell>
          <cell r="G31" t="str">
            <v>4 Nivel</v>
          </cell>
          <cell r="I31">
            <v>41.349510762620497</v>
          </cell>
          <cell r="K31">
            <v>15.472798433853374</v>
          </cell>
          <cell r="O31">
            <v>79679999.71542865</v>
          </cell>
          <cell r="P31">
            <v>1</v>
          </cell>
        </row>
        <row r="32">
          <cell r="E32" t="str">
            <v>S</v>
          </cell>
          <cell r="F32" t="str">
            <v>Técnica</v>
          </cell>
          <cell r="G32" t="str">
            <v>4 Nivel</v>
          </cell>
          <cell r="I32">
            <v>43.018003913305428</v>
          </cell>
          <cell r="K32">
            <v>11.291976516045153</v>
          </cell>
          <cell r="O32">
            <v>79679999.71542865</v>
          </cell>
          <cell r="P32">
            <v>1</v>
          </cell>
        </row>
        <row r="33">
          <cell r="E33" t="str">
            <v>S</v>
          </cell>
          <cell r="F33" t="str">
            <v>Técnica</v>
          </cell>
          <cell r="G33" t="str">
            <v>4 Nivel</v>
          </cell>
          <cell r="I33">
            <v>48.089236790017758</v>
          </cell>
          <cell r="K33">
            <v>15.281017611935566</v>
          </cell>
          <cell r="O33">
            <v>76691999.71542865</v>
          </cell>
          <cell r="P33">
            <v>1</v>
          </cell>
        </row>
        <row r="34">
          <cell r="E34" t="str">
            <v>S</v>
          </cell>
          <cell r="F34" t="str">
            <v>Técnica</v>
          </cell>
          <cell r="G34" t="str">
            <v>4 Nivel</v>
          </cell>
          <cell r="I34">
            <v>47.061839529743786</v>
          </cell>
          <cell r="K34">
            <v>3.4974559680999486</v>
          </cell>
          <cell r="O34">
            <v>76691999.71542865</v>
          </cell>
          <cell r="P34">
            <v>1</v>
          </cell>
        </row>
        <row r="35">
          <cell r="E35" t="str">
            <v>S</v>
          </cell>
          <cell r="F35" t="str">
            <v>Técnica</v>
          </cell>
          <cell r="G35" t="str">
            <v>4 Nivel</v>
          </cell>
          <cell r="I35">
            <v>46.702935420154745</v>
          </cell>
          <cell r="K35">
            <v>19.691976516045155</v>
          </cell>
          <cell r="O35">
            <v>76691999.71542865</v>
          </cell>
          <cell r="P35">
            <v>1</v>
          </cell>
        </row>
        <row r="36">
          <cell r="E36" t="str">
            <v>S</v>
          </cell>
          <cell r="F36" t="str">
            <v>Técnica</v>
          </cell>
          <cell r="G36" t="str">
            <v>4 Nivel</v>
          </cell>
          <cell r="I36">
            <v>50.97690802289447</v>
          </cell>
          <cell r="K36">
            <v>2.0426614475520033</v>
          </cell>
          <cell r="O36">
            <v>76691999.71542865</v>
          </cell>
          <cell r="P36">
            <v>1</v>
          </cell>
        </row>
        <row r="37">
          <cell r="E37" t="str">
            <v>S</v>
          </cell>
          <cell r="F37" t="str">
            <v>Técnica</v>
          </cell>
          <cell r="G37" t="str">
            <v>4 Nivel</v>
          </cell>
          <cell r="I37">
            <v>45.886497063990362</v>
          </cell>
          <cell r="K37">
            <v>19.642661447552005</v>
          </cell>
          <cell r="O37">
            <v>76691999.71542865</v>
          </cell>
          <cell r="P37">
            <v>1</v>
          </cell>
        </row>
        <row r="38">
          <cell r="E38" t="str">
            <v>S</v>
          </cell>
          <cell r="F38" t="str">
            <v>Técnica</v>
          </cell>
          <cell r="G38" t="str">
            <v>4 Nivel</v>
          </cell>
          <cell r="I38">
            <v>33.149510762620494</v>
          </cell>
          <cell r="K38">
            <v>0.41526418727803066</v>
          </cell>
          <cell r="O38">
            <v>76691998.008000001</v>
          </cell>
          <cell r="P38">
            <v>1</v>
          </cell>
        </row>
        <row r="39">
          <cell r="E39" t="str">
            <v>S</v>
          </cell>
          <cell r="F39" t="str">
            <v>Técnica</v>
          </cell>
          <cell r="G39" t="str">
            <v>4 Nivel</v>
          </cell>
          <cell r="I39">
            <v>50.645401173579401</v>
          </cell>
          <cell r="K39">
            <v>22.549510762620496</v>
          </cell>
          <cell r="O39">
            <v>74700000</v>
          </cell>
          <cell r="P39">
            <v>1</v>
          </cell>
        </row>
        <row r="40">
          <cell r="E40" t="str">
            <v>S</v>
          </cell>
          <cell r="F40" t="str">
            <v>Técnica</v>
          </cell>
          <cell r="G40" t="str">
            <v>5 Nivel</v>
          </cell>
          <cell r="I40">
            <v>41.297455968099946</v>
          </cell>
          <cell r="K40">
            <v>13.919373776319127</v>
          </cell>
          <cell r="O40">
            <v>74700000</v>
          </cell>
          <cell r="P40">
            <v>1</v>
          </cell>
        </row>
        <row r="41">
          <cell r="E41" t="str">
            <v>S</v>
          </cell>
          <cell r="F41" t="str">
            <v>Auditoria Técnica</v>
          </cell>
          <cell r="G41" t="str">
            <v>3 Nivel</v>
          </cell>
          <cell r="I41">
            <v>49.135812132483508</v>
          </cell>
          <cell r="K41">
            <v>14.971428570839674</v>
          </cell>
          <cell r="O41">
            <v>71712000</v>
          </cell>
          <cell r="P41">
            <v>1</v>
          </cell>
        </row>
        <row r="42">
          <cell r="E42" t="str">
            <v>S</v>
          </cell>
          <cell r="F42" t="str">
            <v>Juridica</v>
          </cell>
          <cell r="G42" t="str">
            <v>3 Nivel</v>
          </cell>
          <cell r="I42">
            <v>30.938551858510909</v>
          </cell>
          <cell r="K42">
            <v>1.913894324264332</v>
          </cell>
          <cell r="O42">
            <v>69720000.28457135</v>
          </cell>
          <cell r="P42">
            <v>1</v>
          </cell>
        </row>
        <row r="43">
          <cell r="E43" t="str">
            <v>S</v>
          </cell>
          <cell r="F43" t="str">
            <v>Administrativa</v>
          </cell>
          <cell r="G43" t="str">
            <v>4 Nivel</v>
          </cell>
          <cell r="I43">
            <v>42.453620351661591</v>
          </cell>
          <cell r="K43">
            <v>12.248140899606797</v>
          </cell>
          <cell r="O43">
            <v>69720000.28457135</v>
          </cell>
          <cell r="P43">
            <v>1</v>
          </cell>
        </row>
        <row r="44">
          <cell r="E44" t="str">
            <v>S</v>
          </cell>
          <cell r="F44" t="str">
            <v>Técnica</v>
          </cell>
          <cell r="G44" t="str">
            <v>4 Nivel</v>
          </cell>
          <cell r="I44">
            <v>44.938551858510905</v>
          </cell>
          <cell r="K44">
            <v>3.544031310565702</v>
          </cell>
          <cell r="O44">
            <v>69720000.28457135</v>
          </cell>
          <cell r="P44">
            <v>1</v>
          </cell>
        </row>
        <row r="45">
          <cell r="E45" t="str">
            <v>S</v>
          </cell>
          <cell r="F45" t="str">
            <v>Técnica</v>
          </cell>
          <cell r="G45" t="str">
            <v>4 Nivel</v>
          </cell>
          <cell r="I45">
            <v>41.302935420154746</v>
          </cell>
          <cell r="K45">
            <v>1.3933463790588525</v>
          </cell>
          <cell r="O45">
            <v>69720000.28457135</v>
          </cell>
          <cell r="P45">
            <v>1</v>
          </cell>
        </row>
        <row r="46">
          <cell r="E46" t="str">
            <v>S</v>
          </cell>
          <cell r="F46" t="str">
            <v>Técnica</v>
          </cell>
          <cell r="G46" t="str">
            <v>5 Nivel</v>
          </cell>
          <cell r="I46">
            <v>3.4344422694698116</v>
          </cell>
          <cell r="K46">
            <v>3.9029354201547428</v>
          </cell>
          <cell r="O46">
            <v>69720000.28457135</v>
          </cell>
          <cell r="P46">
            <v>1</v>
          </cell>
        </row>
        <row r="47">
          <cell r="E47" t="str">
            <v>S</v>
          </cell>
          <cell r="F47" t="str">
            <v>Diseño</v>
          </cell>
          <cell r="G47" t="str">
            <v>4 Nivel</v>
          </cell>
          <cell r="I47">
            <v>44.878277885908169</v>
          </cell>
          <cell r="K47">
            <v>12.38512720097666</v>
          </cell>
          <cell r="O47">
            <v>69720000.28457135</v>
          </cell>
          <cell r="P47">
            <v>1</v>
          </cell>
        </row>
        <row r="48">
          <cell r="E48" t="str">
            <v>S</v>
          </cell>
          <cell r="F48" t="str">
            <v>Técnica</v>
          </cell>
          <cell r="G48" t="str">
            <v>4 Nivel</v>
          </cell>
          <cell r="I48">
            <v>57.897455968099948</v>
          </cell>
          <cell r="K48">
            <v>1.3385518585109073</v>
          </cell>
          <cell r="O48">
            <v>69720000.28457135</v>
          </cell>
          <cell r="P48">
            <v>1</v>
          </cell>
        </row>
        <row r="49">
          <cell r="E49" t="str">
            <v>S</v>
          </cell>
          <cell r="F49" t="str">
            <v>Técnica</v>
          </cell>
          <cell r="G49" t="str">
            <v>5 Nivel</v>
          </cell>
          <cell r="I49">
            <v>35.867318981798576</v>
          </cell>
          <cell r="K49">
            <v>11.097455968099949</v>
          </cell>
          <cell r="O49">
            <v>69720000.28457135</v>
          </cell>
          <cell r="P49">
            <v>1</v>
          </cell>
        </row>
        <row r="50">
          <cell r="E50" t="str">
            <v>S</v>
          </cell>
          <cell r="F50" t="str">
            <v>Administrativa</v>
          </cell>
          <cell r="G50" t="str">
            <v>3 Nivel</v>
          </cell>
          <cell r="I50">
            <v>43.365949118784883</v>
          </cell>
          <cell r="K50">
            <v>1.1467710365930992</v>
          </cell>
          <cell r="O50">
            <v>69719999.840640008</v>
          </cell>
          <cell r="P50">
            <v>1</v>
          </cell>
        </row>
        <row r="51">
          <cell r="E51" t="str">
            <v>S</v>
          </cell>
          <cell r="F51" t="str">
            <v>Administrativa</v>
          </cell>
          <cell r="G51" t="str">
            <v>4 Nivel</v>
          </cell>
          <cell r="I51">
            <v>28.97416829686707</v>
          </cell>
          <cell r="K51">
            <v>6.3248532283739207</v>
          </cell>
          <cell r="O51">
            <v>69719999.430857107</v>
          </cell>
          <cell r="P51">
            <v>1</v>
          </cell>
        </row>
        <row r="52">
          <cell r="E52" t="str">
            <v>I</v>
          </cell>
          <cell r="F52" t="str">
            <v>Juridica</v>
          </cell>
          <cell r="G52" t="str">
            <v>6 Nivel</v>
          </cell>
          <cell r="I52">
            <v>30.190606653031455</v>
          </cell>
          <cell r="K52">
            <v>0.43170254344241421</v>
          </cell>
          <cell r="O52">
            <v>69719999.430857107</v>
          </cell>
          <cell r="P52">
            <v>1</v>
          </cell>
        </row>
        <row r="53">
          <cell r="E53" t="str">
            <v>S</v>
          </cell>
          <cell r="F53" t="str">
            <v>Técnica</v>
          </cell>
          <cell r="G53" t="str">
            <v>4 Nivel</v>
          </cell>
          <cell r="I53">
            <v>45.349510762620497</v>
          </cell>
          <cell r="K53">
            <v>13.554990214675291</v>
          </cell>
          <cell r="O53">
            <v>68724000</v>
          </cell>
          <cell r="P53">
            <v>1</v>
          </cell>
        </row>
        <row r="54">
          <cell r="E54" t="str">
            <v>S</v>
          </cell>
          <cell r="F54" t="str">
            <v>Técnica</v>
          </cell>
          <cell r="G54" t="str">
            <v>4 Nivel</v>
          </cell>
          <cell r="I54">
            <v>45.379647748921869</v>
          </cell>
          <cell r="K54">
            <v>14.034442269469812</v>
          </cell>
          <cell r="O54">
            <v>68724000</v>
          </cell>
          <cell r="P54">
            <v>1</v>
          </cell>
        </row>
        <row r="55">
          <cell r="E55" t="str">
            <v>S</v>
          </cell>
          <cell r="F55" t="str">
            <v>Técnica</v>
          </cell>
          <cell r="G55" t="str">
            <v>4 Nivel</v>
          </cell>
          <cell r="I55">
            <v>48.793346379058853</v>
          </cell>
          <cell r="K55">
            <v>0.98786692700405809</v>
          </cell>
          <cell r="O55">
            <v>65736000</v>
          </cell>
          <cell r="P55">
            <v>1</v>
          </cell>
        </row>
        <row r="56">
          <cell r="E56" t="str">
            <v>S</v>
          </cell>
          <cell r="F56" t="str">
            <v>Técnica</v>
          </cell>
          <cell r="G56" t="str">
            <v>4 Nivel</v>
          </cell>
          <cell r="I56">
            <v>37.812524461250632</v>
          </cell>
          <cell r="K56">
            <v>3.5056751461821403</v>
          </cell>
          <cell r="O56">
            <v>65736000</v>
          </cell>
          <cell r="P56">
            <v>1</v>
          </cell>
        </row>
        <row r="57">
          <cell r="E57" t="str">
            <v>S</v>
          </cell>
          <cell r="F57" t="str">
            <v>Administrativa</v>
          </cell>
          <cell r="G57" t="str">
            <v>4 Nivel</v>
          </cell>
          <cell r="I57">
            <v>53.672798433853373</v>
          </cell>
          <cell r="K57">
            <v>27.28649706399036</v>
          </cell>
          <cell r="O57">
            <v>63744000.28457135</v>
          </cell>
          <cell r="P57">
            <v>1</v>
          </cell>
        </row>
        <row r="58">
          <cell r="E58" t="str">
            <v>S</v>
          </cell>
          <cell r="F58" t="str">
            <v>Técnica</v>
          </cell>
          <cell r="G58" t="str">
            <v>3 Nivel</v>
          </cell>
          <cell r="I58">
            <v>46.223483365360224</v>
          </cell>
          <cell r="K58">
            <v>13.590606653031456</v>
          </cell>
          <cell r="O58">
            <v>63744000.28457135</v>
          </cell>
          <cell r="P58">
            <v>1</v>
          </cell>
        </row>
        <row r="59">
          <cell r="E59" t="str">
            <v>S</v>
          </cell>
          <cell r="F59" t="str">
            <v>Técnica</v>
          </cell>
          <cell r="G59" t="str">
            <v>4 Nivel</v>
          </cell>
          <cell r="I59">
            <v>47.916634050291727</v>
          </cell>
          <cell r="K59">
            <v>1.3960861050862499</v>
          </cell>
          <cell r="O59">
            <v>63744000.28457135</v>
          </cell>
          <cell r="P59">
            <v>1</v>
          </cell>
        </row>
        <row r="60">
          <cell r="E60" t="str">
            <v>S</v>
          </cell>
          <cell r="F60" t="str">
            <v>Técnica</v>
          </cell>
          <cell r="G60" t="str">
            <v>4 Nivel</v>
          </cell>
          <cell r="I60">
            <v>46.363209392757483</v>
          </cell>
          <cell r="K60">
            <v>1.3001956941273458</v>
          </cell>
          <cell r="O60">
            <v>61751999.71542865</v>
          </cell>
          <cell r="P60">
            <v>1</v>
          </cell>
        </row>
        <row r="61">
          <cell r="E61" t="str">
            <v>S</v>
          </cell>
          <cell r="F61" t="str">
            <v>Administrativa</v>
          </cell>
          <cell r="G61" t="str">
            <v>4 Nivel</v>
          </cell>
          <cell r="I61">
            <v>37.212524461250631</v>
          </cell>
          <cell r="K61">
            <v>9.0070450091958385</v>
          </cell>
          <cell r="O61">
            <v>59760000</v>
          </cell>
          <cell r="P61">
            <v>1</v>
          </cell>
        </row>
        <row r="62">
          <cell r="E62" t="str">
            <v>S</v>
          </cell>
          <cell r="F62" t="str">
            <v>Técnica</v>
          </cell>
          <cell r="G62" t="str">
            <v>5 Nivel</v>
          </cell>
          <cell r="I62">
            <v>51.494716242072549</v>
          </cell>
          <cell r="K62">
            <v>13.919373776319127</v>
          </cell>
          <cell r="O62">
            <v>59760000</v>
          </cell>
          <cell r="P62">
            <v>1</v>
          </cell>
        </row>
        <row r="63">
          <cell r="E63" t="str">
            <v>S</v>
          </cell>
          <cell r="F63" t="str">
            <v>Técnica</v>
          </cell>
          <cell r="G63" t="str">
            <v>5 Nivel</v>
          </cell>
          <cell r="I63">
            <v>46.001565557141042</v>
          </cell>
          <cell r="K63">
            <v>1.3933463790588525</v>
          </cell>
          <cell r="O63">
            <v>59760000</v>
          </cell>
          <cell r="P63">
            <v>1</v>
          </cell>
        </row>
        <row r="64">
          <cell r="E64" t="str">
            <v>I</v>
          </cell>
          <cell r="F64" t="str">
            <v>Auditoria Técnica</v>
          </cell>
          <cell r="G64" t="str">
            <v>6 Nivel</v>
          </cell>
          <cell r="I64">
            <v>40.330332680428718</v>
          </cell>
          <cell r="K64">
            <v>1.2207436393328253</v>
          </cell>
          <cell r="O64">
            <v>59760000</v>
          </cell>
          <cell r="P64">
            <v>1</v>
          </cell>
        </row>
        <row r="65">
          <cell r="E65" t="str">
            <v>S</v>
          </cell>
          <cell r="F65" t="str">
            <v>Técnica</v>
          </cell>
          <cell r="G65" t="str">
            <v>4 Nivel</v>
          </cell>
          <cell r="I65">
            <v>36.231702543442417</v>
          </cell>
          <cell r="K65">
            <v>0.85909980371638683</v>
          </cell>
          <cell r="O65">
            <v>59760000</v>
          </cell>
          <cell r="P65">
            <v>1</v>
          </cell>
        </row>
        <row r="66">
          <cell r="E66" t="str">
            <v>S</v>
          </cell>
          <cell r="F66" t="str">
            <v>Técnica</v>
          </cell>
          <cell r="G66" t="str">
            <v>4 Nivel</v>
          </cell>
          <cell r="I66">
            <v>33.007045009195842</v>
          </cell>
          <cell r="K66">
            <v>0.74129158453830468</v>
          </cell>
          <cell r="O66">
            <v>59760000</v>
          </cell>
          <cell r="P66">
            <v>1</v>
          </cell>
        </row>
        <row r="67">
          <cell r="E67" t="str">
            <v>S</v>
          </cell>
          <cell r="F67" t="str">
            <v>Administrativa</v>
          </cell>
          <cell r="G67" t="str">
            <v>4 Nivel</v>
          </cell>
          <cell r="I67">
            <v>30.376908022894469</v>
          </cell>
          <cell r="K67">
            <v>2.9275929544013182</v>
          </cell>
          <cell r="O67">
            <v>59760000</v>
          </cell>
          <cell r="P67">
            <v>1</v>
          </cell>
        </row>
        <row r="68">
          <cell r="E68" t="str">
            <v>S</v>
          </cell>
          <cell r="F68" t="str">
            <v>Técnica</v>
          </cell>
          <cell r="G68" t="str">
            <v>4 Nivel</v>
          </cell>
          <cell r="I68">
            <v>41.089236790017758</v>
          </cell>
          <cell r="K68">
            <v>2.6755381598807704</v>
          </cell>
          <cell r="O68">
            <v>56772000</v>
          </cell>
          <cell r="P68">
            <v>1</v>
          </cell>
        </row>
        <row r="69">
          <cell r="E69" t="str">
            <v>S</v>
          </cell>
          <cell r="F69" t="str">
            <v>Técnica</v>
          </cell>
          <cell r="G69" t="str">
            <v>3 Nivel</v>
          </cell>
          <cell r="I69">
            <v>30.727592954401317</v>
          </cell>
          <cell r="K69">
            <v>0.96868884481227724</v>
          </cell>
          <cell r="O69">
            <v>55776015.935999997</v>
          </cell>
          <cell r="P69">
            <v>1</v>
          </cell>
        </row>
        <row r="70">
          <cell r="E70" t="str">
            <v>S</v>
          </cell>
          <cell r="F70" t="str">
            <v>Técnica</v>
          </cell>
          <cell r="G70" t="str">
            <v>4 Nivel</v>
          </cell>
          <cell r="I70">
            <v>36.023483365360221</v>
          </cell>
          <cell r="K70">
            <v>0.82074363933282524</v>
          </cell>
          <cell r="O70">
            <v>55776000.159359992</v>
          </cell>
          <cell r="P70">
            <v>1</v>
          </cell>
        </row>
        <row r="71">
          <cell r="E71" t="str">
            <v>S</v>
          </cell>
          <cell r="F71" t="str">
            <v>Técnica</v>
          </cell>
          <cell r="G71" t="str">
            <v>5 Nivel</v>
          </cell>
          <cell r="I71">
            <v>42.16320939275748</v>
          </cell>
          <cell r="K71">
            <v>10.519373776319126</v>
          </cell>
          <cell r="O71">
            <v>55775999.71542865</v>
          </cell>
          <cell r="P71">
            <v>1</v>
          </cell>
        </row>
        <row r="72">
          <cell r="E72" t="str">
            <v>I</v>
          </cell>
          <cell r="F72" t="str">
            <v>Auditoria Técnica</v>
          </cell>
          <cell r="G72" t="str">
            <v>6 Nivel</v>
          </cell>
          <cell r="I72">
            <v>28.963209392757484</v>
          </cell>
          <cell r="K72">
            <v>3.3878669270040582</v>
          </cell>
          <cell r="O72">
            <v>55775999.71542865</v>
          </cell>
          <cell r="P72">
            <v>1</v>
          </cell>
        </row>
        <row r="73">
          <cell r="E73" t="str">
            <v>S</v>
          </cell>
          <cell r="F73" t="str">
            <v>Compras &amp; Equipos</v>
          </cell>
          <cell r="G73" t="str">
            <v>4 Nivel</v>
          </cell>
          <cell r="I73">
            <v>36.502935420154742</v>
          </cell>
          <cell r="K73">
            <v>6.0645792557711813</v>
          </cell>
          <cell r="O73">
            <v>55775999.71542865</v>
          </cell>
          <cell r="P73">
            <v>1</v>
          </cell>
        </row>
        <row r="74">
          <cell r="E74" t="str">
            <v>I</v>
          </cell>
          <cell r="F74" t="str">
            <v>Proyectos Promoción y Ventas</v>
          </cell>
          <cell r="G74" t="str">
            <v>6 Nivel</v>
          </cell>
          <cell r="I74">
            <v>43.963209392757484</v>
          </cell>
          <cell r="K74">
            <v>3.2755381598807705</v>
          </cell>
          <cell r="O74">
            <v>54780000.28457135</v>
          </cell>
          <cell r="P74">
            <v>1</v>
          </cell>
        </row>
        <row r="75">
          <cell r="E75" t="str">
            <v>S</v>
          </cell>
          <cell r="F75" t="str">
            <v>Técnica</v>
          </cell>
          <cell r="G75" t="str">
            <v>5 Nivel</v>
          </cell>
          <cell r="I75">
            <v>49.075538159880772</v>
          </cell>
          <cell r="K75">
            <v>0.99060665303145534</v>
          </cell>
          <cell r="O75">
            <v>53784000</v>
          </cell>
          <cell r="P75">
            <v>1</v>
          </cell>
        </row>
        <row r="76">
          <cell r="E76" t="str">
            <v>I</v>
          </cell>
          <cell r="F76" t="str">
            <v>Auditoria Técnica</v>
          </cell>
          <cell r="G76" t="str">
            <v>6 Nivel</v>
          </cell>
          <cell r="I76">
            <v>31.738551858510906</v>
          </cell>
          <cell r="K76">
            <v>1.1851272009766609</v>
          </cell>
          <cell r="O76">
            <v>53784000</v>
          </cell>
          <cell r="P76">
            <v>1</v>
          </cell>
        </row>
        <row r="77">
          <cell r="E77" t="str">
            <v>S</v>
          </cell>
          <cell r="F77" t="str">
            <v>Técnica</v>
          </cell>
          <cell r="G77" t="str">
            <v>5 Nivel</v>
          </cell>
          <cell r="I77">
            <v>48.59334637905885</v>
          </cell>
          <cell r="K77">
            <v>20.708414872209538</v>
          </cell>
          <cell r="O77">
            <v>52787999.71542865</v>
          </cell>
          <cell r="P77">
            <v>1</v>
          </cell>
        </row>
        <row r="78">
          <cell r="E78" t="str">
            <v>S</v>
          </cell>
          <cell r="F78" t="str">
            <v>Técnica</v>
          </cell>
          <cell r="G78" t="str">
            <v>5 Nivel</v>
          </cell>
          <cell r="I78">
            <v>33.204305283168445</v>
          </cell>
          <cell r="K78">
            <v>3.6974559680999484</v>
          </cell>
          <cell r="O78">
            <v>52787999.71542865</v>
          </cell>
          <cell r="P78">
            <v>1</v>
          </cell>
        </row>
        <row r="79">
          <cell r="E79" t="str">
            <v>S</v>
          </cell>
          <cell r="F79" t="str">
            <v>Técnica</v>
          </cell>
          <cell r="G79" t="str">
            <v>5 Nivel</v>
          </cell>
          <cell r="I79">
            <v>57.579647748921865</v>
          </cell>
          <cell r="K79">
            <v>1.4864970639903594</v>
          </cell>
          <cell r="O79">
            <v>51792000.28457135</v>
          </cell>
          <cell r="P79">
            <v>1</v>
          </cell>
        </row>
        <row r="80">
          <cell r="E80" t="str">
            <v>S</v>
          </cell>
          <cell r="F80" t="str">
            <v>Técnica</v>
          </cell>
          <cell r="G80" t="str">
            <v>4 Nivel</v>
          </cell>
          <cell r="I80">
            <v>28.815264187278032</v>
          </cell>
          <cell r="K80">
            <v>1.9714285708396746</v>
          </cell>
          <cell r="O80">
            <v>51791999.430857107</v>
          </cell>
          <cell r="P80">
            <v>1</v>
          </cell>
        </row>
        <row r="81">
          <cell r="E81" t="str">
            <v>S</v>
          </cell>
          <cell r="F81" t="str">
            <v>Técnica</v>
          </cell>
          <cell r="G81" t="str">
            <v>5 Nivel</v>
          </cell>
          <cell r="I81">
            <v>47.371428570839676</v>
          </cell>
          <cell r="K81">
            <v>1.3495107626204965</v>
          </cell>
          <cell r="O81">
            <v>49800001.593600005</v>
          </cell>
          <cell r="P81">
            <v>1</v>
          </cell>
        </row>
        <row r="82">
          <cell r="E82" t="str">
            <v>S</v>
          </cell>
          <cell r="F82" t="str">
            <v>Técnica</v>
          </cell>
          <cell r="G82" t="str">
            <v>5 Nivel</v>
          </cell>
          <cell r="I82">
            <v>39.812524461250632</v>
          </cell>
          <cell r="K82">
            <v>0.46731898179857861</v>
          </cell>
          <cell r="O82">
            <v>49800000.569142893</v>
          </cell>
          <cell r="P82">
            <v>1</v>
          </cell>
        </row>
        <row r="83">
          <cell r="E83" t="str">
            <v>S</v>
          </cell>
          <cell r="F83" t="str">
            <v>Técnica</v>
          </cell>
          <cell r="G83" t="str">
            <v>5 Nivel</v>
          </cell>
          <cell r="I83">
            <v>2.8536203516615921</v>
          </cell>
          <cell r="K83">
            <v>0.82074363933282524</v>
          </cell>
          <cell r="O83">
            <v>49800000.159359992</v>
          </cell>
          <cell r="P83">
            <v>1</v>
          </cell>
        </row>
        <row r="84">
          <cell r="E84" t="str">
            <v>S</v>
          </cell>
          <cell r="F84" t="str">
            <v>Técnica</v>
          </cell>
          <cell r="G84" t="str">
            <v>5 Nivel</v>
          </cell>
          <cell r="I84">
            <v>45.407045009195841</v>
          </cell>
          <cell r="K84">
            <v>1.376908022894469</v>
          </cell>
          <cell r="O84">
            <v>49799999.71542865</v>
          </cell>
          <cell r="P84">
            <v>1</v>
          </cell>
        </row>
        <row r="85">
          <cell r="E85" t="str">
            <v>I</v>
          </cell>
          <cell r="F85" t="str">
            <v>Presidencia</v>
          </cell>
          <cell r="G85" t="str">
            <v>6 Nivel</v>
          </cell>
          <cell r="I85">
            <v>50.675538159880773</v>
          </cell>
          <cell r="K85">
            <v>0.51389432426433201</v>
          </cell>
          <cell r="O85">
            <v>49799999.71542865</v>
          </cell>
          <cell r="P85">
            <v>1</v>
          </cell>
        </row>
        <row r="86">
          <cell r="E86" t="str">
            <v>I</v>
          </cell>
          <cell r="F86" t="str">
            <v>Compras &amp; Equipos</v>
          </cell>
          <cell r="G86" t="str">
            <v>6 Nivel</v>
          </cell>
          <cell r="I86">
            <v>26.776908022894467</v>
          </cell>
          <cell r="K86">
            <v>2.1741682968670717</v>
          </cell>
          <cell r="O86">
            <v>49799999.71542865</v>
          </cell>
          <cell r="P86">
            <v>1</v>
          </cell>
        </row>
        <row r="87">
          <cell r="E87" t="str">
            <v>I</v>
          </cell>
          <cell r="F87" t="str">
            <v>Técnica</v>
          </cell>
          <cell r="G87" t="str">
            <v>6 Nivel</v>
          </cell>
          <cell r="I87">
            <v>37.404305283168441</v>
          </cell>
          <cell r="K87">
            <v>6.4180039133054283</v>
          </cell>
          <cell r="O87">
            <v>49799999.71542865</v>
          </cell>
          <cell r="P87">
            <v>1</v>
          </cell>
        </row>
        <row r="88">
          <cell r="E88" t="str">
            <v>S</v>
          </cell>
          <cell r="F88" t="str">
            <v>Técnica</v>
          </cell>
          <cell r="G88" t="str">
            <v>5 Nivel</v>
          </cell>
          <cell r="I88">
            <v>32.631702543442415</v>
          </cell>
          <cell r="K88">
            <v>2.9495107626204966</v>
          </cell>
          <cell r="O88">
            <v>49799999.71542865</v>
          </cell>
          <cell r="P88">
            <v>1</v>
          </cell>
        </row>
        <row r="89">
          <cell r="E89" t="str">
            <v>S</v>
          </cell>
          <cell r="F89" t="str">
            <v>Técnica</v>
          </cell>
          <cell r="G89" t="str">
            <v>5 Nivel</v>
          </cell>
          <cell r="I89">
            <v>38.601565557141043</v>
          </cell>
          <cell r="K89">
            <v>1.2536203516615922</v>
          </cell>
          <cell r="O89">
            <v>49799999.71542865</v>
          </cell>
          <cell r="P89">
            <v>1</v>
          </cell>
        </row>
        <row r="90">
          <cell r="E90" t="str">
            <v>S</v>
          </cell>
          <cell r="F90" t="str">
            <v>Técnica</v>
          </cell>
          <cell r="G90" t="str">
            <v>5 Nivel</v>
          </cell>
          <cell r="I90">
            <v>29.234442269469813</v>
          </cell>
          <cell r="K90">
            <v>1.281017611935565</v>
          </cell>
          <cell r="O90">
            <v>49799999.71542865</v>
          </cell>
          <cell r="P90">
            <v>1</v>
          </cell>
        </row>
        <row r="91">
          <cell r="E91" t="str">
            <v>S</v>
          </cell>
          <cell r="F91" t="str">
            <v>Técnica</v>
          </cell>
          <cell r="G91" t="str">
            <v>5 Nivel</v>
          </cell>
          <cell r="I91">
            <v>29.390606653031455</v>
          </cell>
          <cell r="K91">
            <v>5.9604696667300852</v>
          </cell>
          <cell r="O91">
            <v>49799999.71542865</v>
          </cell>
          <cell r="P91">
            <v>1</v>
          </cell>
        </row>
        <row r="92">
          <cell r="E92" t="str">
            <v>S</v>
          </cell>
          <cell r="F92" t="str">
            <v>Técnica</v>
          </cell>
          <cell r="G92" t="str">
            <v>5 Nivel</v>
          </cell>
          <cell r="I92">
            <v>45.426223091387619</v>
          </cell>
          <cell r="K92">
            <v>1.3385518585109073</v>
          </cell>
          <cell r="O92">
            <v>49799999.71542865</v>
          </cell>
          <cell r="P92">
            <v>1</v>
          </cell>
        </row>
        <row r="93">
          <cell r="E93" t="str">
            <v>S</v>
          </cell>
          <cell r="F93" t="str">
            <v>Técnica</v>
          </cell>
          <cell r="G93" t="str">
            <v>5 Nivel</v>
          </cell>
          <cell r="I93">
            <v>34.831702543442411</v>
          </cell>
          <cell r="K93">
            <v>0.94403131056570189</v>
          </cell>
          <cell r="O93">
            <v>49799999.71542865</v>
          </cell>
          <cell r="P93">
            <v>1</v>
          </cell>
        </row>
        <row r="94">
          <cell r="E94" t="str">
            <v>I</v>
          </cell>
          <cell r="F94" t="str">
            <v>Diseño</v>
          </cell>
          <cell r="G94" t="str">
            <v>6 Nivel</v>
          </cell>
          <cell r="I94">
            <v>36.954990214675291</v>
          </cell>
          <cell r="K94">
            <v>2.3933463790588525</v>
          </cell>
          <cell r="O94">
            <v>49799999.71542865</v>
          </cell>
          <cell r="P94">
            <v>1</v>
          </cell>
        </row>
        <row r="95">
          <cell r="E95" t="str">
            <v>S</v>
          </cell>
          <cell r="F95" t="str">
            <v>Técnica</v>
          </cell>
          <cell r="G95" t="str">
            <v>5 Nivel</v>
          </cell>
          <cell r="I95">
            <v>33.998825831113649</v>
          </cell>
          <cell r="K95">
            <v>1.0700587078259758</v>
          </cell>
          <cell r="O95">
            <v>49799999.71542865</v>
          </cell>
          <cell r="P95">
            <v>1</v>
          </cell>
        </row>
        <row r="96">
          <cell r="E96" t="str">
            <v>S</v>
          </cell>
          <cell r="F96" t="str">
            <v>Técnica</v>
          </cell>
          <cell r="G96" t="str">
            <v>5 Nivel</v>
          </cell>
          <cell r="I96">
            <v>31.738551858510906</v>
          </cell>
          <cell r="K96">
            <v>1.0125244612506334</v>
          </cell>
          <cell r="O96">
            <v>49799996.81279999</v>
          </cell>
          <cell r="P96">
            <v>1</v>
          </cell>
        </row>
        <row r="97">
          <cell r="E97" t="str">
            <v>S</v>
          </cell>
          <cell r="F97" t="str">
            <v>Técnica</v>
          </cell>
          <cell r="G97" t="str">
            <v>5 Nivel</v>
          </cell>
          <cell r="I97">
            <v>53.697455968099952</v>
          </cell>
          <cell r="K97">
            <v>3.1960861050862497</v>
          </cell>
          <cell r="O97">
            <v>47808000</v>
          </cell>
          <cell r="P97">
            <v>1</v>
          </cell>
        </row>
        <row r="98">
          <cell r="E98" t="str">
            <v>S</v>
          </cell>
          <cell r="F98" t="str">
            <v>Técnica</v>
          </cell>
          <cell r="G98" t="str">
            <v>5 Nivel</v>
          </cell>
          <cell r="I98">
            <v>29.979647748921867</v>
          </cell>
          <cell r="K98">
            <v>0.55225048864789372</v>
          </cell>
          <cell r="O98">
            <v>47808000</v>
          </cell>
          <cell r="P98">
            <v>1</v>
          </cell>
        </row>
        <row r="99">
          <cell r="E99" t="str">
            <v>S</v>
          </cell>
          <cell r="F99" t="str">
            <v>Técnica</v>
          </cell>
          <cell r="G99" t="str">
            <v>5 Nivel</v>
          </cell>
          <cell r="I99">
            <v>33.28649706399036</v>
          </cell>
          <cell r="K99">
            <v>0.66731898179857863</v>
          </cell>
          <cell r="O99">
            <v>47808000</v>
          </cell>
          <cell r="P99">
            <v>1</v>
          </cell>
        </row>
        <row r="100">
          <cell r="E100" t="str">
            <v>S</v>
          </cell>
          <cell r="F100" t="str">
            <v>Técnica</v>
          </cell>
          <cell r="G100" t="str">
            <v>5 Nivel</v>
          </cell>
          <cell r="I100">
            <v>30.672798433853373</v>
          </cell>
          <cell r="K100">
            <v>1.4919765160451539</v>
          </cell>
          <cell r="O100">
            <v>47808000</v>
          </cell>
          <cell r="P100">
            <v>1</v>
          </cell>
        </row>
        <row r="101">
          <cell r="E101" t="str">
            <v>S</v>
          </cell>
          <cell r="F101" t="str">
            <v>Técnica</v>
          </cell>
          <cell r="G101" t="str">
            <v>5 Nivel</v>
          </cell>
          <cell r="I101">
            <v>38.335812132483511</v>
          </cell>
          <cell r="K101">
            <v>0.37964774892186626</v>
          </cell>
          <cell r="O101">
            <v>47808000</v>
          </cell>
          <cell r="P101">
            <v>1</v>
          </cell>
        </row>
        <row r="102">
          <cell r="E102" t="str">
            <v>S</v>
          </cell>
          <cell r="F102" t="str">
            <v>Técnica</v>
          </cell>
          <cell r="G102" t="str">
            <v>5 Nivel</v>
          </cell>
          <cell r="I102">
            <v>37.157729940702687</v>
          </cell>
          <cell r="K102">
            <v>1.1275929544013183</v>
          </cell>
          <cell r="O102">
            <v>47808000</v>
          </cell>
          <cell r="P102">
            <v>1</v>
          </cell>
        </row>
        <row r="103">
          <cell r="E103" t="str">
            <v>S</v>
          </cell>
          <cell r="F103" t="str">
            <v>Técnica</v>
          </cell>
          <cell r="G103" t="str">
            <v>5 Nivel</v>
          </cell>
          <cell r="I103">
            <v>35.831702543442411</v>
          </cell>
          <cell r="K103">
            <v>0.43170254344241421</v>
          </cell>
          <cell r="O103">
            <v>46812000.569142893</v>
          </cell>
          <cell r="P103">
            <v>1</v>
          </cell>
        </row>
        <row r="104">
          <cell r="E104" t="str">
            <v>S</v>
          </cell>
          <cell r="F104" t="str">
            <v>Técnica</v>
          </cell>
          <cell r="G104" t="str">
            <v>5 Nivel</v>
          </cell>
          <cell r="I104">
            <v>41.35499021467529</v>
          </cell>
          <cell r="K104">
            <v>0.81800391330542788</v>
          </cell>
          <cell r="O104">
            <v>45815999.430857114</v>
          </cell>
          <cell r="P104">
            <v>1</v>
          </cell>
        </row>
        <row r="105">
          <cell r="E105" t="str">
            <v>S</v>
          </cell>
          <cell r="F105" t="str">
            <v>Técnica</v>
          </cell>
          <cell r="G105" t="str">
            <v>5 Nivel</v>
          </cell>
          <cell r="I105">
            <v>42.796086105086253</v>
          </cell>
          <cell r="K105">
            <v>1.291976516045154</v>
          </cell>
          <cell r="O105">
            <v>44820000</v>
          </cell>
          <cell r="P105">
            <v>1</v>
          </cell>
        </row>
        <row r="106">
          <cell r="E106" t="str">
            <v>I</v>
          </cell>
          <cell r="F106" t="str">
            <v>Técnica</v>
          </cell>
          <cell r="G106" t="str">
            <v>6 Nivel</v>
          </cell>
          <cell r="I106">
            <v>41.763209392757481</v>
          </cell>
          <cell r="K106">
            <v>2.7385518585109074</v>
          </cell>
          <cell r="O106">
            <v>44820000</v>
          </cell>
          <cell r="P106">
            <v>1</v>
          </cell>
        </row>
        <row r="107">
          <cell r="E107" t="str">
            <v>I</v>
          </cell>
          <cell r="F107" t="str">
            <v>Técnica</v>
          </cell>
          <cell r="G107" t="str">
            <v>6 Nivel</v>
          </cell>
          <cell r="I107">
            <v>34.727592954401317</v>
          </cell>
          <cell r="K107">
            <v>1.5988258311136472</v>
          </cell>
          <cell r="O107">
            <v>44820000</v>
          </cell>
          <cell r="P107">
            <v>1</v>
          </cell>
        </row>
        <row r="108">
          <cell r="E108" t="str">
            <v>S</v>
          </cell>
          <cell r="F108" t="str">
            <v>Técnica</v>
          </cell>
          <cell r="G108" t="str">
            <v>5 Nivel</v>
          </cell>
          <cell r="I108">
            <v>27.881017611935565</v>
          </cell>
          <cell r="K108">
            <v>0.56868884481227722</v>
          </cell>
          <cell r="O108">
            <v>43824015.935999997</v>
          </cell>
          <cell r="P108">
            <v>1</v>
          </cell>
        </row>
        <row r="109">
          <cell r="E109" t="str">
            <v>S</v>
          </cell>
          <cell r="F109" t="str">
            <v>Técnica</v>
          </cell>
          <cell r="G109" t="str">
            <v>5 Nivel</v>
          </cell>
          <cell r="I109">
            <v>52.059099803716386</v>
          </cell>
          <cell r="K109">
            <v>0.85909980371638683</v>
          </cell>
          <cell r="O109">
            <v>43823999.71542865</v>
          </cell>
          <cell r="P109">
            <v>1</v>
          </cell>
        </row>
        <row r="110">
          <cell r="E110" t="str">
            <v>S</v>
          </cell>
          <cell r="F110" t="str">
            <v>Técnica</v>
          </cell>
          <cell r="G110" t="str">
            <v>5 Nivel</v>
          </cell>
          <cell r="I110">
            <v>29.442661447552002</v>
          </cell>
          <cell r="K110">
            <v>1.2043052831684415</v>
          </cell>
          <cell r="O110">
            <v>43823999.71542865</v>
          </cell>
          <cell r="P110">
            <v>1</v>
          </cell>
        </row>
        <row r="111">
          <cell r="E111" t="str">
            <v>S</v>
          </cell>
          <cell r="F111" t="str">
            <v>Técnica</v>
          </cell>
          <cell r="G111" t="str">
            <v>5 Nivel</v>
          </cell>
          <cell r="I111">
            <v>26.670058707825977</v>
          </cell>
          <cell r="K111">
            <v>1.2426614475520033</v>
          </cell>
          <cell r="O111">
            <v>43823999.71542865</v>
          </cell>
          <cell r="P111">
            <v>1</v>
          </cell>
        </row>
        <row r="112">
          <cell r="E112" t="str">
            <v>I</v>
          </cell>
          <cell r="F112" t="str">
            <v>Diseño</v>
          </cell>
          <cell r="G112" t="str">
            <v>6 Nivel</v>
          </cell>
          <cell r="I112">
            <v>28.29745596809995</v>
          </cell>
          <cell r="K112">
            <v>2.3741682968670719</v>
          </cell>
          <cell r="O112">
            <v>43823999.71542865</v>
          </cell>
          <cell r="P112">
            <v>1</v>
          </cell>
        </row>
        <row r="113">
          <cell r="E113" t="str">
            <v>I</v>
          </cell>
          <cell r="F113" t="str">
            <v>Auditoria Técnica</v>
          </cell>
          <cell r="G113" t="str">
            <v>6 Nivel</v>
          </cell>
          <cell r="I113">
            <v>30.185127200976662</v>
          </cell>
          <cell r="K113">
            <v>2.3851272009766609</v>
          </cell>
          <cell r="O113">
            <v>43823999.71542865</v>
          </cell>
          <cell r="P113">
            <v>1</v>
          </cell>
        </row>
        <row r="114">
          <cell r="E114" t="str">
            <v>S</v>
          </cell>
          <cell r="F114" t="str">
            <v>Técnica</v>
          </cell>
          <cell r="G114" t="str">
            <v>5 Nivel</v>
          </cell>
          <cell r="I114">
            <v>36.557729940702686</v>
          </cell>
          <cell r="K114">
            <v>1.3166340502917293</v>
          </cell>
          <cell r="O114">
            <v>43823999.71542865</v>
          </cell>
          <cell r="P114">
            <v>1</v>
          </cell>
        </row>
        <row r="115">
          <cell r="E115" t="str">
            <v>S</v>
          </cell>
          <cell r="F115" t="str">
            <v>Técnica</v>
          </cell>
          <cell r="G115" t="str">
            <v>5 Nivel</v>
          </cell>
          <cell r="I115">
            <v>39.270058707825974</v>
          </cell>
          <cell r="K115">
            <v>10.790606653031455</v>
          </cell>
          <cell r="O115">
            <v>43823999.71542865</v>
          </cell>
          <cell r="P115">
            <v>1</v>
          </cell>
        </row>
        <row r="116">
          <cell r="E116" t="str">
            <v>S</v>
          </cell>
          <cell r="F116" t="str">
            <v>Técnica</v>
          </cell>
          <cell r="G116" t="str">
            <v>5 Nivel</v>
          </cell>
          <cell r="I116">
            <v>32.437181995497205</v>
          </cell>
          <cell r="K116">
            <v>0.70567514618214022</v>
          </cell>
          <cell r="O116">
            <v>43823999.71542865</v>
          </cell>
          <cell r="P116">
            <v>1</v>
          </cell>
        </row>
        <row r="117">
          <cell r="E117" t="str">
            <v>S</v>
          </cell>
          <cell r="F117" t="str">
            <v>Técnica</v>
          </cell>
          <cell r="G117" t="str">
            <v>5 Nivel</v>
          </cell>
          <cell r="I117">
            <v>40.119373776319129</v>
          </cell>
          <cell r="K117">
            <v>3.9796477489218662</v>
          </cell>
          <cell r="O117">
            <v>42828000.28457135</v>
          </cell>
          <cell r="P117">
            <v>1</v>
          </cell>
        </row>
        <row r="118">
          <cell r="E118" t="str">
            <v>S</v>
          </cell>
          <cell r="F118" t="str">
            <v>Técnica</v>
          </cell>
          <cell r="G118" t="str">
            <v>5 Nivel</v>
          </cell>
          <cell r="I118">
            <v>47.700195694127345</v>
          </cell>
          <cell r="K118">
            <v>2.0289628174150169</v>
          </cell>
          <cell r="O118">
            <v>41832000</v>
          </cell>
          <cell r="P118">
            <v>1</v>
          </cell>
        </row>
        <row r="119">
          <cell r="E119" t="str">
            <v>S</v>
          </cell>
          <cell r="F119" t="str">
            <v>Técnica</v>
          </cell>
          <cell r="G119" t="str">
            <v>5 Nivel</v>
          </cell>
          <cell r="I119">
            <v>27.998825831113646</v>
          </cell>
          <cell r="K119">
            <v>1.3001956941273458</v>
          </cell>
          <cell r="O119">
            <v>41832000</v>
          </cell>
          <cell r="P119">
            <v>1</v>
          </cell>
        </row>
        <row r="120">
          <cell r="E120" t="str">
            <v>I</v>
          </cell>
          <cell r="F120" t="str">
            <v>Técnica</v>
          </cell>
          <cell r="G120" t="str">
            <v>6 Nivel</v>
          </cell>
          <cell r="I120">
            <v>31.201565557141045</v>
          </cell>
          <cell r="K120">
            <v>2.9385518585109072</v>
          </cell>
          <cell r="O120">
            <v>41832000</v>
          </cell>
          <cell r="P120">
            <v>1</v>
          </cell>
        </row>
        <row r="121">
          <cell r="E121" t="str">
            <v>S</v>
          </cell>
          <cell r="F121" t="str">
            <v>Técnica</v>
          </cell>
          <cell r="G121" t="str">
            <v>5 Nivel</v>
          </cell>
          <cell r="I121">
            <v>35.672798433853373</v>
          </cell>
          <cell r="K121">
            <v>1.0043052831684416</v>
          </cell>
          <cell r="O121">
            <v>41832000</v>
          </cell>
          <cell r="P121">
            <v>1</v>
          </cell>
        </row>
        <row r="122">
          <cell r="E122" t="str">
            <v>I</v>
          </cell>
          <cell r="F122" t="str">
            <v>Técnica</v>
          </cell>
          <cell r="G122" t="str">
            <v>6 Nivel</v>
          </cell>
          <cell r="I122">
            <v>32.215264187278031</v>
          </cell>
          <cell r="K122">
            <v>0.78238747494926353</v>
          </cell>
          <cell r="O122">
            <v>41832000</v>
          </cell>
          <cell r="P122">
            <v>1</v>
          </cell>
        </row>
        <row r="123">
          <cell r="E123" t="str">
            <v>S</v>
          </cell>
          <cell r="F123" t="str">
            <v>Técnica</v>
          </cell>
          <cell r="G123" t="str">
            <v>5 Nivel</v>
          </cell>
          <cell r="I123">
            <v>44.034442269469814</v>
          </cell>
          <cell r="K123">
            <v>0.70019569412734572</v>
          </cell>
          <cell r="O123">
            <v>39840000.28457135</v>
          </cell>
          <cell r="P123">
            <v>1</v>
          </cell>
        </row>
        <row r="124">
          <cell r="E124" t="str">
            <v>S</v>
          </cell>
          <cell r="F124" t="str">
            <v>Técnica</v>
          </cell>
          <cell r="G124" t="str">
            <v>5 Nivel</v>
          </cell>
          <cell r="I124">
            <v>2.8536203516615921</v>
          </cell>
          <cell r="K124">
            <v>2.8919765160451538</v>
          </cell>
          <cell r="O124">
            <v>39840000.28457135</v>
          </cell>
          <cell r="P124">
            <v>1</v>
          </cell>
        </row>
        <row r="125">
          <cell r="E125" t="str">
            <v>S</v>
          </cell>
          <cell r="F125" t="str">
            <v>Técnica</v>
          </cell>
          <cell r="G125" t="str">
            <v>5 Nivel</v>
          </cell>
          <cell r="I125">
            <v>31.634442269469812</v>
          </cell>
          <cell r="K125">
            <v>1.3166340502917293</v>
          </cell>
          <cell r="O125">
            <v>39840000.28457135</v>
          </cell>
          <cell r="P125">
            <v>1</v>
          </cell>
        </row>
        <row r="126">
          <cell r="E126" t="str">
            <v>S</v>
          </cell>
          <cell r="F126" t="str">
            <v>Técnica</v>
          </cell>
          <cell r="G126" t="str">
            <v>5 Nivel</v>
          </cell>
          <cell r="I126">
            <v>31.256360077688988</v>
          </cell>
          <cell r="K126">
            <v>1.2344422694698114</v>
          </cell>
          <cell r="O126">
            <v>39839999.840640008</v>
          </cell>
          <cell r="P126">
            <v>1</v>
          </cell>
        </row>
        <row r="127">
          <cell r="E127" t="str">
            <v>S</v>
          </cell>
          <cell r="F127" t="str">
            <v>Técnica</v>
          </cell>
          <cell r="G127" t="str">
            <v>5 Nivel</v>
          </cell>
          <cell r="I127">
            <v>27.102935420154743</v>
          </cell>
          <cell r="K127">
            <v>1.3001956941273458</v>
          </cell>
          <cell r="O127">
            <v>39839999.430857122</v>
          </cell>
          <cell r="P127">
            <v>1</v>
          </cell>
        </row>
        <row r="128">
          <cell r="E128" t="str">
            <v>S</v>
          </cell>
          <cell r="F128" t="str">
            <v>Técnica</v>
          </cell>
          <cell r="G128" t="str">
            <v>5 Nivel</v>
          </cell>
          <cell r="I128">
            <v>38.648140899606801</v>
          </cell>
          <cell r="K128">
            <v>1.0317025434424143</v>
          </cell>
          <cell r="O128">
            <v>39839999.430857122</v>
          </cell>
          <cell r="P128">
            <v>1</v>
          </cell>
        </row>
        <row r="129">
          <cell r="E129" t="str">
            <v>I</v>
          </cell>
          <cell r="F129" t="str">
            <v>Diseño</v>
          </cell>
          <cell r="G129" t="str">
            <v>6 Nivel</v>
          </cell>
          <cell r="I129">
            <v>28.949510762620495</v>
          </cell>
          <cell r="K129">
            <v>0.62896281741501692</v>
          </cell>
          <cell r="O129">
            <v>39839999.430857122</v>
          </cell>
          <cell r="P129">
            <v>1</v>
          </cell>
        </row>
        <row r="130">
          <cell r="E130" t="str">
            <v>I</v>
          </cell>
          <cell r="F130" t="str">
            <v>Diseño</v>
          </cell>
          <cell r="G130" t="str">
            <v>6 Nivel</v>
          </cell>
          <cell r="I130">
            <v>31.533072406456114</v>
          </cell>
          <cell r="K130">
            <v>1.9303326804287155</v>
          </cell>
          <cell r="O130">
            <v>39839999.430857122</v>
          </cell>
          <cell r="P130">
            <v>1</v>
          </cell>
        </row>
        <row r="131">
          <cell r="E131" t="str">
            <v>S</v>
          </cell>
          <cell r="F131" t="str">
            <v>Técnica</v>
          </cell>
          <cell r="G131" t="str">
            <v>5 Nivel</v>
          </cell>
          <cell r="I131">
            <v>30.894716242072551</v>
          </cell>
          <cell r="K131">
            <v>1.0864970639903595</v>
          </cell>
          <cell r="O131">
            <v>39839999.430857122</v>
          </cell>
          <cell r="P131">
            <v>1</v>
          </cell>
        </row>
        <row r="132">
          <cell r="E132" t="str">
            <v>I</v>
          </cell>
          <cell r="F132" t="str">
            <v>Técnica</v>
          </cell>
          <cell r="G132" t="str">
            <v>6 Nivel</v>
          </cell>
          <cell r="I132">
            <v>26.793346379058853</v>
          </cell>
          <cell r="K132">
            <v>1.0645792557711813</v>
          </cell>
          <cell r="O132">
            <v>39839998.406400003</v>
          </cell>
          <cell r="P132">
            <v>1</v>
          </cell>
        </row>
        <row r="133">
          <cell r="E133" t="str">
            <v>S</v>
          </cell>
          <cell r="F133" t="str">
            <v>Técnica</v>
          </cell>
          <cell r="G133" t="str">
            <v>5 Nivel</v>
          </cell>
          <cell r="I133">
            <v>41.330332680428718</v>
          </cell>
          <cell r="K133">
            <v>0.44814089960679776</v>
          </cell>
          <cell r="O133">
            <v>39839998.406400003</v>
          </cell>
          <cell r="P133">
            <v>1</v>
          </cell>
        </row>
        <row r="134">
          <cell r="E134" t="str">
            <v>S</v>
          </cell>
          <cell r="F134" t="str">
            <v>Técnica</v>
          </cell>
          <cell r="G134" t="str">
            <v>5 Nivel</v>
          </cell>
          <cell r="I134">
            <v>29.818003913305429</v>
          </cell>
          <cell r="K134">
            <v>0.51389432426433201</v>
          </cell>
          <cell r="O134">
            <v>39839996.016000003</v>
          </cell>
          <cell r="P134">
            <v>1</v>
          </cell>
        </row>
        <row r="135">
          <cell r="E135" t="str">
            <v>I</v>
          </cell>
          <cell r="F135" t="str">
            <v>Técnica</v>
          </cell>
          <cell r="G135" t="str">
            <v>6 Nivel</v>
          </cell>
          <cell r="I135">
            <v>27.738551858510906</v>
          </cell>
          <cell r="K135">
            <v>1.5303326804287156</v>
          </cell>
          <cell r="O135">
            <v>37847999.715428658</v>
          </cell>
          <cell r="P135">
            <v>1</v>
          </cell>
        </row>
        <row r="136">
          <cell r="E136" t="str">
            <v>I</v>
          </cell>
          <cell r="F136" t="str">
            <v>Compras &amp; Equipos</v>
          </cell>
          <cell r="G136" t="str">
            <v>6 Nivel</v>
          </cell>
          <cell r="I136">
            <v>26.401565557141044</v>
          </cell>
          <cell r="K136">
            <v>1.4317025434424142</v>
          </cell>
          <cell r="O136">
            <v>37847999.715428658</v>
          </cell>
          <cell r="P136">
            <v>1</v>
          </cell>
        </row>
        <row r="137">
          <cell r="E137" t="str">
            <v>I</v>
          </cell>
          <cell r="F137" t="str">
            <v>Técnica</v>
          </cell>
          <cell r="G137" t="str">
            <v>6 Nivel</v>
          </cell>
          <cell r="I137">
            <v>28.420743639332827</v>
          </cell>
          <cell r="K137">
            <v>1.9495107626204964</v>
          </cell>
          <cell r="O137">
            <v>37847999.715428658</v>
          </cell>
          <cell r="P137">
            <v>1</v>
          </cell>
        </row>
        <row r="138">
          <cell r="E138" t="str">
            <v>S</v>
          </cell>
          <cell r="F138" t="str">
            <v>Técnica</v>
          </cell>
          <cell r="G138" t="str">
            <v>5 Nivel</v>
          </cell>
          <cell r="I138">
            <v>27.659099803716387</v>
          </cell>
          <cell r="K138">
            <v>1.0508806256341952</v>
          </cell>
          <cell r="O138">
            <v>37847999.715428658</v>
          </cell>
          <cell r="P138">
            <v>1</v>
          </cell>
        </row>
        <row r="139">
          <cell r="E139" t="str">
            <v>I</v>
          </cell>
          <cell r="F139" t="str">
            <v>Técnica</v>
          </cell>
          <cell r="G139" t="str">
            <v>6 Nivel</v>
          </cell>
          <cell r="I139">
            <v>38.587866927004058</v>
          </cell>
          <cell r="K139">
            <v>2.0097847352232363</v>
          </cell>
          <cell r="O139">
            <v>37847999.715428658</v>
          </cell>
          <cell r="P139">
            <v>1</v>
          </cell>
        </row>
        <row r="140">
          <cell r="E140" t="str">
            <v>I</v>
          </cell>
          <cell r="F140" t="str">
            <v>Diseño</v>
          </cell>
          <cell r="G140" t="str">
            <v>6 Nivel</v>
          </cell>
          <cell r="I140">
            <v>56.344031310565704</v>
          </cell>
          <cell r="K140">
            <v>32.130332680428715</v>
          </cell>
          <cell r="O140">
            <v>36852000.28457135</v>
          </cell>
          <cell r="P140">
            <v>1</v>
          </cell>
        </row>
        <row r="141">
          <cell r="E141" t="str">
            <v>S</v>
          </cell>
          <cell r="F141" t="str">
            <v>Técnica</v>
          </cell>
          <cell r="G141" t="str">
            <v>5 Nivel</v>
          </cell>
          <cell r="I141">
            <v>26.489236790017756</v>
          </cell>
          <cell r="K141">
            <v>0.64814089960679777</v>
          </cell>
          <cell r="O141">
            <v>36851999.840640008</v>
          </cell>
          <cell r="P141">
            <v>1</v>
          </cell>
        </row>
        <row r="142">
          <cell r="E142" t="str">
            <v>S</v>
          </cell>
          <cell r="F142" t="str">
            <v>Técnica</v>
          </cell>
          <cell r="G142" t="str">
            <v>5 Nivel</v>
          </cell>
          <cell r="I142">
            <v>26.300195694127346</v>
          </cell>
          <cell r="K142">
            <v>0.40978473522323616</v>
          </cell>
          <cell r="O142">
            <v>35856000</v>
          </cell>
          <cell r="P142">
            <v>1</v>
          </cell>
        </row>
        <row r="143">
          <cell r="E143" t="str">
            <v>S</v>
          </cell>
          <cell r="F143" t="str">
            <v>Técnica</v>
          </cell>
          <cell r="G143" t="str">
            <v>5 Nivel</v>
          </cell>
          <cell r="I143">
            <v>29.524853228373921</v>
          </cell>
          <cell r="K143">
            <v>1.5056751461821403</v>
          </cell>
          <cell r="O143">
            <v>35856000</v>
          </cell>
          <cell r="P143">
            <v>1</v>
          </cell>
        </row>
        <row r="144">
          <cell r="E144" t="str">
            <v>I</v>
          </cell>
          <cell r="F144" t="str">
            <v>Técnica</v>
          </cell>
          <cell r="G144" t="str">
            <v>6 Nivel</v>
          </cell>
          <cell r="I144">
            <v>34.804305283168439</v>
          </cell>
          <cell r="K144">
            <v>1.7878669270040581</v>
          </cell>
          <cell r="O144">
            <v>35856000</v>
          </cell>
          <cell r="P144">
            <v>1</v>
          </cell>
        </row>
        <row r="145">
          <cell r="E145" t="str">
            <v>I</v>
          </cell>
          <cell r="F145" t="str">
            <v>Técnica</v>
          </cell>
          <cell r="G145" t="str">
            <v>6 Nivel</v>
          </cell>
          <cell r="I145">
            <v>52.831702543442411</v>
          </cell>
          <cell r="K145">
            <v>25.924853228373919</v>
          </cell>
          <cell r="O145">
            <v>35856000</v>
          </cell>
          <cell r="P145">
            <v>1</v>
          </cell>
        </row>
        <row r="146">
          <cell r="E146" t="str">
            <v>I</v>
          </cell>
          <cell r="F146" t="str">
            <v>Presidencia</v>
          </cell>
          <cell r="G146" t="str">
            <v>6 Nivel</v>
          </cell>
          <cell r="I146">
            <v>46.35772994070269</v>
          </cell>
          <cell r="K146">
            <v>26.760469666730085</v>
          </cell>
          <cell r="O146">
            <v>35856000</v>
          </cell>
          <cell r="P146">
            <v>1</v>
          </cell>
        </row>
        <row r="147">
          <cell r="E147" t="str">
            <v>S</v>
          </cell>
          <cell r="F147" t="str">
            <v>Técnica</v>
          </cell>
          <cell r="G147" t="str">
            <v>5 Nivel</v>
          </cell>
          <cell r="I147">
            <v>45.256360077688988</v>
          </cell>
          <cell r="K147">
            <v>1.3933463790588525</v>
          </cell>
          <cell r="O147">
            <v>35856000</v>
          </cell>
          <cell r="P147">
            <v>1</v>
          </cell>
        </row>
        <row r="148">
          <cell r="E148" t="str">
            <v>S</v>
          </cell>
          <cell r="F148" t="str">
            <v>Técnica</v>
          </cell>
          <cell r="G148" t="str">
            <v>5 Nivel</v>
          </cell>
          <cell r="I148">
            <v>29.765949118784881</v>
          </cell>
          <cell r="K148">
            <v>1.3138943242643319</v>
          </cell>
          <cell r="O148">
            <v>35856000</v>
          </cell>
          <cell r="P148">
            <v>1</v>
          </cell>
        </row>
        <row r="149">
          <cell r="E149" t="str">
            <v>S</v>
          </cell>
          <cell r="F149" t="str">
            <v>Técnica</v>
          </cell>
          <cell r="G149" t="str">
            <v>5 Nivel</v>
          </cell>
          <cell r="I149">
            <v>29.53581213248351</v>
          </cell>
          <cell r="K149">
            <v>1.0864970639903595</v>
          </cell>
          <cell r="O149">
            <v>35856000</v>
          </cell>
          <cell r="P149">
            <v>1</v>
          </cell>
        </row>
        <row r="150">
          <cell r="E150" t="str">
            <v>S</v>
          </cell>
          <cell r="F150" t="str">
            <v>Técnica</v>
          </cell>
          <cell r="G150" t="str">
            <v>5 Nivel</v>
          </cell>
          <cell r="I150">
            <v>28.03718199549721</v>
          </cell>
          <cell r="K150">
            <v>1.4892367900177568</v>
          </cell>
          <cell r="O150">
            <v>35856000</v>
          </cell>
          <cell r="P150">
            <v>1</v>
          </cell>
        </row>
        <row r="151">
          <cell r="E151" t="str">
            <v>S</v>
          </cell>
          <cell r="F151" t="str">
            <v>Técnica</v>
          </cell>
          <cell r="G151" t="str">
            <v>5 Nivel</v>
          </cell>
          <cell r="I151">
            <v>49.250880625634196</v>
          </cell>
          <cell r="K151">
            <v>1.36594911878488</v>
          </cell>
          <cell r="O151">
            <v>35856000</v>
          </cell>
          <cell r="P151">
            <v>1</v>
          </cell>
        </row>
        <row r="152">
          <cell r="E152" t="str">
            <v>S</v>
          </cell>
          <cell r="F152" t="str">
            <v>Técnica</v>
          </cell>
          <cell r="G152" t="str">
            <v>5 Nivel</v>
          </cell>
          <cell r="I152">
            <v>27.831702543442415</v>
          </cell>
          <cell r="K152">
            <v>0.87827788590816769</v>
          </cell>
          <cell r="O152">
            <v>35856000</v>
          </cell>
          <cell r="P152">
            <v>1</v>
          </cell>
        </row>
        <row r="153">
          <cell r="E153" t="str">
            <v>S</v>
          </cell>
          <cell r="F153" t="str">
            <v>Técnica</v>
          </cell>
          <cell r="G153" t="str">
            <v>5 Nivel</v>
          </cell>
          <cell r="I153">
            <v>37.108414872209536</v>
          </cell>
          <cell r="K153">
            <v>0.91663405029172929</v>
          </cell>
          <cell r="O153">
            <v>35856000</v>
          </cell>
          <cell r="P153">
            <v>1</v>
          </cell>
        </row>
        <row r="154">
          <cell r="E154" t="str">
            <v>S</v>
          </cell>
          <cell r="F154" t="str">
            <v>Técnica</v>
          </cell>
          <cell r="G154" t="str">
            <v>5 Nivel</v>
          </cell>
          <cell r="I154">
            <v>28.705675146182141</v>
          </cell>
          <cell r="K154">
            <v>0.56868884481227722</v>
          </cell>
          <cell r="O154">
            <v>35856000</v>
          </cell>
          <cell r="P154">
            <v>1</v>
          </cell>
        </row>
        <row r="155">
          <cell r="E155" t="str">
            <v>S</v>
          </cell>
          <cell r="F155" t="str">
            <v>Técnica</v>
          </cell>
          <cell r="G155" t="str">
            <v>5 Nivel</v>
          </cell>
          <cell r="I155">
            <v>41.009784735223235</v>
          </cell>
          <cell r="K155">
            <v>1.3358121324835102</v>
          </cell>
          <cell r="O155">
            <v>35856000</v>
          </cell>
          <cell r="P155">
            <v>1</v>
          </cell>
        </row>
        <row r="156">
          <cell r="E156" t="str">
            <v>S</v>
          </cell>
          <cell r="F156" t="str">
            <v>Técnica</v>
          </cell>
          <cell r="G156" t="str">
            <v>5 Nivel</v>
          </cell>
          <cell r="I156">
            <v>31.702935420154741</v>
          </cell>
          <cell r="K156">
            <v>1.3495107626204965</v>
          </cell>
          <cell r="O156">
            <v>33864000.28457135</v>
          </cell>
          <cell r="P156">
            <v>1</v>
          </cell>
        </row>
        <row r="157">
          <cell r="E157" t="str">
            <v>S</v>
          </cell>
          <cell r="F157" t="str">
            <v>Técnica</v>
          </cell>
          <cell r="G157" t="str">
            <v>5 Nivel</v>
          </cell>
          <cell r="I157">
            <v>52.697455968099952</v>
          </cell>
          <cell r="K157">
            <v>0.93307240645611289</v>
          </cell>
          <cell r="O157">
            <v>33863999.840640008</v>
          </cell>
          <cell r="P157">
            <v>1</v>
          </cell>
        </row>
        <row r="158">
          <cell r="E158" t="str">
            <v>S</v>
          </cell>
          <cell r="F158" t="str">
            <v>Técnica</v>
          </cell>
          <cell r="G158" t="str">
            <v>5 Nivel</v>
          </cell>
          <cell r="I158">
            <v>30.727592954401317</v>
          </cell>
          <cell r="K158">
            <v>1.2508806256341951</v>
          </cell>
          <cell r="O158">
            <v>33863999.430857122</v>
          </cell>
          <cell r="P158">
            <v>1</v>
          </cell>
        </row>
        <row r="159">
          <cell r="E159" t="str">
            <v>S</v>
          </cell>
          <cell r="F159" t="str">
            <v>Técnica</v>
          </cell>
          <cell r="G159" t="str">
            <v>5 Nivel</v>
          </cell>
          <cell r="I159">
            <v>27.050880625634196</v>
          </cell>
          <cell r="K159">
            <v>0.95499021467529088</v>
          </cell>
          <cell r="O159">
            <v>33863999.430857122</v>
          </cell>
          <cell r="P159">
            <v>1</v>
          </cell>
        </row>
        <row r="160">
          <cell r="E160" t="str">
            <v>S</v>
          </cell>
          <cell r="F160" t="str">
            <v>Técnica</v>
          </cell>
          <cell r="G160" t="str">
            <v>5 Nivel</v>
          </cell>
          <cell r="I160">
            <v>27.502935420154742</v>
          </cell>
          <cell r="K160">
            <v>2.1001956941273456</v>
          </cell>
          <cell r="O160">
            <v>33465600</v>
          </cell>
          <cell r="P160">
            <v>1</v>
          </cell>
        </row>
        <row r="161">
          <cell r="E161" t="str">
            <v>S</v>
          </cell>
          <cell r="F161" t="str">
            <v>Técnica</v>
          </cell>
          <cell r="G161" t="str">
            <v>5 Nivel</v>
          </cell>
          <cell r="I161">
            <v>27.409784735223237</v>
          </cell>
          <cell r="K161">
            <v>1.2782778859081676</v>
          </cell>
          <cell r="O161">
            <v>31871999.715428658</v>
          </cell>
          <cell r="P161">
            <v>1</v>
          </cell>
        </row>
        <row r="162">
          <cell r="E162" t="str">
            <v>S</v>
          </cell>
          <cell r="F162" t="str">
            <v>Administrativa</v>
          </cell>
          <cell r="G162" t="str">
            <v>4 Nivel</v>
          </cell>
          <cell r="I162">
            <v>40.250880625634196</v>
          </cell>
          <cell r="K162">
            <v>6.1906066530314554</v>
          </cell>
          <cell r="O162">
            <v>31871999.715428658</v>
          </cell>
          <cell r="P162">
            <v>1</v>
          </cell>
        </row>
        <row r="163">
          <cell r="E163" t="str">
            <v>S</v>
          </cell>
          <cell r="F163" t="str">
            <v>Técnica</v>
          </cell>
          <cell r="G163" t="str">
            <v>5 Nivel</v>
          </cell>
          <cell r="I163">
            <v>27.316634050291729</v>
          </cell>
          <cell r="K163">
            <v>0.87827788590816769</v>
          </cell>
          <cell r="O163">
            <v>31871999.715428658</v>
          </cell>
          <cell r="P163">
            <v>1</v>
          </cell>
        </row>
        <row r="164">
          <cell r="E164" t="str">
            <v>S</v>
          </cell>
          <cell r="F164" t="str">
            <v>Técnica</v>
          </cell>
          <cell r="G164" t="str">
            <v>5 Nivel</v>
          </cell>
          <cell r="I164">
            <v>29.439921721524605</v>
          </cell>
          <cell r="K164">
            <v>0.47553815988077042</v>
          </cell>
          <cell r="O164">
            <v>31871999.715428658</v>
          </cell>
          <cell r="P164">
            <v>1</v>
          </cell>
        </row>
        <row r="165">
          <cell r="E165" t="str">
            <v>S</v>
          </cell>
          <cell r="F165" t="str">
            <v>Técnica</v>
          </cell>
          <cell r="G165" t="str">
            <v>5 Nivel</v>
          </cell>
          <cell r="I165">
            <v>52.113894324264329</v>
          </cell>
          <cell r="K165">
            <v>1.6837573379629622</v>
          </cell>
          <cell r="O165">
            <v>29880000</v>
          </cell>
          <cell r="P165">
            <v>1</v>
          </cell>
        </row>
        <row r="166">
          <cell r="E166" t="str">
            <v>S</v>
          </cell>
          <cell r="F166" t="str">
            <v>Técnica</v>
          </cell>
          <cell r="G166" t="str">
            <v>5 Nivel</v>
          </cell>
          <cell r="I166">
            <v>32.198825831113645</v>
          </cell>
          <cell r="K166">
            <v>1.1275929544013183</v>
          </cell>
          <cell r="O166">
            <v>29880000</v>
          </cell>
          <cell r="P166">
            <v>1</v>
          </cell>
        </row>
        <row r="167">
          <cell r="E167" t="str">
            <v>I</v>
          </cell>
          <cell r="F167" t="str">
            <v>Compras &amp; Equipos</v>
          </cell>
          <cell r="G167" t="str">
            <v>6 Nivel</v>
          </cell>
          <cell r="I167">
            <v>32.604305283168443</v>
          </cell>
          <cell r="K167">
            <v>13.248140899606797</v>
          </cell>
          <cell r="O167">
            <v>29880000</v>
          </cell>
          <cell r="P167">
            <v>1</v>
          </cell>
        </row>
        <row r="168">
          <cell r="E168" t="str">
            <v>S</v>
          </cell>
          <cell r="F168" t="str">
            <v>Administrativa</v>
          </cell>
          <cell r="G168" t="str">
            <v>5 Nivel</v>
          </cell>
          <cell r="I168">
            <v>44.848140899606797</v>
          </cell>
          <cell r="K168">
            <v>13.820743639332825</v>
          </cell>
          <cell r="O168">
            <v>29880000</v>
          </cell>
          <cell r="P168">
            <v>1</v>
          </cell>
        </row>
        <row r="169">
          <cell r="E169" t="str">
            <v>I</v>
          </cell>
          <cell r="F169" t="str">
            <v>Diseño</v>
          </cell>
          <cell r="G169" t="str">
            <v>6 Nivel</v>
          </cell>
          <cell r="I169">
            <v>30.204305283168441</v>
          </cell>
          <cell r="K169">
            <v>1.0317025434424143</v>
          </cell>
          <cell r="O169">
            <v>29880000</v>
          </cell>
          <cell r="P169">
            <v>1</v>
          </cell>
        </row>
        <row r="170">
          <cell r="E170" t="str">
            <v>S</v>
          </cell>
          <cell r="F170" t="str">
            <v>Técnica</v>
          </cell>
          <cell r="G170" t="str">
            <v>5 Nivel</v>
          </cell>
          <cell r="I170">
            <v>30.659099803716387</v>
          </cell>
          <cell r="K170">
            <v>0.82074363933282524</v>
          </cell>
          <cell r="O170">
            <v>29880000</v>
          </cell>
          <cell r="P170">
            <v>1</v>
          </cell>
        </row>
        <row r="171">
          <cell r="E171" t="str">
            <v>S</v>
          </cell>
          <cell r="F171" t="str">
            <v>Técnica</v>
          </cell>
          <cell r="G171" t="str">
            <v>5 Nivel</v>
          </cell>
          <cell r="I171">
            <v>23.464579255771181</v>
          </cell>
          <cell r="K171">
            <v>0.78238747494926353</v>
          </cell>
          <cell r="O171">
            <v>28883999.715428658</v>
          </cell>
          <cell r="P171">
            <v>1</v>
          </cell>
        </row>
        <row r="172">
          <cell r="E172" t="str">
            <v>S</v>
          </cell>
          <cell r="F172" t="str">
            <v>Auditoria Técnica</v>
          </cell>
          <cell r="G172" t="str">
            <v>3 Nivel</v>
          </cell>
          <cell r="I172">
            <v>56.574168296867072</v>
          </cell>
          <cell r="K172">
            <v>3.0207436393328253</v>
          </cell>
          <cell r="O172">
            <v>27888000.284571346</v>
          </cell>
          <cell r="P172">
            <v>1</v>
          </cell>
        </row>
        <row r="173">
          <cell r="E173" t="str">
            <v>I</v>
          </cell>
          <cell r="F173" t="str">
            <v>Diseño</v>
          </cell>
          <cell r="G173" t="str">
            <v>6 Nivel</v>
          </cell>
          <cell r="I173">
            <v>25.163209392757484</v>
          </cell>
          <cell r="K173">
            <v>0.83444226946981148</v>
          </cell>
          <cell r="O173">
            <v>26294400</v>
          </cell>
          <cell r="P173">
            <v>1</v>
          </cell>
        </row>
        <row r="174">
          <cell r="E174" t="str">
            <v>I</v>
          </cell>
          <cell r="F174" t="str">
            <v>Diseño</v>
          </cell>
          <cell r="G174" t="str">
            <v>6 Nivel</v>
          </cell>
          <cell r="I174">
            <v>27.686497063990359</v>
          </cell>
          <cell r="K174">
            <v>1.6207436393328252</v>
          </cell>
          <cell r="O174">
            <v>26294400</v>
          </cell>
          <cell r="P174">
            <v>1</v>
          </cell>
        </row>
        <row r="175">
          <cell r="E175" t="str">
            <v>I</v>
          </cell>
          <cell r="F175" t="str">
            <v>Diseño</v>
          </cell>
          <cell r="G175" t="str">
            <v>6 Nivel</v>
          </cell>
          <cell r="I175">
            <v>24.453620351661591</v>
          </cell>
          <cell r="K175">
            <v>1.3495107626204965</v>
          </cell>
          <cell r="O175">
            <v>26294400</v>
          </cell>
          <cell r="P175">
            <v>1</v>
          </cell>
        </row>
        <row r="176">
          <cell r="E176" t="str">
            <v>I</v>
          </cell>
          <cell r="F176" t="str">
            <v>Diseño</v>
          </cell>
          <cell r="G176" t="str">
            <v>6 Nivel</v>
          </cell>
          <cell r="I176">
            <v>27.878277885908169</v>
          </cell>
          <cell r="K176">
            <v>1.354990214675291</v>
          </cell>
          <cell r="O176">
            <v>26294400</v>
          </cell>
          <cell r="P176">
            <v>1</v>
          </cell>
        </row>
        <row r="177">
          <cell r="E177" t="str">
            <v>I</v>
          </cell>
          <cell r="F177" t="str">
            <v>Administrativa</v>
          </cell>
          <cell r="G177" t="str">
            <v>6 Nivel</v>
          </cell>
          <cell r="I177">
            <v>29.209784735223238</v>
          </cell>
          <cell r="K177">
            <v>2.6371819954972087</v>
          </cell>
          <cell r="O177">
            <v>25896000.569142882</v>
          </cell>
          <cell r="P177">
            <v>1</v>
          </cell>
        </row>
        <row r="178">
          <cell r="E178" t="str">
            <v>S</v>
          </cell>
          <cell r="F178" t="str">
            <v>Técnica</v>
          </cell>
          <cell r="G178" t="str">
            <v>5 Nivel</v>
          </cell>
          <cell r="I178">
            <v>27.744031310565703</v>
          </cell>
          <cell r="K178">
            <v>1.3330724064561128</v>
          </cell>
          <cell r="O178">
            <v>25895999.715428658</v>
          </cell>
          <cell r="P178">
            <v>1</v>
          </cell>
        </row>
        <row r="179">
          <cell r="E179" t="str">
            <v>I</v>
          </cell>
          <cell r="F179" t="str">
            <v>Técnica</v>
          </cell>
          <cell r="G179" t="str">
            <v>6 Nivel</v>
          </cell>
          <cell r="I179">
            <v>47.039921721524607</v>
          </cell>
          <cell r="K179">
            <v>0.94951076262049638</v>
          </cell>
          <cell r="O179">
            <v>24899999.430857118</v>
          </cell>
          <cell r="P179">
            <v>1</v>
          </cell>
        </row>
        <row r="180">
          <cell r="E180" t="str">
            <v>S</v>
          </cell>
          <cell r="F180" t="str">
            <v>Técnica</v>
          </cell>
          <cell r="G180" t="str">
            <v>5 Nivel</v>
          </cell>
          <cell r="I180">
            <v>51.346771036593097</v>
          </cell>
          <cell r="K180">
            <v>0.80156555714104438</v>
          </cell>
          <cell r="O180">
            <v>25138829.098285772</v>
          </cell>
          <cell r="P180">
            <v>1</v>
          </cell>
        </row>
        <row r="181">
          <cell r="E181" t="str">
            <v>S</v>
          </cell>
          <cell r="F181" t="str">
            <v>Técnica</v>
          </cell>
          <cell r="G181" t="str">
            <v>5 Nivel</v>
          </cell>
          <cell r="I181">
            <v>45.300195694127346</v>
          </cell>
          <cell r="K181">
            <v>1.0892367900177566</v>
          </cell>
          <cell r="O181">
            <v>25138827.318857111</v>
          </cell>
          <cell r="P181">
            <v>1</v>
          </cell>
        </row>
        <row r="182">
          <cell r="E182" t="str">
            <v>S</v>
          </cell>
          <cell r="F182" t="str">
            <v>Técnica</v>
          </cell>
          <cell r="G182" t="str">
            <v>5 Nivel</v>
          </cell>
          <cell r="I182">
            <v>0.62348336536022242</v>
          </cell>
          <cell r="K182">
            <v>0.62348336536022242</v>
          </cell>
          <cell r="O182">
            <v>25138823.759999998</v>
          </cell>
          <cell r="P182">
            <v>1</v>
          </cell>
        </row>
        <row r="183">
          <cell r="E183" t="str">
            <v>S</v>
          </cell>
          <cell r="F183" t="str">
            <v>Técnica</v>
          </cell>
          <cell r="G183" t="str">
            <v>5 Nivel</v>
          </cell>
          <cell r="I183">
            <v>47.135812132483508</v>
          </cell>
          <cell r="K183">
            <v>1.2618395297437841</v>
          </cell>
          <cell r="O183">
            <v>25138823.759999998</v>
          </cell>
          <cell r="P183">
            <v>1</v>
          </cell>
        </row>
        <row r="184">
          <cell r="E184" t="str">
            <v>S</v>
          </cell>
          <cell r="F184" t="str">
            <v>Técnica</v>
          </cell>
          <cell r="G184" t="str">
            <v>5 Nivel</v>
          </cell>
          <cell r="I184">
            <v>44.439921721524605</v>
          </cell>
          <cell r="K184">
            <v>0.41526418727803066</v>
          </cell>
          <cell r="O184">
            <v>25138823.759999998</v>
          </cell>
          <cell r="P184">
            <v>1</v>
          </cell>
        </row>
        <row r="185">
          <cell r="E185" t="str">
            <v>S</v>
          </cell>
          <cell r="F185" t="str">
            <v>Técnica</v>
          </cell>
          <cell r="G185" t="str">
            <v>5 Nivel</v>
          </cell>
          <cell r="I185">
            <v>47.289236790017753</v>
          </cell>
          <cell r="K185">
            <v>1.2180039133054279</v>
          </cell>
          <cell r="O185">
            <v>25138823.759999998</v>
          </cell>
          <cell r="P185">
            <v>1</v>
          </cell>
        </row>
        <row r="186">
          <cell r="E186" t="str">
            <v>S</v>
          </cell>
          <cell r="F186" t="str">
            <v>Técnica</v>
          </cell>
          <cell r="G186" t="str">
            <v>5 Nivel</v>
          </cell>
          <cell r="I186">
            <v>45.694716242072552</v>
          </cell>
          <cell r="K186">
            <v>0.74129158453830468</v>
          </cell>
          <cell r="O186">
            <v>25138823.759999998</v>
          </cell>
          <cell r="P186">
            <v>1</v>
          </cell>
        </row>
        <row r="187">
          <cell r="E187" t="str">
            <v>S</v>
          </cell>
          <cell r="F187" t="str">
            <v>Técnica</v>
          </cell>
          <cell r="G187" t="str">
            <v>5 Nivel</v>
          </cell>
          <cell r="I187">
            <v>25.8454011735794</v>
          </cell>
          <cell r="K187">
            <v>0.80978473522323613</v>
          </cell>
          <cell r="O187">
            <v>25138823.759999998</v>
          </cell>
          <cell r="P187">
            <v>1</v>
          </cell>
        </row>
        <row r="188">
          <cell r="E188" t="str">
            <v>S</v>
          </cell>
          <cell r="F188" t="str">
            <v>Técnica</v>
          </cell>
          <cell r="G188" t="str">
            <v>5 Nivel</v>
          </cell>
          <cell r="I188">
            <v>36.070058707825979</v>
          </cell>
          <cell r="K188">
            <v>0.72485322837392108</v>
          </cell>
          <cell r="O188">
            <v>25138823.759999998</v>
          </cell>
          <cell r="P188">
            <v>1</v>
          </cell>
        </row>
        <row r="189">
          <cell r="E189" t="str">
            <v>S</v>
          </cell>
          <cell r="F189" t="str">
            <v>Técnica</v>
          </cell>
          <cell r="G189" t="str">
            <v>5 Nivel</v>
          </cell>
          <cell r="I189">
            <v>46.66731898179858</v>
          </cell>
          <cell r="K189">
            <v>0.96594911878487999</v>
          </cell>
          <cell r="O189">
            <v>25138815.289920002</v>
          </cell>
          <cell r="P189">
            <v>1</v>
          </cell>
        </row>
        <row r="190">
          <cell r="E190" t="str">
            <v>S</v>
          </cell>
          <cell r="F190" t="str">
            <v>Técnica</v>
          </cell>
          <cell r="G190" t="str">
            <v>5 Nivel</v>
          </cell>
          <cell r="I190">
            <v>40.987866927004056</v>
          </cell>
          <cell r="K190">
            <v>0.72485322837392108</v>
          </cell>
          <cell r="O190">
            <v>25138788.171428662</v>
          </cell>
          <cell r="P190">
            <v>1</v>
          </cell>
        </row>
        <row r="191">
          <cell r="E191" t="str">
            <v>S</v>
          </cell>
          <cell r="F191" t="str">
            <v>Técnica</v>
          </cell>
          <cell r="G191" t="str">
            <v>5 Nivel</v>
          </cell>
          <cell r="I191">
            <v>53.281017611935567</v>
          </cell>
          <cell r="K191">
            <v>0.85909980371638683</v>
          </cell>
          <cell r="O191">
            <v>25138788.171428662</v>
          </cell>
          <cell r="P191">
            <v>1</v>
          </cell>
        </row>
        <row r="192">
          <cell r="E192" t="str">
            <v>S</v>
          </cell>
          <cell r="F192" t="str">
            <v>Técnica</v>
          </cell>
          <cell r="G192" t="str">
            <v>5 Nivel</v>
          </cell>
          <cell r="I192">
            <v>44.889236790017755</v>
          </cell>
          <cell r="K192">
            <v>0.35772994070268821</v>
          </cell>
          <cell r="O192">
            <v>25138788.171428662</v>
          </cell>
          <cell r="P192">
            <v>1</v>
          </cell>
        </row>
        <row r="193">
          <cell r="E193" t="str">
            <v>S</v>
          </cell>
          <cell r="F193" t="str">
            <v>Técnica</v>
          </cell>
          <cell r="G193" t="str">
            <v>5 Nivel</v>
          </cell>
          <cell r="I193">
            <v>47.850880625634197</v>
          </cell>
          <cell r="K193">
            <v>0.69471624207255123</v>
          </cell>
          <cell r="O193">
            <v>25138757.921142887</v>
          </cell>
          <cell r="P193">
            <v>1</v>
          </cell>
        </row>
        <row r="194">
          <cell r="E194" t="str">
            <v>S</v>
          </cell>
          <cell r="F194" t="str">
            <v>Técnica</v>
          </cell>
          <cell r="G194" t="str">
            <v>5 Nivel</v>
          </cell>
          <cell r="I194">
            <v>1.2207436393328253</v>
          </cell>
          <cell r="K194">
            <v>0.55225048864789372</v>
          </cell>
          <cell r="O194">
            <v>25138700.216366209</v>
          </cell>
          <cell r="P194">
            <v>1</v>
          </cell>
        </row>
        <row r="195">
          <cell r="E195" t="str">
            <v>S</v>
          </cell>
          <cell r="F195" t="str">
            <v>Técnica</v>
          </cell>
          <cell r="G195" t="str">
            <v>5 Nivel</v>
          </cell>
          <cell r="I195">
            <v>53.500195694127349</v>
          </cell>
          <cell r="K195">
            <v>1.36594911878488</v>
          </cell>
          <cell r="O195">
            <v>25138700.178731445</v>
          </cell>
          <cell r="P195">
            <v>1</v>
          </cell>
        </row>
        <row r="196">
          <cell r="E196" t="str">
            <v>S</v>
          </cell>
          <cell r="F196" t="str">
            <v>Técnica</v>
          </cell>
          <cell r="G196" t="str">
            <v>5 Nivel</v>
          </cell>
          <cell r="I196">
            <v>50.59334637905885</v>
          </cell>
          <cell r="K196">
            <v>27.478277885908167</v>
          </cell>
          <cell r="O196">
            <v>25138700.178731445</v>
          </cell>
          <cell r="P196">
            <v>1</v>
          </cell>
        </row>
        <row r="197">
          <cell r="E197" t="str">
            <v>S</v>
          </cell>
          <cell r="F197" t="str">
            <v>Técnica</v>
          </cell>
          <cell r="G197" t="str">
            <v>5 Nivel</v>
          </cell>
          <cell r="I197">
            <v>1.3358121324835102</v>
          </cell>
          <cell r="K197">
            <v>1.3358121324835102</v>
          </cell>
          <cell r="O197">
            <v>25138700.178731445</v>
          </cell>
          <cell r="P197">
            <v>1</v>
          </cell>
        </row>
        <row r="198">
          <cell r="E198" t="str">
            <v>S</v>
          </cell>
          <cell r="F198" t="str">
            <v>Técnica</v>
          </cell>
          <cell r="G198" t="str">
            <v>5 Nivel</v>
          </cell>
          <cell r="I198">
            <v>41.776908022894467</v>
          </cell>
          <cell r="K198">
            <v>1.3385518585109073</v>
          </cell>
          <cell r="O198">
            <v>25138700.178731445</v>
          </cell>
          <cell r="P198">
            <v>1</v>
          </cell>
        </row>
        <row r="199">
          <cell r="E199" t="str">
            <v>S</v>
          </cell>
          <cell r="F199" t="str">
            <v>Técnica</v>
          </cell>
          <cell r="G199" t="str">
            <v>5 Nivel</v>
          </cell>
          <cell r="I199">
            <v>58.746771036593103</v>
          </cell>
          <cell r="K199">
            <v>1.1275929544013183</v>
          </cell>
          <cell r="O199">
            <v>25138699.237863541</v>
          </cell>
          <cell r="P199">
            <v>1</v>
          </cell>
        </row>
        <row r="200">
          <cell r="E200" t="str">
            <v>S</v>
          </cell>
          <cell r="F200" t="str">
            <v>Técnica</v>
          </cell>
          <cell r="G200" t="str">
            <v>5 Nivel</v>
          </cell>
          <cell r="I200">
            <v>46.291976516045153</v>
          </cell>
          <cell r="K200">
            <v>13.133072406456114</v>
          </cell>
          <cell r="O200">
            <v>25138699.237863541</v>
          </cell>
          <cell r="P200">
            <v>1</v>
          </cell>
        </row>
        <row r="201">
          <cell r="E201" t="str">
            <v>S</v>
          </cell>
          <cell r="F201" t="str">
            <v>Técnica</v>
          </cell>
          <cell r="G201" t="str">
            <v>5 Nivel</v>
          </cell>
          <cell r="I201">
            <v>43.198825831113645</v>
          </cell>
          <cell r="K201">
            <v>1.376908022894469</v>
          </cell>
          <cell r="O201">
            <v>25138699.237863541</v>
          </cell>
          <cell r="P201">
            <v>1</v>
          </cell>
        </row>
        <row r="202">
          <cell r="E202" t="str">
            <v>S</v>
          </cell>
          <cell r="F202" t="str">
            <v>Técnica</v>
          </cell>
          <cell r="G202" t="str">
            <v>5 Nivel</v>
          </cell>
          <cell r="I202">
            <v>41.5467710365931</v>
          </cell>
          <cell r="K202">
            <v>1.0508806256341952</v>
          </cell>
          <cell r="O202">
            <v>25138699.237863541</v>
          </cell>
          <cell r="P202">
            <v>1</v>
          </cell>
        </row>
        <row r="203">
          <cell r="E203" t="str">
            <v>S</v>
          </cell>
          <cell r="F203" t="str">
            <v>Técnica</v>
          </cell>
          <cell r="G203" t="str">
            <v>5 Nivel</v>
          </cell>
          <cell r="I203">
            <v>56.620743639332822</v>
          </cell>
          <cell r="K203">
            <v>30.122113502346522</v>
          </cell>
          <cell r="O203">
            <v>25138699.237863541</v>
          </cell>
          <cell r="P203">
            <v>1</v>
          </cell>
        </row>
        <row r="204">
          <cell r="E204" t="str">
            <v>S</v>
          </cell>
          <cell r="F204" t="str">
            <v>Técnica</v>
          </cell>
          <cell r="G204" t="str">
            <v>5 Nivel</v>
          </cell>
          <cell r="I204">
            <v>49.459099803716384</v>
          </cell>
          <cell r="K204">
            <v>20.204305283168441</v>
          </cell>
          <cell r="O204">
            <v>25138699.237863541</v>
          </cell>
          <cell r="P204">
            <v>1</v>
          </cell>
        </row>
        <row r="205">
          <cell r="E205" t="str">
            <v>S</v>
          </cell>
          <cell r="F205" t="str">
            <v>Técnica</v>
          </cell>
          <cell r="G205" t="str">
            <v>5 Nivel</v>
          </cell>
          <cell r="I205">
            <v>50.352250488647897</v>
          </cell>
          <cell r="K205">
            <v>20.418003913305427</v>
          </cell>
          <cell r="O205">
            <v>25138699.237863541</v>
          </cell>
          <cell r="P205">
            <v>1</v>
          </cell>
        </row>
        <row r="206">
          <cell r="E206" t="str">
            <v>S</v>
          </cell>
          <cell r="F206" t="str">
            <v>Técnica</v>
          </cell>
          <cell r="G206" t="str">
            <v>5 Nivel</v>
          </cell>
          <cell r="I206">
            <v>45.23718199549721</v>
          </cell>
          <cell r="K206">
            <v>1.6837573379629622</v>
          </cell>
          <cell r="O206">
            <v>25138699.237863541</v>
          </cell>
          <cell r="P206">
            <v>1</v>
          </cell>
        </row>
        <row r="207">
          <cell r="E207" t="str">
            <v>S</v>
          </cell>
          <cell r="F207" t="str">
            <v>Técnica</v>
          </cell>
          <cell r="G207" t="str">
            <v>5 Nivel</v>
          </cell>
          <cell r="I207">
            <v>45.149510762620494</v>
          </cell>
          <cell r="K207">
            <v>28.418003913305427</v>
          </cell>
          <cell r="O207">
            <v>25138699.237863541</v>
          </cell>
          <cell r="P207">
            <v>1</v>
          </cell>
        </row>
        <row r="208">
          <cell r="E208" t="str">
            <v>S</v>
          </cell>
          <cell r="F208" t="str">
            <v>Técnica</v>
          </cell>
          <cell r="G208" t="str">
            <v>5 Nivel</v>
          </cell>
          <cell r="I208">
            <v>42.938551858510905</v>
          </cell>
          <cell r="K208">
            <v>20.41526418727803</v>
          </cell>
          <cell r="O208">
            <v>25138699.237863541</v>
          </cell>
          <cell r="P208">
            <v>1</v>
          </cell>
        </row>
        <row r="209">
          <cell r="E209" t="str">
            <v>S</v>
          </cell>
          <cell r="F209" t="str">
            <v>Técnica</v>
          </cell>
          <cell r="G209" t="str">
            <v>5 Nivel</v>
          </cell>
          <cell r="I209">
            <v>37.631702543442415</v>
          </cell>
          <cell r="K209">
            <v>15.760469666730085</v>
          </cell>
          <cell r="O209">
            <v>25138699.237863541</v>
          </cell>
          <cell r="P209">
            <v>1</v>
          </cell>
        </row>
        <row r="210">
          <cell r="E210" t="str">
            <v>S</v>
          </cell>
          <cell r="F210" t="str">
            <v>Técnica</v>
          </cell>
          <cell r="G210" t="str">
            <v>5 Nivel</v>
          </cell>
          <cell r="I210">
            <v>44.952250488647891</v>
          </cell>
          <cell r="K210">
            <v>10.716634050291729</v>
          </cell>
          <cell r="O210">
            <v>25138699.237863541</v>
          </cell>
          <cell r="P210">
            <v>1</v>
          </cell>
        </row>
        <row r="211">
          <cell r="E211" t="str">
            <v>S</v>
          </cell>
          <cell r="F211" t="str">
            <v>Técnica</v>
          </cell>
          <cell r="G211" t="str">
            <v>5 Nivel</v>
          </cell>
          <cell r="I211">
            <v>49.294716242072553</v>
          </cell>
          <cell r="K211">
            <v>0.68649706399035948</v>
          </cell>
          <cell r="O211">
            <v>25138699.200000003</v>
          </cell>
          <cell r="P211">
            <v>1</v>
          </cell>
        </row>
        <row r="212">
          <cell r="E212" t="str">
            <v>S</v>
          </cell>
          <cell r="F212" t="str">
            <v>Técnica</v>
          </cell>
          <cell r="G212" t="str">
            <v>5 Nivel</v>
          </cell>
          <cell r="I212">
            <v>44.650880625634194</v>
          </cell>
          <cell r="K212">
            <v>24.678277885908166</v>
          </cell>
          <cell r="O212">
            <v>24945008.399999999</v>
          </cell>
          <cell r="P212">
            <v>1</v>
          </cell>
        </row>
        <row r="213">
          <cell r="E213" t="str">
            <v>I</v>
          </cell>
          <cell r="F213" t="str">
            <v>Diseño</v>
          </cell>
          <cell r="G213" t="str">
            <v>6 Nivel</v>
          </cell>
          <cell r="I213">
            <v>27.418003913305427</v>
          </cell>
          <cell r="K213">
            <v>0.93307240645611289</v>
          </cell>
          <cell r="O213">
            <v>23904000</v>
          </cell>
          <cell r="P213">
            <v>1</v>
          </cell>
        </row>
        <row r="214">
          <cell r="E214" t="str">
            <v>S</v>
          </cell>
          <cell r="F214" t="str">
            <v>Técnica</v>
          </cell>
          <cell r="G214" t="str">
            <v>5 Nivel</v>
          </cell>
          <cell r="I214">
            <v>28.215264187278031</v>
          </cell>
          <cell r="K214">
            <v>1.081017611935565</v>
          </cell>
          <cell r="O214">
            <v>23904000</v>
          </cell>
          <cell r="P214">
            <v>1</v>
          </cell>
        </row>
        <row r="215">
          <cell r="E215" t="str">
            <v>I</v>
          </cell>
          <cell r="F215" t="str">
            <v>Administrativa</v>
          </cell>
          <cell r="G215" t="str">
            <v>6 Nivel</v>
          </cell>
          <cell r="I215">
            <v>55.505675146182142</v>
          </cell>
          <cell r="K215">
            <v>20.401565557141044</v>
          </cell>
          <cell r="O215">
            <v>23904000</v>
          </cell>
          <cell r="P215">
            <v>1</v>
          </cell>
        </row>
        <row r="216">
          <cell r="E216" t="str">
            <v>I</v>
          </cell>
          <cell r="F216" t="str">
            <v>Administrativa</v>
          </cell>
          <cell r="G216" t="str">
            <v>6 Nivel</v>
          </cell>
          <cell r="I216">
            <v>50.215264187278031</v>
          </cell>
          <cell r="K216">
            <v>20.727592954401317</v>
          </cell>
          <cell r="O216">
            <v>23904000</v>
          </cell>
          <cell r="P216">
            <v>1</v>
          </cell>
        </row>
        <row r="217">
          <cell r="E217" t="str">
            <v>I</v>
          </cell>
          <cell r="F217" t="str">
            <v>Administrativa</v>
          </cell>
          <cell r="G217" t="str">
            <v>6 Nivel</v>
          </cell>
          <cell r="I217">
            <v>30.634442269469812</v>
          </cell>
          <cell r="K217">
            <v>0.82074363933282524</v>
          </cell>
          <cell r="O217">
            <v>23904000</v>
          </cell>
          <cell r="P217">
            <v>1</v>
          </cell>
        </row>
        <row r="218">
          <cell r="E218" t="str">
            <v>I</v>
          </cell>
          <cell r="F218" t="str">
            <v>Administrativa</v>
          </cell>
          <cell r="G218" t="str">
            <v>6 Nivel</v>
          </cell>
          <cell r="I218">
            <v>39.675538159880773</v>
          </cell>
          <cell r="K218">
            <v>12.76594911878488</v>
          </cell>
          <cell r="O218">
            <v>23904000</v>
          </cell>
          <cell r="P218">
            <v>1</v>
          </cell>
        </row>
        <row r="219">
          <cell r="E219" t="str">
            <v>I</v>
          </cell>
          <cell r="F219" t="str">
            <v>Administrativa</v>
          </cell>
          <cell r="G219" t="str">
            <v>6 Nivel</v>
          </cell>
          <cell r="I219">
            <v>31.193346379058852</v>
          </cell>
          <cell r="K219">
            <v>3.598825831113647</v>
          </cell>
          <cell r="O219">
            <v>23904000</v>
          </cell>
          <cell r="P219">
            <v>1</v>
          </cell>
        </row>
        <row r="220">
          <cell r="E220" t="str">
            <v>I</v>
          </cell>
          <cell r="F220" t="str">
            <v>Técnica</v>
          </cell>
          <cell r="G220" t="str">
            <v>6 Nivel</v>
          </cell>
          <cell r="I220">
            <v>31.574168296867072</v>
          </cell>
          <cell r="K220">
            <v>0.39608610508624986</v>
          </cell>
          <cell r="O220">
            <v>23904000</v>
          </cell>
          <cell r="P220">
            <v>1</v>
          </cell>
        </row>
        <row r="221">
          <cell r="E221" t="str">
            <v>I</v>
          </cell>
          <cell r="F221" t="str">
            <v>Diseño</v>
          </cell>
          <cell r="G221" t="str">
            <v>6 Nivel</v>
          </cell>
          <cell r="I221">
            <v>23.60430528316844</v>
          </cell>
          <cell r="K221">
            <v>0.66457925577118138</v>
          </cell>
          <cell r="O221">
            <v>23904000</v>
          </cell>
          <cell r="P221">
            <v>1</v>
          </cell>
        </row>
        <row r="222">
          <cell r="E222" t="str">
            <v>I</v>
          </cell>
          <cell r="F222" t="str">
            <v>Administrativa</v>
          </cell>
          <cell r="G222" t="str">
            <v>6 Nivel</v>
          </cell>
          <cell r="I222">
            <v>29.35772994070269</v>
          </cell>
          <cell r="K222">
            <v>1.8536203516615923</v>
          </cell>
          <cell r="O222">
            <v>21912000.284571342</v>
          </cell>
          <cell r="P222">
            <v>1</v>
          </cell>
        </row>
        <row r="223">
          <cell r="E223" t="str">
            <v>I</v>
          </cell>
          <cell r="F223" t="str">
            <v>Administrativa</v>
          </cell>
          <cell r="G223" t="str">
            <v>6 Nivel</v>
          </cell>
          <cell r="I223">
            <v>29.661839529743784</v>
          </cell>
          <cell r="K223">
            <v>1.5851272009766608</v>
          </cell>
          <cell r="O223">
            <v>21912000.284571342</v>
          </cell>
          <cell r="P223">
            <v>1</v>
          </cell>
        </row>
        <row r="224">
          <cell r="E224" t="str">
            <v>I</v>
          </cell>
          <cell r="F224" t="str">
            <v>Administrativa</v>
          </cell>
          <cell r="G224" t="str">
            <v>6 Nivel</v>
          </cell>
          <cell r="I224">
            <v>38.727592954401317</v>
          </cell>
          <cell r="K224">
            <v>9.3358121324835093</v>
          </cell>
          <cell r="O224">
            <v>21912000.284571342</v>
          </cell>
          <cell r="P224">
            <v>1</v>
          </cell>
        </row>
        <row r="225">
          <cell r="E225" t="str">
            <v>I</v>
          </cell>
          <cell r="F225" t="str">
            <v>Administrativa</v>
          </cell>
          <cell r="G225" t="str">
            <v>6 Nivel</v>
          </cell>
          <cell r="I225">
            <v>34.382387474949262</v>
          </cell>
          <cell r="K225">
            <v>9.3166340502917286</v>
          </cell>
          <cell r="O225">
            <v>21912000.284571342</v>
          </cell>
          <cell r="P225">
            <v>1</v>
          </cell>
        </row>
        <row r="226">
          <cell r="E226" t="str">
            <v>I</v>
          </cell>
          <cell r="F226" t="str">
            <v>Administrativa</v>
          </cell>
          <cell r="G226" t="str">
            <v>6 Nivel</v>
          </cell>
          <cell r="I226">
            <v>46.039921721524607</v>
          </cell>
          <cell r="K226">
            <v>0.59060665303145532</v>
          </cell>
          <cell r="O226">
            <v>21911999.840640001</v>
          </cell>
          <cell r="P226">
            <v>1</v>
          </cell>
        </row>
        <row r="227">
          <cell r="E227" t="str">
            <v>I</v>
          </cell>
          <cell r="F227" t="str">
            <v>Administrativa</v>
          </cell>
          <cell r="G227" t="str">
            <v>6 Nivel</v>
          </cell>
          <cell r="I227">
            <v>25.708414872209538</v>
          </cell>
          <cell r="K227">
            <v>0.49471624207255122</v>
          </cell>
          <cell r="O227">
            <v>21911999.840640001</v>
          </cell>
          <cell r="P227">
            <v>1</v>
          </cell>
        </row>
        <row r="228">
          <cell r="E228" t="str">
            <v>I</v>
          </cell>
          <cell r="F228" t="str">
            <v>Técnica</v>
          </cell>
          <cell r="G228" t="str">
            <v>6 Nivel</v>
          </cell>
          <cell r="I228">
            <v>30.020743639332824</v>
          </cell>
          <cell r="K228">
            <v>0.44540117357940051</v>
          </cell>
          <cell r="O228">
            <v>21911999.430857118</v>
          </cell>
          <cell r="P228">
            <v>1</v>
          </cell>
        </row>
        <row r="229">
          <cell r="E229" t="str">
            <v>I</v>
          </cell>
          <cell r="F229" t="str">
            <v>Técnica</v>
          </cell>
          <cell r="G229" t="str">
            <v>6 Nivel</v>
          </cell>
          <cell r="I229">
            <v>46.439921721524605</v>
          </cell>
          <cell r="K229">
            <v>1.3741682968670719</v>
          </cell>
          <cell r="O229">
            <v>21382800.166080002</v>
          </cell>
          <cell r="P229">
            <v>1</v>
          </cell>
        </row>
        <row r="230">
          <cell r="E230" t="str">
            <v>I</v>
          </cell>
          <cell r="F230" t="str">
            <v>Administrativa</v>
          </cell>
          <cell r="G230" t="str">
            <v>6 Nivel</v>
          </cell>
          <cell r="I230">
            <v>30.552250488647893</v>
          </cell>
          <cell r="K230">
            <v>1.1960861050862499</v>
          </cell>
          <cell r="O230">
            <v>19920000.159359999</v>
          </cell>
          <cell r="P230">
            <v>1</v>
          </cell>
        </row>
        <row r="231">
          <cell r="E231" t="str">
            <v>I</v>
          </cell>
          <cell r="F231" t="str">
            <v>Administrativa</v>
          </cell>
          <cell r="G231" t="str">
            <v>6 Nivel</v>
          </cell>
          <cell r="I231">
            <v>31.741291584538306</v>
          </cell>
          <cell r="K231">
            <v>1.2399217215246061</v>
          </cell>
          <cell r="O231">
            <v>19919999.715428576</v>
          </cell>
          <cell r="P231">
            <v>1</v>
          </cell>
        </row>
        <row r="232">
          <cell r="E232" t="str">
            <v>I</v>
          </cell>
          <cell r="F232" t="str">
            <v>Diseño</v>
          </cell>
          <cell r="G232" t="str">
            <v>6 Nivel</v>
          </cell>
          <cell r="I232">
            <v>44.793346379058853</v>
          </cell>
          <cell r="K232">
            <v>2.2782778859081678</v>
          </cell>
          <cell r="O232">
            <v>19919999.715428576</v>
          </cell>
          <cell r="P232">
            <v>1</v>
          </cell>
        </row>
        <row r="233">
          <cell r="E233" t="str">
            <v>I</v>
          </cell>
          <cell r="F233" t="str">
            <v>Administrativa</v>
          </cell>
          <cell r="G233" t="str">
            <v>6 Nivel</v>
          </cell>
          <cell r="I233">
            <v>37.59334637905885</v>
          </cell>
          <cell r="K233">
            <v>0.53307240645611287</v>
          </cell>
          <cell r="O233">
            <v>19919998.008000001</v>
          </cell>
          <cell r="P233">
            <v>1</v>
          </cell>
        </row>
        <row r="234">
          <cell r="E234" t="str">
            <v>S</v>
          </cell>
          <cell r="F234" t="str">
            <v>Técnica</v>
          </cell>
          <cell r="G234" t="str">
            <v>5 Nivel</v>
          </cell>
          <cell r="I234">
            <v>0.64266144755200327</v>
          </cell>
          <cell r="K234">
            <v>0.59334637905885257</v>
          </cell>
          <cell r="O234">
            <v>20340114.171428576</v>
          </cell>
          <cell r="P234">
            <v>1</v>
          </cell>
        </row>
        <row r="235">
          <cell r="E235" t="str">
            <v>S</v>
          </cell>
          <cell r="F235" t="str">
            <v>Técnica</v>
          </cell>
          <cell r="G235" t="str">
            <v>5 Nivel</v>
          </cell>
          <cell r="I235">
            <v>42.691976516045152</v>
          </cell>
          <cell r="K235">
            <v>1.5851272009766608</v>
          </cell>
          <cell r="O235">
            <v>20340114.171428576</v>
          </cell>
          <cell r="P235">
            <v>1</v>
          </cell>
        </row>
        <row r="236">
          <cell r="E236" t="str">
            <v>S</v>
          </cell>
          <cell r="F236" t="str">
            <v>Técnica</v>
          </cell>
          <cell r="G236" t="str">
            <v>5 Nivel</v>
          </cell>
          <cell r="I236">
            <v>43.47553815988077</v>
          </cell>
          <cell r="K236">
            <v>0.70567514618214022</v>
          </cell>
          <cell r="O236">
            <v>20340114.171428576</v>
          </cell>
          <cell r="P236">
            <v>1</v>
          </cell>
        </row>
        <row r="237">
          <cell r="E237" t="str">
            <v>S</v>
          </cell>
          <cell r="F237" t="str">
            <v>Técnica</v>
          </cell>
          <cell r="G237" t="str">
            <v>5 Nivel</v>
          </cell>
          <cell r="I237">
            <v>44.434442269469812</v>
          </cell>
          <cell r="K237">
            <v>1.5495107626204965</v>
          </cell>
          <cell r="O237">
            <v>20340069.68571429</v>
          </cell>
          <cell r="P237">
            <v>1</v>
          </cell>
        </row>
        <row r="238">
          <cell r="E238" t="str">
            <v>S</v>
          </cell>
          <cell r="F238" t="str">
            <v>Técnica</v>
          </cell>
          <cell r="G238" t="str">
            <v>5 Nivel</v>
          </cell>
          <cell r="I238">
            <v>36.886497063990362</v>
          </cell>
          <cell r="K238">
            <v>0.36868884481227726</v>
          </cell>
          <cell r="O238">
            <v>20340069.68571429</v>
          </cell>
          <cell r="P238">
            <v>1</v>
          </cell>
        </row>
        <row r="239">
          <cell r="E239" t="str">
            <v>S</v>
          </cell>
          <cell r="F239" t="str">
            <v>Técnica</v>
          </cell>
          <cell r="G239" t="str">
            <v>5 Nivel</v>
          </cell>
          <cell r="I239">
            <v>41.313894324264332</v>
          </cell>
          <cell r="K239">
            <v>1.2152641872780308</v>
          </cell>
          <cell r="O239">
            <v>20340067.016571421</v>
          </cell>
          <cell r="P239">
            <v>1</v>
          </cell>
        </row>
        <row r="240">
          <cell r="E240" t="str">
            <v>S</v>
          </cell>
          <cell r="F240" t="str">
            <v>Técnica</v>
          </cell>
          <cell r="G240" t="str">
            <v>5 Nivel</v>
          </cell>
          <cell r="I240">
            <v>35.634442269469808</v>
          </cell>
          <cell r="K240">
            <v>1.2125244612506334</v>
          </cell>
          <cell r="O240">
            <v>20340066.553920001</v>
          </cell>
          <cell r="P240">
            <v>1</v>
          </cell>
        </row>
        <row r="241">
          <cell r="E241" t="str">
            <v>S</v>
          </cell>
          <cell r="F241" t="str">
            <v>Técnica</v>
          </cell>
          <cell r="G241" t="str">
            <v>5 Nivel</v>
          </cell>
          <cell r="I241">
            <v>47.867318981798576</v>
          </cell>
          <cell r="K241">
            <v>1.1796477489218662</v>
          </cell>
          <cell r="O241">
            <v>20340066.126857135</v>
          </cell>
          <cell r="P241">
            <v>1</v>
          </cell>
        </row>
        <row r="242">
          <cell r="E242" t="str">
            <v>S</v>
          </cell>
          <cell r="F242" t="str">
            <v>Técnica</v>
          </cell>
          <cell r="G242" t="str">
            <v>5 Nivel</v>
          </cell>
          <cell r="I242">
            <v>57.434442269469812</v>
          </cell>
          <cell r="K242">
            <v>0.37690802289446901</v>
          </cell>
          <cell r="O242">
            <v>20340066.126857135</v>
          </cell>
          <cell r="P242">
            <v>1</v>
          </cell>
        </row>
        <row r="243">
          <cell r="E243" t="str">
            <v>S</v>
          </cell>
          <cell r="F243" t="str">
            <v>Técnica</v>
          </cell>
          <cell r="G243" t="str">
            <v>5 Nivel</v>
          </cell>
          <cell r="I243">
            <v>30.691976516045155</v>
          </cell>
          <cell r="K243">
            <v>0.37964774892186626</v>
          </cell>
          <cell r="O243">
            <v>20340066.126857135</v>
          </cell>
          <cell r="P243">
            <v>1</v>
          </cell>
        </row>
        <row r="244">
          <cell r="E244" t="str">
            <v>S</v>
          </cell>
          <cell r="F244" t="str">
            <v>Técnica</v>
          </cell>
          <cell r="G244" t="str">
            <v>5 Nivel</v>
          </cell>
          <cell r="I244">
            <v>40.385127200976662</v>
          </cell>
          <cell r="K244">
            <v>0.37964774892186626</v>
          </cell>
          <cell r="O244">
            <v>20340064.347428579</v>
          </cell>
          <cell r="P244">
            <v>1</v>
          </cell>
        </row>
        <row r="245">
          <cell r="E245" t="str">
            <v>S</v>
          </cell>
          <cell r="F245" t="str">
            <v>Técnica</v>
          </cell>
          <cell r="G245" t="str">
            <v>5 Nivel</v>
          </cell>
          <cell r="I245">
            <v>34.818003913305425</v>
          </cell>
          <cell r="K245">
            <v>0.70567514618214022</v>
          </cell>
          <cell r="O245">
            <v>20340025.317354202</v>
          </cell>
          <cell r="P245">
            <v>1</v>
          </cell>
        </row>
        <row r="246">
          <cell r="E246" t="str">
            <v>S</v>
          </cell>
          <cell r="F246" t="str">
            <v>Técnica</v>
          </cell>
          <cell r="G246" t="str">
            <v>5 Nivel</v>
          </cell>
          <cell r="I246">
            <v>49.615264187278029</v>
          </cell>
          <cell r="K246">
            <v>1.3193737763191264</v>
          </cell>
          <cell r="O246">
            <v>20340015.908651434</v>
          </cell>
          <cell r="P246">
            <v>1</v>
          </cell>
        </row>
        <row r="247">
          <cell r="E247" t="str">
            <v>S</v>
          </cell>
          <cell r="F247" t="str">
            <v>Técnica</v>
          </cell>
          <cell r="G247" t="str">
            <v>5 Nivel</v>
          </cell>
          <cell r="I247">
            <v>58.711154598236938</v>
          </cell>
          <cell r="K247">
            <v>34.804305283168439</v>
          </cell>
          <cell r="O247">
            <v>20340015.908651434</v>
          </cell>
          <cell r="P247">
            <v>1</v>
          </cell>
        </row>
        <row r="248">
          <cell r="E248" t="str">
            <v>I</v>
          </cell>
          <cell r="F248" t="str">
            <v>Técnica</v>
          </cell>
          <cell r="G248" t="str">
            <v>6 Nivel</v>
          </cell>
          <cell r="I248">
            <v>32.790606653031453</v>
          </cell>
          <cell r="K248">
            <v>0.66457925577118138</v>
          </cell>
          <cell r="O248">
            <v>19825799.703428578</v>
          </cell>
          <cell r="P248">
            <v>1</v>
          </cell>
        </row>
        <row r="249">
          <cell r="E249" t="str">
            <v>I</v>
          </cell>
          <cell r="F249" t="str">
            <v>Administrativa</v>
          </cell>
          <cell r="G249" t="str">
            <v>6 Nivel</v>
          </cell>
          <cell r="I249">
            <v>43.171428570839673</v>
          </cell>
          <cell r="K249">
            <v>2.6810176119355651</v>
          </cell>
          <cell r="O249">
            <v>18924000.284571424</v>
          </cell>
          <cell r="P249">
            <v>1</v>
          </cell>
        </row>
        <row r="250">
          <cell r="E250" t="str">
            <v>I</v>
          </cell>
          <cell r="F250" t="str">
            <v>Compras &amp; Equipos</v>
          </cell>
          <cell r="G250" t="str">
            <v>6 Nivel</v>
          </cell>
          <cell r="I250">
            <v>42.815264187278032</v>
          </cell>
          <cell r="K250">
            <v>8.3001956941273463</v>
          </cell>
          <cell r="O250">
            <v>18924000.284571424</v>
          </cell>
          <cell r="P250">
            <v>1</v>
          </cell>
        </row>
        <row r="251">
          <cell r="E251" t="str">
            <v>I</v>
          </cell>
          <cell r="F251" t="str">
            <v>Compras &amp; Equipos</v>
          </cell>
          <cell r="G251" t="str">
            <v>6 Nivel</v>
          </cell>
          <cell r="I251">
            <v>30.522113502346524</v>
          </cell>
          <cell r="K251">
            <v>4.0399217215246059</v>
          </cell>
          <cell r="O251">
            <v>18924000.284571424</v>
          </cell>
          <cell r="P251">
            <v>1</v>
          </cell>
        </row>
        <row r="252">
          <cell r="E252" t="str">
            <v>I</v>
          </cell>
          <cell r="F252" t="str">
            <v>Compras &amp; Equipos</v>
          </cell>
          <cell r="G252" t="str">
            <v>6 Nivel</v>
          </cell>
          <cell r="I252">
            <v>41.09197651604515</v>
          </cell>
          <cell r="K252">
            <v>3.544031310565702</v>
          </cell>
          <cell r="O252">
            <v>18924000.284571424</v>
          </cell>
          <cell r="P252">
            <v>1</v>
          </cell>
        </row>
        <row r="253">
          <cell r="E253" t="str">
            <v>I</v>
          </cell>
          <cell r="F253" t="str">
            <v>Compras &amp; Equipos</v>
          </cell>
          <cell r="G253" t="str">
            <v>6 Nivel</v>
          </cell>
          <cell r="I253">
            <v>37.741291584538303</v>
          </cell>
          <cell r="K253">
            <v>1.2015655571410444</v>
          </cell>
          <cell r="O253">
            <v>18923999.430857155</v>
          </cell>
          <cell r="P253">
            <v>1</v>
          </cell>
        </row>
        <row r="254">
          <cell r="E254" t="str">
            <v>I</v>
          </cell>
          <cell r="F254" t="str">
            <v>Técnica</v>
          </cell>
          <cell r="G254" t="str">
            <v>6 Nivel</v>
          </cell>
          <cell r="I254">
            <v>55.686497063990359</v>
          </cell>
          <cell r="K254">
            <v>14.070058707825975</v>
          </cell>
          <cell r="O254">
            <v>19306800</v>
          </cell>
          <cell r="P254">
            <v>1</v>
          </cell>
        </row>
        <row r="255">
          <cell r="E255" t="str">
            <v>I</v>
          </cell>
          <cell r="F255" t="str">
            <v>Técnica</v>
          </cell>
          <cell r="G255" t="str">
            <v>6 Nivel</v>
          </cell>
          <cell r="I255">
            <v>49.965949118784877</v>
          </cell>
          <cell r="K255">
            <v>1.3522504886478937</v>
          </cell>
          <cell r="O255">
            <v>19306800</v>
          </cell>
          <cell r="P255">
            <v>1</v>
          </cell>
        </row>
        <row r="256">
          <cell r="E256" t="str">
            <v>I</v>
          </cell>
          <cell r="F256" t="str">
            <v>Técnica</v>
          </cell>
          <cell r="G256" t="str">
            <v>6 Nivel</v>
          </cell>
          <cell r="I256">
            <v>43.248140899606796</v>
          </cell>
          <cell r="K256">
            <v>14.818003913305429</v>
          </cell>
          <cell r="O256">
            <v>19306800</v>
          </cell>
          <cell r="P256">
            <v>1</v>
          </cell>
        </row>
        <row r="257">
          <cell r="E257" t="str">
            <v>I</v>
          </cell>
          <cell r="F257" t="str">
            <v>Técnica</v>
          </cell>
          <cell r="G257" t="str">
            <v>6 Nivel</v>
          </cell>
          <cell r="I257">
            <v>43.16594911878488</v>
          </cell>
          <cell r="K257">
            <v>0.42622309138761971</v>
          </cell>
          <cell r="O257">
            <v>19306800</v>
          </cell>
          <cell r="P257">
            <v>1</v>
          </cell>
        </row>
        <row r="258">
          <cell r="E258" t="str">
            <v>I</v>
          </cell>
          <cell r="F258" t="str">
            <v>Técnica</v>
          </cell>
          <cell r="G258" t="str">
            <v>6 Nivel</v>
          </cell>
          <cell r="I258">
            <v>42.494716242072549</v>
          </cell>
          <cell r="K258">
            <v>1.0317025434424143</v>
          </cell>
          <cell r="O258">
            <v>19306800</v>
          </cell>
          <cell r="P258">
            <v>1</v>
          </cell>
        </row>
        <row r="259">
          <cell r="E259" t="str">
            <v>I</v>
          </cell>
          <cell r="F259" t="str">
            <v>Técnica</v>
          </cell>
          <cell r="G259" t="str">
            <v>6 Nivel</v>
          </cell>
          <cell r="I259">
            <v>58.78238747494926</v>
          </cell>
          <cell r="K259">
            <v>36.828962817415018</v>
          </cell>
          <cell r="O259">
            <v>19123074</v>
          </cell>
          <cell r="P259">
            <v>1</v>
          </cell>
        </row>
        <row r="260">
          <cell r="E260" t="str">
            <v>I</v>
          </cell>
          <cell r="F260" t="str">
            <v>Técnica</v>
          </cell>
          <cell r="G260" t="str">
            <v>6 Nivel</v>
          </cell>
          <cell r="I260">
            <v>48.127592954401315</v>
          </cell>
          <cell r="K260">
            <v>0.79334637905885264</v>
          </cell>
          <cell r="O260">
            <v>17928000</v>
          </cell>
          <cell r="P260">
            <v>1</v>
          </cell>
        </row>
        <row r="261">
          <cell r="E261" t="str">
            <v>I</v>
          </cell>
          <cell r="F261" t="str">
            <v>Técnica</v>
          </cell>
          <cell r="G261" t="str">
            <v>6 Nivel</v>
          </cell>
          <cell r="I261">
            <v>30.231702543442413</v>
          </cell>
          <cell r="K261">
            <v>5.9796477489218667</v>
          </cell>
          <cell r="O261">
            <v>17928000</v>
          </cell>
          <cell r="P261">
            <v>1</v>
          </cell>
        </row>
        <row r="262">
          <cell r="E262" t="str">
            <v>I</v>
          </cell>
          <cell r="F262" t="str">
            <v>Administrativa</v>
          </cell>
          <cell r="G262" t="str">
            <v>6 Nivel</v>
          </cell>
          <cell r="I262">
            <v>52.998825831113649</v>
          </cell>
          <cell r="K262">
            <v>13.344031310565702</v>
          </cell>
          <cell r="O262">
            <v>17928000</v>
          </cell>
          <cell r="P262">
            <v>1</v>
          </cell>
        </row>
        <row r="263">
          <cell r="E263" t="str">
            <v>I</v>
          </cell>
          <cell r="F263" t="str">
            <v>Técnica</v>
          </cell>
          <cell r="G263" t="str">
            <v>6 Nivel</v>
          </cell>
          <cell r="I263">
            <v>39.291976516045153</v>
          </cell>
          <cell r="K263">
            <v>3.99608610508625</v>
          </cell>
          <cell r="O263">
            <v>18517713.562456198</v>
          </cell>
          <cell r="P263">
            <v>1</v>
          </cell>
        </row>
        <row r="264">
          <cell r="E264" t="str">
            <v>I</v>
          </cell>
          <cell r="F264" t="str">
            <v>Técnica</v>
          </cell>
          <cell r="G264" t="str">
            <v>6 Nivel</v>
          </cell>
          <cell r="I264">
            <v>47.565949118784879</v>
          </cell>
          <cell r="K264">
            <v>21.146771036593098</v>
          </cell>
          <cell r="O264">
            <v>18517713.562456198</v>
          </cell>
          <cell r="P264">
            <v>1</v>
          </cell>
        </row>
        <row r="265">
          <cell r="E265" t="str">
            <v>I</v>
          </cell>
          <cell r="F265" t="str">
            <v>Técnica</v>
          </cell>
          <cell r="G265" t="str">
            <v>6 Nivel</v>
          </cell>
          <cell r="I265">
            <v>49.190606653031452</v>
          </cell>
          <cell r="K265">
            <v>1.5111545982369348</v>
          </cell>
          <cell r="O265">
            <v>18517713.562456198</v>
          </cell>
          <cell r="P265">
            <v>1</v>
          </cell>
        </row>
        <row r="266">
          <cell r="E266" t="str">
            <v>I</v>
          </cell>
          <cell r="F266" t="str">
            <v>Técnica</v>
          </cell>
          <cell r="G266" t="str">
            <v>6 Nivel</v>
          </cell>
          <cell r="I266">
            <v>60.850880625634197</v>
          </cell>
          <cell r="K266">
            <v>34.957729940702691</v>
          </cell>
          <cell r="O266">
            <v>18517713.562456198</v>
          </cell>
          <cell r="P266">
            <v>1</v>
          </cell>
        </row>
        <row r="267">
          <cell r="E267" t="str">
            <v>I</v>
          </cell>
          <cell r="F267" t="str">
            <v>Técnica</v>
          </cell>
          <cell r="G267" t="str">
            <v>6 Nivel</v>
          </cell>
          <cell r="I267">
            <v>53.722113502346524</v>
          </cell>
          <cell r="K267">
            <v>19.938551858510909</v>
          </cell>
          <cell r="O267">
            <v>18517713.562456198</v>
          </cell>
          <cell r="P267">
            <v>1</v>
          </cell>
        </row>
        <row r="268">
          <cell r="E268" t="str">
            <v>I</v>
          </cell>
          <cell r="F268" t="str">
            <v>Técnica</v>
          </cell>
          <cell r="G268" t="str">
            <v>6 Nivel</v>
          </cell>
          <cell r="I268">
            <v>46.341291584538304</v>
          </cell>
          <cell r="K268">
            <v>3.5823874749492637</v>
          </cell>
          <cell r="O268">
            <v>18517713.562456198</v>
          </cell>
          <cell r="P268">
            <v>1</v>
          </cell>
        </row>
        <row r="269">
          <cell r="E269" t="str">
            <v>I</v>
          </cell>
          <cell r="F269" t="str">
            <v>Técnica</v>
          </cell>
          <cell r="G269" t="str">
            <v>6 Nivel</v>
          </cell>
          <cell r="I269">
            <v>38.456360077688991</v>
          </cell>
          <cell r="K269">
            <v>15.741291584538304</v>
          </cell>
          <cell r="O269">
            <v>18517713.562456198</v>
          </cell>
          <cell r="P269">
            <v>1</v>
          </cell>
        </row>
        <row r="270">
          <cell r="E270" t="str">
            <v>I</v>
          </cell>
          <cell r="F270" t="str">
            <v>Técnica</v>
          </cell>
          <cell r="G270" t="str">
            <v>6 Nivel</v>
          </cell>
          <cell r="I270">
            <v>41.776908022894467</v>
          </cell>
          <cell r="K270">
            <v>3.6782778859081677</v>
          </cell>
          <cell r="O270">
            <v>18517713.562456198</v>
          </cell>
          <cell r="P270">
            <v>1</v>
          </cell>
        </row>
        <row r="271">
          <cell r="E271" t="str">
            <v>I</v>
          </cell>
          <cell r="F271" t="str">
            <v>Técnica</v>
          </cell>
          <cell r="G271" t="str">
            <v>6 Nivel</v>
          </cell>
          <cell r="I271">
            <v>40.850880625634197</v>
          </cell>
          <cell r="K271">
            <v>2.102935420154743</v>
          </cell>
          <cell r="O271">
            <v>18517712.399999999</v>
          </cell>
          <cell r="P271">
            <v>1</v>
          </cell>
        </row>
        <row r="272">
          <cell r="E272" t="str">
            <v>I</v>
          </cell>
          <cell r="F272" t="str">
            <v>Técnica</v>
          </cell>
          <cell r="G272" t="str">
            <v>6 Nivel</v>
          </cell>
          <cell r="I272">
            <v>49.423483365360219</v>
          </cell>
          <cell r="K272">
            <v>1.1659491187848801</v>
          </cell>
          <cell r="O272">
            <v>18517712.399999999</v>
          </cell>
          <cell r="P272">
            <v>1</v>
          </cell>
        </row>
        <row r="273">
          <cell r="E273" t="str">
            <v>I</v>
          </cell>
          <cell r="F273" t="str">
            <v>Técnica</v>
          </cell>
          <cell r="G273" t="str">
            <v>6 Nivel</v>
          </cell>
          <cell r="I273">
            <v>52.500195694127349</v>
          </cell>
          <cell r="K273">
            <v>1.2782778859081676</v>
          </cell>
          <cell r="O273">
            <v>18517712.399999999</v>
          </cell>
          <cell r="P273">
            <v>1</v>
          </cell>
        </row>
        <row r="274">
          <cell r="E274" t="str">
            <v>I</v>
          </cell>
          <cell r="F274" t="str">
            <v>Técnica</v>
          </cell>
          <cell r="G274" t="str">
            <v>6 Nivel</v>
          </cell>
          <cell r="I274">
            <v>54.678277885908166</v>
          </cell>
          <cell r="K274">
            <v>24.92759295440132</v>
          </cell>
          <cell r="O274">
            <v>18517712.399999999</v>
          </cell>
          <cell r="P274">
            <v>1</v>
          </cell>
        </row>
        <row r="275">
          <cell r="E275" t="str">
            <v>I</v>
          </cell>
          <cell r="F275" t="str">
            <v>Técnica</v>
          </cell>
          <cell r="G275" t="str">
            <v>6 Nivel</v>
          </cell>
          <cell r="I275">
            <v>49.171428570839673</v>
          </cell>
          <cell r="K275">
            <v>0.59882583111364707</v>
          </cell>
          <cell r="O275">
            <v>18517712.399999999</v>
          </cell>
          <cell r="P275">
            <v>1</v>
          </cell>
        </row>
        <row r="276">
          <cell r="E276" t="str">
            <v>I</v>
          </cell>
          <cell r="F276" t="str">
            <v>Técnica</v>
          </cell>
          <cell r="G276" t="str">
            <v>6 Nivel</v>
          </cell>
          <cell r="I276">
            <v>28.187866927004059</v>
          </cell>
          <cell r="K276">
            <v>1.5303326804287156</v>
          </cell>
          <cell r="O276">
            <v>18517712.399999999</v>
          </cell>
          <cell r="P276">
            <v>1</v>
          </cell>
        </row>
        <row r="277">
          <cell r="E277" t="str">
            <v>I</v>
          </cell>
          <cell r="F277" t="str">
            <v>Técnica</v>
          </cell>
          <cell r="G277" t="str">
            <v>6 Nivel</v>
          </cell>
          <cell r="I277">
            <v>50.601565557141043</v>
          </cell>
          <cell r="K277">
            <v>1.2947162420725513</v>
          </cell>
          <cell r="O277">
            <v>18517712.399999999</v>
          </cell>
          <cell r="P277">
            <v>1</v>
          </cell>
        </row>
        <row r="278">
          <cell r="E278" t="str">
            <v>I</v>
          </cell>
          <cell r="F278" t="str">
            <v>Técnica</v>
          </cell>
          <cell r="G278" t="str">
            <v>6 Nivel</v>
          </cell>
          <cell r="I278">
            <v>37.374168296867069</v>
          </cell>
          <cell r="K278">
            <v>0.37964774892186626</v>
          </cell>
          <cell r="O278">
            <v>18517712.399999999</v>
          </cell>
          <cell r="P278">
            <v>1</v>
          </cell>
        </row>
        <row r="279">
          <cell r="E279" t="str">
            <v>I</v>
          </cell>
          <cell r="F279" t="str">
            <v>Técnica</v>
          </cell>
          <cell r="G279" t="str">
            <v>6 Nivel</v>
          </cell>
          <cell r="I279">
            <v>37.78238747494926</v>
          </cell>
          <cell r="K279">
            <v>0.83992172152460598</v>
          </cell>
          <cell r="O279">
            <v>18517712.399999999</v>
          </cell>
          <cell r="P279">
            <v>1</v>
          </cell>
        </row>
        <row r="280">
          <cell r="E280" t="str">
            <v>I</v>
          </cell>
          <cell r="F280" t="str">
            <v>Técnica</v>
          </cell>
          <cell r="G280" t="str">
            <v>6 Nivel</v>
          </cell>
          <cell r="I280">
            <v>23.691976516045155</v>
          </cell>
          <cell r="K280">
            <v>0.72485322837392108</v>
          </cell>
          <cell r="O280">
            <v>18517712.399999999</v>
          </cell>
          <cell r="P280">
            <v>1</v>
          </cell>
        </row>
        <row r="281">
          <cell r="E281" t="str">
            <v>I</v>
          </cell>
          <cell r="F281" t="str">
            <v>Técnica</v>
          </cell>
          <cell r="G281" t="str">
            <v>6 Nivel</v>
          </cell>
          <cell r="I281">
            <v>38.374168296867069</v>
          </cell>
          <cell r="K281">
            <v>2.8508806256341952</v>
          </cell>
          <cell r="O281">
            <v>18517712.399999999</v>
          </cell>
          <cell r="P281">
            <v>1</v>
          </cell>
        </row>
        <row r="282">
          <cell r="E282" t="str">
            <v>I</v>
          </cell>
          <cell r="F282" t="str">
            <v>Técnica</v>
          </cell>
          <cell r="G282" t="str">
            <v>6 Nivel</v>
          </cell>
          <cell r="I282">
            <v>58.59334637905885</v>
          </cell>
          <cell r="K282">
            <v>1.4837573379629623</v>
          </cell>
          <cell r="O282">
            <v>18517712.399999999</v>
          </cell>
          <cell r="P282">
            <v>1</v>
          </cell>
        </row>
        <row r="283">
          <cell r="E283" t="str">
            <v>I</v>
          </cell>
          <cell r="F283" t="str">
            <v>Técnica</v>
          </cell>
          <cell r="G283" t="str">
            <v>6 Nivel</v>
          </cell>
          <cell r="I283">
            <v>42.954990214675291</v>
          </cell>
          <cell r="K283">
            <v>0.82074363933282524</v>
          </cell>
          <cell r="O283">
            <v>18517712.399999999</v>
          </cell>
          <cell r="P283">
            <v>1</v>
          </cell>
        </row>
        <row r="284">
          <cell r="E284" t="str">
            <v>I</v>
          </cell>
          <cell r="F284" t="str">
            <v>Técnica</v>
          </cell>
          <cell r="G284" t="str">
            <v>6 Nivel</v>
          </cell>
          <cell r="I284">
            <v>44.009784735223235</v>
          </cell>
          <cell r="K284">
            <v>0.93033268042871564</v>
          </cell>
          <cell r="O284">
            <v>17980236</v>
          </cell>
          <cell r="P284">
            <v>1</v>
          </cell>
        </row>
        <row r="285">
          <cell r="E285" t="str">
            <v>I</v>
          </cell>
          <cell r="F285" t="str">
            <v>Administrativa</v>
          </cell>
          <cell r="G285" t="str">
            <v>6 Nivel</v>
          </cell>
          <cell r="I285">
            <v>20.746771036593099</v>
          </cell>
          <cell r="K285">
            <v>1.2180039133054279</v>
          </cell>
          <cell r="O285">
            <v>16931999.715428576</v>
          </cell>
          <cell r="P285">
            <v>1</v>
          </cell>
        </row>
        <row r="286">
          <cell r="E286" t="str">
            <v>I</v>
          </cell>
          <cell r="F286" t="str">
            <v>Técnica</v>
          </cell>
          <cell r="G286" t="str">
            <v>6 Nivel</v>
          </cell>
          <cell r="I286">
            <v>33.760469666730089</v>
          </cell>
          <cell r="K286">
            <v>0.83444226946981148</v>
          </cell>
          <cell r="O286">
            <v>17645999.703428578</v>
          </cell>
          <cell r="P286">
            <v>1</v>
          </cell>
        </row>
        <row r="287">
          <cell r="E287" t="str">
            <v>I</v>
          </cell>
          <cell r="F287" t="str">
            <v>Administrativa</v>
          </cell>
          <cell r="G287" t="str">
            <v>6 Nivel</v>
          </cell>
          <cell r="I287">
            <v>38.971428570839677</v>
          </cell>
          <cell r="K287">
            <v>4.0536203516615927</v>
          </cell>
          <cell r="O287">
            <v>16931999.715428576</v>
          </cell>
          <cell r="P287">
            <v>1</v>
          </cell>
        </row>
        <row r="288">
          <cell r="E288" t="str">
            <v>I</v>
          </cell>
          <cell r="F288" t="str">
            <v>Técnica</v>
          </cell>
          <cell r="G288" t="str">
            <v>6 Nivel</v>
          </cell>
          <cell r="I288">
            <v>32.823483365360225</v>
          </cell>
          <cell r="K288">
            <v>1.0125244612506334</v>
          </cell>
          <cell r="O288">
            <v>16931999.715428576</v>
          </cell>
          <cell r="P288">
            <v>1</v>
          </cell>
        </row>
        <row r="289">
          <cell r="E289" t="str">
            <v>I</v>
          </cell>
          <cell r="F289" t="str">
            <v>Administrativa</v>
          </cell>
          <cell r="G289" t="str">
            <v>6 Nivel</v>
          </cell>
          <cell r="I289">
            <v>51.242661447552003</v>
          </cell>
          <cell r="K289">
            <v>1.5303326804287156</v>
          </cell>
          <cell r="O289">
            <v>16892160.284571424</v>
          </cell>
          <cell r="P289">
            <v>1</v>
          </cell>
        </row>
        <row r="290">
          <cell r="E290" t="str">
            <v>I</v>
          </cell>
          <cell r="F290" t="str">
            <v>Técnica</v>
          </cell>
          <cell r="G290" t="str">
            <v>6 Nivel</v>
          </cell>
          <cell r="I290">
            <v>45.78238747494926</v>
          </cell>
          <cell r="K290">
            <v>0.77964774892186628</v>
          </cell>
          <cell r="O290">
            <v>17271845.485714287</v>
          </cell>
          <cell r="P290">
            <v>1</v>
          </cell>
        </row>
        <row r="291">
          <cell r="E291" t="str">
            <v>I</v>
          </cell>
          <cell r="F291" t="str">
            <v>Técnica</v>
          </cell>
          <cell r="G291" t="str">
            <v>6 Nivel</v>
          </cell>
          <cell r="I291">
            <v>38.560469666730086</v>
          </cell>
          <cell r="K291">
            <v>0.76046966673008543</v>
          </cell>
          <cell r="O291">
            <v>17271821.463428576</v>
          </cell>
          <cell r="P291">
            <v>1</v>
          </cell>
        </row>
        <row r="292">
          <cell r="E292" t="str">
            <v>I</v>
          </cell>
          <cell r="F292" t="str">
            <v>Técnica</v>
          </cell>
          <cell r="G292" t="str">
            <v>6 Nivel</v>
          </cell>
          <cell r="I292">
            <v>46.026223091387621</v>
          </cell>
          <cell r="K292">
            <v>1.2152641872780308</v>
          </cell>
          <cell r="O292">
            <v>17271821.427840002</v>
          </cell>
          <cell r="P292">
            <v>1</v>
          </cell>
        </row>
        <row r="293">
          <cell r="E293" t="str">
            <v>I</v>
          </cell>
          <cell r="F293" t="str">
            <v>Técnica</v>
          </cell>
          <cell r="G293" t="str">
            <v>6 Nivel</v>
          </cell>
          <cell r="I293">
            <v>45.16320939275748</v>
          </cell>
          <cell r="K293">
            <v>1.1659491187848801</v>
          </cell>
          <cell r="O293">
            <v>17271821.427840002</v>
          </cell>
          <cell r="P293">
            <v>1</v>
          </cell>
        </row>
        <row r="294">
          <cell r="E294" t="str">
            <v>I</v>
          </cell>
          <cell r="F294" t="str">
            <v>Técnica</v>
          </cell>
          <cell r="G294" t="str">
            <v>6 Nivel</v>
          </cell>
          <cell r="I294">
            <v>41.138551858510908</v>
          </cell>
          <cell r="K294">
            <v>1.0864970639903595</v>
          </cell>
          <cell r="O294">
            <v>17271815.235428579</v>
          </cell>
          <cell r="P294">
            <v>1</v>
          </cell>
        </row>
        <row r="295">
          <cell r="E295" t="str">
            <v>I</v>
          </cell>
          <cell r="F295" t="str">
            <v>Técnica</v>
          </cell>
          <cell r="G295" t="str">
            <v>6 Nivel</v>
          </cell>
          <cell r="I295">
            <v>46.201565557141045</v>
          </cell>
          <cell r="K295">
            <v>1.4125244612506334</v>
          </cell>
          <cell r="O295">
            <v>17230800.296571422</v>
          </cell>
          <cell r="P295">
            <v>1</v>
          </cell>
        </row>
        <row r="296">
          <cell r="E296" t="str">
            <v>I</v>
          </cell>
          <cell r="F296" t="str">
            <v>Técnica</v>
          </cell>
          <cell r="G296" t="str">
            <v>6 Nivel</v>
          </cell>
          <cell r="I296">
            <v>47.228962817415017</v>
          </cell>
          <cell r="K296">
            <v>3.3878669270040582</v>
          </cell>
          <cell r="O296">
            <v>17230800.296571422</v>
          </cell>
          <cell r="P296">
            <v>1</v>
          </cell>
        </row>
        <row r="297">
          <cell r="E297" t="str">
            <v>I</v>
          </cell>
          <cell r="F297" t="str">
            <v>Técnica</v>
          </cell>
          <cell r="G297" t="str">
            <v>6 Nivel</v>
          </cell>
          <cell r="I297">
            <v>36.59608610508625</v>
          </cell>
          <cell r="K297">
            <v>0.44266144755200326</v>
          </cell>
          <cell r="O297">
            <v>17230800.296571422</v>
          </cell>
          <cell r="P297">
            <v>1</v>
          </cell>
        </row>
        <row r="298">
          <cell r="E298" t="str">
            <v>I</v>
          </cell>
          <cell r="F298" t="str">
            <v>Técnica</v>
          </cell>
          <cell r="G298" t="str">
            <v>6 Nivel</v>
          </cell>
          <cell r="I298">
            <v>3.4344422694698116</v>
          </cell>
          <cell r="K298">
            <v>1.6755381598807704</v>
          </cell>
          <cell r="O298">
            <v>17230800.296571422</v>
          </cell>
          <cell r="P298">
            <v>1</v>
          </cell>
        </row>
        <row r="299">
          <cell r="E299" t="str">
            <v>I</v>
          </cell>
          <cell r="F299" t="str">
            <v>Técnica</v>
          </cell>
          <cell r="G299" t="str">
            <v>6 Nivel</v>
          </cell>
          <cell r="I299">
            <v>26.590606653031454</v>
          </cell>
          <cell r="K299">
            <v>1.376908022894469</v>
          </cell>
          <cell r="O299">
            <v>17230800.296571422</v>
          </cell>
          <cell r="P299">
            <v>1</v>
          </cell>
        </row>
        <row r="300">
          <cell r="E300" t="str">
            <v>I</v>
          </cell>
          <cell r="F300" t="str">
            <v>Técnica</v>
          </cell>
          <cell r="G300" t="str">
            <v>6 Nivel</v>
          </cell>
          <cell r="I300">
            <v>36.648140899606801</v>
          </cell>
          <cell r="K300">
            <v>1.3495107626204965</v>
          </cell>
          <cell r="O300">
            <v>17230800.296571422</v>
          </cell>
          <cell r="P300">
            <v>1</v>
          </cell>
        </row>
        <row r="301">
          <cell r="E301" t="str">
            <v>I</v>
          </cell>
          <cell r="F301" t="str">
            <v>Técnica</v>
          </cell>
          <cell r="G301" t="str">
            <v>6 Nivel</v>
          </cell>
          <cell r="I301">
            <v>28.744031310565703</v>
          </cell>
          <cell r="K301">
            <v>1.1440313105657018</v>
          </cell>
          <cell r="O301">
            <v>17230799.406857155</v>
          </cell>
          <cell r="P301">
            <v>1</v>
          </cell>
        </row>
        <row r="302">
          <cell r="E302" t="str">
            <v>I</v>
          </cell>
          <cell r="F302" t="str">
            <v>Técnica</v>
          </cell>
          <cell r="G302" t="str">
            <v>6 Nivel</v>
          </cell>
          <cell r="I302">
            <v>62.897455968099948</v>
          </cell>
          <cell r="K302">
            <v>1.0590998037163868</v>
          </cell>
          <cell r="O302">
            <v>17230799.406857155</v>
          </cell>
          <cell r="P302">
            <v>1</v>
          </cell>
        </row>
        <row r="303">
          <cell r="E303" t="str">
            <v>I</v>
          </cell>
          <cell r="F303" t="str">
            <v>Técnica</v>
          </cell>
          <cell r="G303" t="str">
            <v>6 Nivel</v>
          </cell>
          <cell r="I303">
            <v>25.798825831113646</v>
          </cell>
          <cell r="K303">
            <v>1.291976516045154</v>
          </cell>
          <cell r="O303">
            <v>17230799.406857155</v>
          </cell>
          <cell r="P303">
            <v>1</v>
          </cell>
        </row>
        <row r="304">
          <cell r="E304" t="str">
            <v>I</v>
          </cell>
          <cell r="F304" t="str">
            <v>Técnica</v>
          </cell>
          <cell r="G304" t="str">
            <v>6 Nivel</v>
          </cell>
          <cell r="I304">
            <v>52.174168296867073</v>
          </cell>
          <cell r="K304">
            <v>0.49471624207255122</v>
          </cell>
          <cell r="O304">
            <v>17230799.406857155</v>
          </cell>
          <cell r="P304">
            <v>1</v>
          </cell>
        </row>
        <row r="305">
          <cell r="E305" t="str">
            <v>I</v>
          </cell>
          <cell r="F305" t="str">
            <v>Técnica</v>
          </cell>
          <cell r="G305" t="str">
            <v>6 Nivel</v>
          </cell>
          <cell r="I305">
            <v>49.960469666730084</v>
          </cell>
          <cell r="K305">
            <v>1.2371819954972088</v>
          </cell>
          <cell r="O305">
            <v>17230799.406857155</v>
          </cell>
          <cell r="P305">
            <v>1</v>
          </cell>
        </row>
        <row r="306">
          <cell r="E306" t="str">
            <v>I</v>
          </cell>
          <cell r="F306" t="str">
            <v>Técnica</v>
          </cell>
          <cell r="G306" t="str">
            <v>6 Nivel</v>
          </cell>
          <cell r="I306">
            <v>46.278277885908167</v>
          </cell>
          <cell r="K306">
            <v>1.0399217215246059</v>
          </cell>
          <cell r="O306">
            <v>17230799.406857155</v>
          </cell>
          <cell r="P306">
            <v>1</v>
          </cell>
        </row>
        <row r="307">
          <cell r="E307" t="str">
            <v>I</v>
          </cell>
          <cell r="F307" t="str">
            <v>Técnica</v>
          </cell>
          <cell r="G307" t="str">
            <v>6 Nivel</v>
          </cell>
          <cell r="I307">
            <v>45.815264187278032</v>
          </cell>
          <cell r="K307">
            <v>0.68649706399035948</v>
          </cell>
          <cell r="O307">
            <v>17230799.406857155</v>
          </cell>
          <cell r="P307">
            <v>1</v>
          </cell>
        </row>
        <row r="308">
          <cell r="E308" t="str">
            <v>I</v>
          </cell>
          <cell r="F308" t="str">
            <v>Técnica</v>
          </cell>
          <cell r="G308" t="str">
            <v>6 Nivel</v>
          </cell>
          <cell r="I308">
            <v>44.719373776319124</v>
          </cell>
          <cell r="K308">
            <v>0.68649706399035948</v>
          </cell>
          <cell r="O308">
            <v>17230799.406857155</v>
          </cell>
          <cell r="P308">
            <v>1</v>
          </cell>
        </row>
        <row r="309">
          <cell r="E309" t="str">
            <v>I</v>
          </cell>
          <cell r="F309" t="str">
            <v>Técnica</v>
          </cell>
          <cell r="G309" t="str">
            <v>6 Nivel</v>
          </cell>
          <cell r="I309">
            <v>55.891976516045155</v>
          </cell>
          <cell r="K309">
            <v>1.2508806256341951</v>
          </cell>
          <cell r="O309">
            <v>17230770.046285711</v>
          </cell>
          <cell r="P309">
            <v>1</v>
          </cell>
        </row>
        <row r="310">
          <cell r="E310" t="str">
            <v>I</v>
          </cell>
          <cell r="F310" t="str">
            <v>Administrativa</v>
          </cell>
          <cell r="G310" t="str">
            <v>6 Nivel</v>
          </cell>
          <cell r="I310">
            <v>46.182387474949266</v>
          </cell>
          <cell r="K310">
            <v>2.2974559680999485</v>
          </cell>
          <cell r="O310">
            <v>17136342</v>
          </cell>
          <cell r="P310">
            <v>1</v>
          </cell>
        </row>
        <row r="311">
          <cell r="E311" t="str">
            <v>I</v>
          </cell>
          <cell r="F311" t="str">
            <v>Administrativa</v>
          </cell>
          <cell r="G311" t="str">
            <v>6 Nivel</v>
          </cell>
          <cell r="I311">
            <v>22.79608610508625</v>
          </cell>
          <cell r="K311">
            <v>1.1604696667300856</v>
          </cell>
          <cell r="O311">
            <v>17136342</v>
          </cell>
          <cell r="P311">
            <v>1</v>
          </cell>
        </row>
        <row r="312">
          <cell r="E312" t="str">
            <v>I</v>
          </cell>
          <cell r="F312" t="str">
            <v>Administrativa</v>
          </cell>
          <cell r="G312" t="str">
            <v>6 Nivel</v>
          </cell>
          <cell r="I312">
            <v>40.053620351661593</v>
          </cell>
          <cell r="K312">
            <v>0.82074363933282524</v>
          </cell>
          <cell r="O312">
            <v>15935999.430857155</v>
          </cell>
          <cell r="P312">
            <v>1</v>
          </cell>
        </row>
        <row r="313">
          <cell r="E313" t="str">
            <v>I</v>
          </cell>
          <cell r="F313" t="str">
            <v>Técnica</v>
          </cell>
          <cell r="G313" t="str">
            <v>6 Nivel</v>
          </cell>
          <cell r="I313">
            <v>35.133072406456115</v>
          </cell>
          <cell r="K313">
            <v>0.73855185851090732</v>
          </cell>
          <cell r="O313">
            <v>16607998.339199999</v>
          </cell>
          <cell r="P313">
            <v>1</v>
          </cell>
        </row>
        <row r="314">
          <cell r="E314" t="str">
            <v>I</v>
          </cell>
          <cell r="F314" t="str">
            <v>Técnica</v>
          </cell>
          <cell r="G314" t="str">
            <v>6 Nivel</v>
          </cell>
          <cell r="I314">
            <v>0.77690802289446903</v>
          </cell>
          <cell r="K314">
            <v>0.77690802289446903</v>
          </cell>
          <cell r="O314">
            <v>16607998.339199999</v>
          </cell>
          <cell r="P314">
            <v>1</v>
          </cell>
        </row>
        <row r="315">
          <cell r="E315" t="str">
            <v>I</v>
          </cell>
          <cell r="F315" t="str">
            <v>Administrativa</v>
          </cell>
          <cell r="G315" t="str">
            <v>6 Nivel</v>
          </cell>
          <cell r="I315">
            <v>22.3440313105657</v>
          </cell>
          <cell r="K315">
            <v>1.1275929544013183</v>
          </cell>
          <cell r="O315">
            <v>15935984.063999997</v>
          </cell>
          <cell r="P315">
            <v>1</v>
          </cell>
        </row>
        <row r="316">
          <cell r="E316" t="str">
            <v>I</v>
          </cell>
          <cell r="F316" t="str">
            <v>Técnica</v>
          </cell>
          <cell r="G316" t="str">
            <v>6 Nivel</v>
          </cell>
          <cell r="I316">
            <v>35.494716242072549</v>
          </cell>
          <cell r="K316">
            <v>0.91663405029172929</v>
          </cell>
          <cell r="O316">
            <v>16192800</v>
          </cell>
          <cell r="P316">
            <v>1</v>
          </cell>
        </row>
        <row r="317">
          <cell r="E317" t="str">
            <v>I</v>
          </cell>
          <cell r="F317" t="str">
            <v>Técnica</v>
          </cell>
          <cell r="G317" t="str">
            <v>6 Nivel</v>
          </cell>
          <cell r="I317">
            <v>28.086497063990361</v>
          </cell>
          <cell r="K317">
            <v>0.39060665303145531</v>
          </cell>
          <cell r="O317">
            <v>15570000</v>
          </cell>
          <cell r="P317">
            <v>1</v>
          </cell>
        </row>
        <row r="318">
          <cell r="E318" t="str">
            <v>I</v>
          </cell>
          <cell r="F318" t="str">
            <v>Técnica</v>
          </cell>
          <cell r="G318" t="str">
            <v>6 Nivel</v>
          </cell>
          <cell r="I318">
            <v>44.963209392757484</v>
          </cell>
          <cell r="K318">
            <v>0.76320939275748267</v>
          </cell>
          <cell r="O318">
            <v>15570000</v>
          </cell>
          <cell r="P318">
            <v>1</v>
          </cell>
        </row>
        <row r="319">
          <cell r="E319" t="str">
            <v>I</v>
          </cell>
          <cell r="F319" t="str">
            <v>Técnica</v>
          </cell>
          <cell r="G319" t="str">
            <v>6 Nivel</v>
          </cell>
          <cell r="I319">
            <v>22.270058707825974</v>
          </cell>
          <cell r="K319">
            <v>0.68649706399035948</v>
          </cell>
          <cell r="O319">
            <v>15258600</v>
          </cell>
          <cell r="P319">
            <v>1</v>
          </cell>
        </row>
        <row r="320">
          <cell r="E320" t="str">
            <v>I</v>
          </cell>
          <cell r="F320" t="str">
            <v>Técnica</v>
          </cell>
          <cell r="G320" t="str">
            <v>6 Nivel</v>
          </cell>
          <cell r="I320">
            <v>43.779647748921867</v>
          </cell>
          <cell r="K320">
            <v>1.544031310565702</v>
          </cell>
          <cell r="O320">
            <v>15196950.807428576</v>
          </cell>
          <cell r="P320">
            <v>1</v>
          </cell>
        </row>
        <row r="321">
          <cell r="E321" t="str">
            <v>I</v>
          </cell>
          <cell r="F321" t="str">
            <v>Técnica</v>
          </cell>
          <cell r="G321" t="str">
            <v>6 Nivel</v>
          </cell>
          <cell r="I321">
            <v>42.713894324264331</v>
          </cell>
          <cell r="K321">
            <v>1.2590998037163867</v>
          </cell>
          <cell r="O321">
            <v>15196950.807428576</v>
          </cell>
          <cell r="P321">
            <v>1</v>
          </cell>
        </row>
        <row r="322">
          <cell r="E322" t="str">
            <v>I</v>
          </cell>
          <cell r="F322" t="str">
            <v>Técnica</v>
          </cell>
          <cell r="G322" t="str">
            <v>6 Nivel</v>
          </cell>
          <cell r="I322">
            <v>33.954990214675291</v>
          </cell>
          <cell r="K322">
            <v>0.82074363933282524</v>
          </cell>
          <cell r="O322">
            <v>15196950.807428576</v>
          </cell>
          <cell r="P322">
            <v>1</v>
          </cell>
        </row>
        <row r="323">
          <cell r="E323" t="str">
            <v>I</v>
          </cell>
          <cell r="F323" t="str">
            <v>Técnica</v>
          </cell>
          <cell r="G323" t="str">
            <v>6 Nivel</v>
          </cell>
          <cell r="I323">
            <v>42.16320939275748</v>
          </cell>
          <cell r="K323">
            <v>1.1001956941273456</v>
          </cell>
          <cell r="O323">
            <v>15196942.799999999</v>
          </cell>
          <cell r="P323">
            <v>1</v>
          </cell>
        </row>
        <row r="324">
          <cell r="E324" t="str">
            <v>I</v>
          </cell>
          <cell r="F324" t="str">
            <v>Técnica</v>
          </cell>
          <cell r="G324" t="str">
            <v>6 Nivel</v>
          </cell>
          <cell r="I324">
            <v>46.522113502346521</v>
          </cell>
          <cell r="K324">
            <v>1.1933463790588525</v>
          </cell>
          <cell r="O324">
            <v>15196942.799999999</v>
          </cell>
          <cell r="P324">
            <v>1</v>
          </cell>
        </row>
        <row r="325">
          <cell r="E325" t="str">
            <v>I</v>
          </cell>
          <cell r="F325" t="str">
            <v>Técnica</v>
          </cell>
          <cell r="G325" t="str">
            <v>6 Nivel</v>
          </cell>
          <cell r="I325">
            <v>48.774168296867074</v>
          </cell>
          <cell r="K325">
            <v>0.76046966673008543</v>
          </cell>
          <cell r="O325">
            <v>15196942.799999999</v>
          </cell>
          <cell r="P325">
            <v>1</v>
          </cell>
        </row>
        <row r="326">
          <cell r="E326" t="str">
            <v>I</v>
          </cell>
          <cell r="F326" t="str">
            <v>Técnica</v>
          </cell>
          <cell r="G326" t="str">
            <v>6 Nivel</v>
          </cell>
          <cell r="I326">
            <v>23.828962817415018</v>
          </cell>
          <cell r="K326">
            <v>0.93033268042871564</v>
          </cell>
          <cell r="O326">
            <v>15196942.799999999</v>
          </cell>
          <cell r="P326">
            <v>1</v>
          </cell>
        </row>
        <row r="327">
          <cell r="E327" t="str">
            <v>I</v>
          </cell>
          <cell r="F327" t="str">
            <v>Técnica</v>
          </cell>
          <cell r="G327" t="str">
            <v>6 Nivel</v>
          </cell>
          <cell r="I327">
            <v>49.239921721524603</v>
          </cell>
          <cell r="K327">
            <v>0.64266144755200327</v>
          </cell>
          <cell r="O327">
            <v>15196942.799999999</v>
          </cell>
          <cell r="P327">
            <v>1</v>
          </cell>
        </row>
        <row r="328">
          <cell r="E328" t="str">
            <v>I</v>
          </cell>
          <cell r="F328" t="str">
            <v>Técnica</v>
          </cell>
          <cell r="G328" t="str">
            <v>6 Nivel</v>
          </cell>
          <cell r="I328">
            <v>41.771428570839674</v>
          </cell>
          <cell r="K328">
            <v>0.41800391330542791</v>
          </cell>
          <cell r="O328">
            <v>15196942.799999999</v>
          </cell>
          <cell r="P328">
            <v>1</v>
          </cell>
        </row>
        <row r="329">
          <cell r="E329" t="str">
            <v>I</v>
          </cell>
          <cell r="F329" t="str">
            <v>Técnica</v>
          </cell>
          <cell r="G329" t="str">
            <v>6 Nivel</v>
          </cell>
          <cell r="I329">
            <v>38.812524461250632</v>
          </cell>
          <cell r="K329">
            <v>1.0317025434424143</v>
          </cell>
          <cell r="O329">
            <v>15196942.799999999</v>
          </cell>
          <cell r="P329">
            <v>1</v>
          </cell>
        </row>
        <row r="330">
          <cell r="E330" t="str">
            <v>I</v>
          </cell>
          <cell r="F330" t="str">
            <v>Técnica</v>
          </cell>
          <cell r="G330" t="str">
            <v>6 Nivel</v>
          </cell>
          <cell r="I330">
            <v>45.341291584538304</v>
          </cell>
          <cell r="K330">
            <v>0.89471624207255118</v>
          </cell>
          <cell r="O330">
            <v>15196942.799999999</v>
          </cell>
          <cell r="P330">
            <v>1</v>
          </cell>
        </row>
        <row r="331">
          <cell r="E331" t="str">
            <v>I</v>
          </cell>
          <cell r="F331" t="str">
            <v>Técnica</v>
          </cell>
          <cell r="G331" t="str">
            <v>6 Nivel</v>
          </cell>
          <cell r="I331">
            <v>38.368688844812276</v>
          </cell>
          <cell r="K331">
            <v>0.60430528316844168</v>
          </cell>
          <cell r="O331">
            <v>15196942.799999999</v>
          </cell>
          <cell r="P331">
            <v>1</v>
          </cell>
        </row>
        <row r="332">
          <cell r="E332" t="str">
            <v>I</v>
          </cell>
          <cell r="F332" t="str">
            <v>Técnica</v>
          </cell>
          <cell r="G332" t="str">
            <v>6 Nivel</v>
          </cell>
          <cell r="I332">
            <v>41.760469666730089</v>
          </cell>
          <cell r="K332">
            <v>1.0317025434424143</v>
          </cell>
          <cell r="O332">
            <v>15196942.799999999</v>
          </cell>
          <cell r="P332">
            <v>1</v>
          </cell>
        </row>
        <row r="333">
          <cell r="E333" t="str">
            <v>I</v>
          </cell>
          <cell r="F333" t="str">
            <v>Técnica</v>
          </cell>
          <cell r="G333" t="str">
            <v>6 Nivel</v>
          </cell>
          <cell r="I333">
            <v>35.554990214675293</v>
          </cell>
          <cell r="K333">
            <v>0.51389432426433201</v>
          </cell>
          <cell r="O333">
            <v>15196942.799999999</v>
          </cell>
          <cell r="P333">
            <v>1</v>
          </cell>
        </row>
        <row r="334">
          <cell r="E334" t="str">
            <v>I</v>
          </cell>
          <cell r="F334" t="str">
            <v>Técnica</v>
          </cell>
          <cell r="G334" t="str">
            <v>6 Nivel</v>
          </cell>
          <cell r="I334">
            <v>29.897455968099948</v>
          </cell>
          <cell r="K334">
            <v>1.0645792557711813</v>
          </cell>
          <cell r="O334">
            <v>15196942.799999999</v>
          </cell>
          <cell r="P334">
            <v>1</v>
          </cell>
        </row>
        <row r="335">
          <cell r="E335" t="str">
            <v>I</v>
          </cell>
          <cell r="F335" t="str">
            <v>Técnica</v>
          </cell>
          <cell r="G335" t="str">
            <v>6 Nivel</v>
          </cell>
          <cell r="I335">
            <v>45.535812132483507</v>
          </cell>
          <cell r="K335">
            <v>0.35772994070268821</v>
          </cell>
          <cell r="O335">
            <v>15196942.799999999</v>
          </cell>
          <cell r="P335">
            <v>1</v>
          </cell>
        </row>
        <row r="336">
          <cell r="E336" t="str">
            <v>I</v>
          </cell>
          <cell r="F336" t="str">
            <v>Técnica</v>
          </cell>
          <cell r="G336" t="str">
            <v>6 Nivel</v>
          </cell>
          <cell r="I336">
            <v>59.845401173579404</v>
          </cell>
          <cell r="K336">
            <v>32.924853228373919</v>
          </cell>
          <cell r="O336">
            <v>15196942.799999999</v>
          </cell>
          <cell r="P336">
            <v>1</v>
          </cell>
        </row>
        <row r="337">
          <cell r="E337" t="str">
            <v>I</v>
          </cell>
          <cell r="F337" t="str">
            <v>Técnica</v>
          </cell>
          <cell r="G337" t="str">
            <v>6 Nivel</v>
          </cell>
          <cell r="I337">
            <v>45.385127200976662</v>
          </cell>
          <cell r="K337">
            <v>0.93033268042871564</v>
          </cell>
          <cell r="O337">
            <v>15196942.799999999</v>
          </cell>
          <cell r="P337">
            <v>1</v>
          </cell>
        </row>
        <row r="338">
          <cell r="E338" t="str">
            <v>I</v>
          </cell>
          <cell r="F338" t="str">
            <v>Técnica</v>
          </cell>
          <cell r="G338" t="str">
            <v>6 Nivel</v>
          </cell>
          <cell r="I338">
            <v>47.418003913305427</v>
          </cell>
          <cell r="K338">
            <v>0.85909980371638683</v>
          </cell>
          <cell r="O338">
            <v>15196942.799999999</v>
          </cell>
          <cell r="P338">
            <v>1</v>
          </cell>
        </row>
        <row r="339">
          <cell r="E339" t="str">
            <v>I</v>
          </cell>
          <cell r="F339" t="str">
            <v>Técnica</v>
          </cell>
          <cell r="G339" t="str">
            <v>6 Nivel</v>
          </cell>
          <cell r="I339">
            <v>44.905675146182141</v>
          </cell>
          <cell r="K339">
            <v>1.2563600776889896</v>
          </cell>
          <cell r="O339">
            <v>15196942.799999999</v>
          </cell>
          <cell r="P339">
            <v>1</v>
          </cell>
        </row>
        <row r="340">
          <cell r="E340" t="str">
            <v>I</v>
          </cell>
          <cell r="F340" t="str">
            <v>Técnica</v>
          </cell>
          <cell r="G340" t="str">
            <v>6 Nivel</v>
          </cell>
          <cell r="I340">
            <v>45.171428570839673</v>
          </cell>
          <cell r="K340">
            <v>0.49197651604515397</v>
          </cell>
          <cell r="O340">
            <v>15196942.799999999</v>
          </cell>
          <cell r="P340">
            <v>1</v>
          </cell>
        </row>
        <row r="341">
          <cell r="E341" t="str">
            <v>I</v>
          </cell>
          <cell r="F341" t="str">
            <v>Técnica</v>
          </cell>
          <cell r="G341" t="str">
            <v>6 Nivel</v>
          </cell>
          <cell r="I341">
            <v>48.620743639332822</v>
          </cell>
          <cell r="K341">
            <v>1.376908022894469</v>
          </cell>
          <cell r="O341">
            <v>15196942.799999999</v>
          </cell>
          <cell r="P341">
            <v>1</v>
          </cell>
        </row>
        <row r="342">
          <cell r="E342" t="str">
            <v>I</v>
          </cell>
          <cell r="F342" t="str">
            <v>Técnica</v>
          </cell>
          <cell r="G342" t="str">
            <v>6 Nivel</v>
          </cell>
          <cell r="I342">
            <v>38.590606653031458</v>
          </cell>
          <cell r="K342">
            <v>1.2043052831684415</v>
          </cell>
          <cell r="O342">
            <v>15196942.799999999</v>
          </cell>
          <cell r="P342">
            <v>1</v>
          </cell>
        </row>
        <row r="343">
          <cell r="E343" t="str">
            <v>I</v>
          </cell>
          <cell r="F343" t="str">
            <v>Técnica</v>
          </cell>
          <cell r="G343" t="str">
            <v>6 Nivel</v>
          </cell>
          <cell r="I343">
            <v>60.018003913305428</v>
          </cell>
          <cell r="K343">
            <v>33.919373776319127</v>
          </cell>
          <cell r="O343">
            <v>15196942.799999999</v>
          </cell>
          <cell r="P343">
            <v>1</v>
          </cell>
        </row>
        <row r="344">
          <cell r="E344" t="str">
            <v>I</v>
          </cell>
          <cell r="F344" t="str">
            <v>Técnica</v>
          </cell>
          <cell r="G344" t="str">
            <v>6 Nivel</v>
          </cell>
          <cell r="I344">
            <v>40.845401173579404</v>
          </cell>
          <cell r="K344">
            <v>0.39608610508624986</v>
          </cell>
          <cell r="O344">
            <v>15196942.799999999</v>
          </cell>
          <cell r="P344">
            <v>1</v>
          </cell>
        </row>
        <row r="345">
          <cell r="E345" t="str">
            <v>I</v>
          </cell>
          <cell r="F345" t="str">
            <v>Técnica</v>
          </cell>
          <cell r="G345" t="str">
            <v>6 Nivel</v>
          </cell>
          <cell r="I345">
            <v>55.009784735223235</v>
          </cell>
          <cell r="K345">
            <v>0.35772994070268821</v>
          </cell>
          <cell r="O345">
            <v>15196942.799999999</v>
          </cell>
          <cell r="P345">
            <v>1</v>
          </cell>
        </row>
        <row r="346">
          <cell r="E346" t="str">
            <v>I</v>
          </cell>
          <cell r="F346" t="str">
            <v>Técnica</v>
          </cell>
          <cell r="G346" t="str">
            <v>6 Nivel</v>
          </cell>
          <cell r="I346">
            <v>49.985127200976663</v>
          </cell>
          <cell r="K346">
            <v>0.55225048864789372</v>
          </cell>
          <cell r="O346">
            <v>15196942.799999999</v>
          </cell>
          <cell r="P346">
            <v>1</v>
          </cell>
        </row>
        <row r="347">
          <cell r="E347" t="str">
            <v>I</v>
          </cell>
          <cell r="F347" t="str">
            <v>Técnica</v>
          </cell>
          <cell r="G347" t="str">
            <v>6 Nivel</v>
          </cell>
          <cell r="I347">
            <v>49.502935420154742</v>
          </cell>
          <cell r="K347">
            <v>1.1193737763191265</v>
          </cell>
          <cell r="O347">
            <v>15196942.799999999</v>
          </cell>
          <cell r="P347">
            <v>1</v>
          </cell>
        </row>
        <row r="348">
          <cell r="E348" t="str">
            <v>I</v>
          </cell>
          <cell r="F348" t="str">
            <v>Técnica</v>
          </cell>
          <cell r="G348" t="str">
            <v>6 Nivel</v>
          </cell>
          <cell r="I348">
            <v>52.552250488647893</v>
          </cell>
          <cell r="K348">
            <v>1.2371819954972088</v>
          </cell>
          <cell r="O348">
            <v>15196942.799999999</v>
          </cell>
          <cell r="P348">
            <v>1</v>
          </cell>
        </row>
        <row r="349">
          <cell r="E349" t="str">
            <v>I</v>
          </cell>
          <cell r="F349" t="str">
            <v>Técnica</v>
          </cell>
          <cell r="G349" t="str">
            <v>6 Nivel</v>
          </cell>
          <cell r="I349">
            <v>49.034442269469814</v>
          </cell>
          <cell r="K349">
            <v>1.2344422694698114</v>
          </cell>
          <cell r="O349">
            <v>15196942.799999999</v>
          </cell>
          <cell r="P349">
            <v>1</v>
          </cell>
        </row>
        <row r="350">
          <cell r="E350" t="str">
            <v>I</v>
          </cell>
          <cell r="F350" t="str">
            <v>Técnica</v>
          </cell>
          <cell r="G350" t="str">
            <v>6 Nivel</v>
          </cell>
          <cell r="I350">
            <v>48.028962817415014</v>
          </cell>
          <cell r="K350">
            <v>1.4317025434424142</v>
          </cell>
          <cell r="O350">
            <v>15196942.799999999</v>
          </cell>
          <cell r="P350">
            <v>1</v>
          </cell>
        </row>
        <row r="351">
          <cell r="E351" t="str">
            <v>I</v>
          </cell>
          <cell r="F351" t="str">
            <v>Técnica</v>
          </cell>
          <cell r="G351" t="str">
            <v>6 Nivel</v>
          </cell>
          <cell r="I351">
            <v>46.716634050291731</v>
          </cell>
          <cell r="K351">
            <v>1.2015655571410444</v>
          </cell>
          <cell r="O351">
            <v>15196942.799999999</v>
          </cell>
          <cell r="P351">
            <v>1</v>
          </cell>
        </row>
        <row r="352">
          <cell r="E352" t="str">
            <v>I</v>
          </cell>
          <cell r="F352" t="str">
            <v>Técnica</v>
          </cell>
          <cell r="G352" t="str">
            <v>6 Nivel</v>
          </cell>
          <cell r="I352">
            <v>44.883757337962962</v>
          </cell>
          <cell r="K352">
            <v>0.52759295440131837</v>
          </cell>
          <cell r="O352">
            <v>15196942.799999999</v>
          </cell>
          <cell r="P352">
            <v>1</v>
          </cell>
        </row>
        <row r="353">
          <cell r="E353" t="str">
            <v>I</v>
          </cell>
          <cell r="F353" t="str">
            <v>Técnica</v>
          </cell>
          <cell r="G353" t="str">
            <v>6 Nivel</v>
          </cell>
          <cell r="I353">
            <v>42.823483365360225</v>
          </cell>
          <cell r="K353">
            <v>0.91115459823693479</v>
          </cell>
          <cell r="O353">
            <v>15196942.799999999</v>
          </cell>
          <cell r="P353">
            <v>1</v>
          </cell>
        </row>
        <row r="354">
          <cell r="E354" t="str">
            <v>I</v>
          </cell>
          <cell r="F354" t="str">
            <v>Técnica</v>
          </cell>
          <cell r="G354" t="str">
            <v>6 Nivel</v>
          </cell>
          <cell r="I354">
            <v>51.086497063990358</v>
          </cell>
          <cell r="K354">
            <v>1.2536203516615922</v>
          </cell>
          <cell r="O354">
            <v>15196942.799999999</v>
          </cell>
          <cell r="P354">
            <v>1</v>
          </cell>
        </row>
        <row r="355">
          <cell r="E355" t="str">
            <v>I</v>
          </cell>
          <cell r="F355" t="str">
            <v>Técnica</v>
          </cell>
          <cell r="G355" t="str">
            <v>6 Nivel</v>
          </cell>
          <cell r="I355">
            <v>48.924853228373919</v>
          </cell>
          <cell r="K355">
            <v>1.2371819954972088</v>
          </cell>
          <cell r="O355">
            <v>15196942.799999999</v>
          </cell>
          <cell r="P355">
            <v>1</v>
          </cell>
        </row>
        <row r="356">
          <cell r="E356" t="str">
            <v>I</v>
          </cell>
          <cell r="F356" t="str">
            <v>Técnica</v>
          </cell>
          <cell r="G356" t="str">
            <v>6 Nivel</v>
          </cell>
          <cell r="I356">
            <v>46.196086105086252</v>
          </cell>
          <cell r="K356">
            <v>1.2590998037163867</v>
          </cell>
          <cell r="O356">
            <v>15196942.799999999</v>
          </cell>
          <cell r="P356">
            <v>1</v>
          </cell>
        </row>
        <row r="357">
          <cell r="E357" t="str">
            <v>I</v>
          </cell>
          <cell r="F357" t="str">
            <v>Técnica</v>
          </cell>
          <cell r="G357" t="str">
            <v>6 Nivel</v>
          </cell>
          <cell r="I357">
            <v>46.760469666730089</v>
          </cell>
          <cell r="K357">
            <v>1.2344422694698114</v>
          </cell>
          <cell r="O357">
            <v>15196942.799999999</v>
          </cell>
          <cell r="P357">
            <v>1</v>
          </cell>
        </row>
        <row r="358">
          <cell r="E358" t="str">
            <v>I</v>
          </cell>
          <cell r="F358" t="str">
            <v>Técnica</v>
          </cell>
          <cell r="G358" t="str">
            <v>6 Nivel</v>
          </cell>
          <cell r="I358">
            <v>44.957729940702691</v>
          </cell>
          <cell r="K358">
            <v>0.76320939275748267</v>
          </cell>
          <cell r="O358">
            <v>15196942.799999999</v>
          </cell>
          <cell r="P358">
            <v>1</v>
          </cell>
        </row>
        <row r="359">
          <cell r="E359" t="str">
            <v>I</v>
          </cell>
          <cell r="F359" t="str">
            <v>Técnica</v>
          </cell>
          <cell r="G359" t="str">
            <v>6 Nivel</v>
          </cell>
          <cell r="I359">
            <v>29.705675146182141</v>
          </cell>
          <cell r="K359">
            <v>1.1221135023465239</v>
          </cell>
          <cell r="O359">
            <v>15196942.799999999</v>
          </cell>
          <cell r="P359">
            <v>1</v>
          </cell>
        </row>
        <row r="360">
          <cell r="E360" t="str">
            <v>I</v>
          </cell>
          <cell r="F360" t="str">
            <v>Técnica</v>
          </cell>
          <cell r="G360" t="str">
            <v>6 Nivel</v>
          </cell>
          <cell r="I360">
            <v>27.990606653031456</v>
          </cell>
          <cell r="K360">
            <v>1.3495107626204965</v>
          </cell>
          <cell r="O360">
            <v>15196942.799999999</v>
          </cell>
          <cell r="P360">
            <v>1</v>
          </cell>
        </row>
        <row r="361">
          <cell r="E361" t="str">
            <v>I</v>
          </cell>
          <cell r="F361" t="str">
            <v>Técnica</v>
          </cell>
          <cell r="G361" t="str">
            <v>6 Nivel</v>
          </cell>
          <cell r="I361">
            <v>28.341291584538304</v>
          </cell>
          <cell r="K361">
            <v>0.47005870782597586</v>
          </cell>
          <cell r="O361">
            <v>15196942.799999999</v>
          </cell>
          <cell r="P361">
            <v>1</v>
          </cell>
        </row>
        <row r="362">
          <cell r="E362" t="str">
            <v>I</v>
          </cell>
          <cell r="F362" t="str">
            <v>Técnica</v>
          </cell>
          <cell r="G362" t="str">
            <v>6 Nivel</v>
          </cell>
          <cell r="I362">
            <v>45.116634050291729</v>
          </cell>
          <cell r="K362">
            <v>1.5851272009766608</v>
          </cell>
          <cell r="O362">
            <v>15196942.799999999</v>
          </cell>
          <cell r="P362">
            <v>1</v>
          </cell>
        </row>
        <row r="363">
          <cell r="E363" t="str">
            <v>I</v>
          </cell>
          <cell r="F363" t="str">
            <v>Técnica</v>
          </cell>
          <cell r="G363" t="str">
            <v>6 Nivel</v>
          </cell>
          <cell r="I363">
            <v>46.719373776319124</v>
          </cell>
          <cell r="K363">
            <v>0.91115459823693479</v>
          </cell>
          <cell r="O363">
            <v>15196942.799999999</v>
          </cell>
          <cell r="P363">
            <v>1</v>
          </cell>
        </row>
        <row r="364">
          <cell r="E364" t="str">
            <v>I</v>
          </cell>
          <cell r="F364" t="str">
            <v>Técnica</v>
          </cell>
          <cell r="G364" t="str">
            <v>6 Nivel</v>
          </cell>
          <cell r="I364">
            <v>45.209784735223238</v>
          </cell>
          <cell r="K364">
            <v>0.64266144755200327</v>
          </cell>
          <cell r="O364">
            <v>15196942.799999999</v>
          </cell>
          <cell r="P364">
            <v>1</v>
          </cell>
        </row>
        <row r="365">
          <cell r="E365" t="str">
            <v>I</v>
          </cell>
          <cell r="F365" t="str">
            <v>Técnica</v>
          </cell>
          <cell r="G365" t="str">
            <v>6 Nivel</v>
          </cell>
          <cell r="I365">
            <v>43.609784735223236</v>
          </cell>
          <cell r="K365">
            <v>0.82074363933282524</v>
          </cell>
          <cell r="O365">
            <v>15196942.799999999</v>
          </cell>
          <cell r="P365">
            <v>1</v>
          </cell>
        </row>
        <row r="366">
          <cell r="E366" t="str">
            <v>I</v>
          </cell>
          <cell r="F366" t="str">
            <v>Técnica</v>
          </cell>
          <cell r="G366" t="str">
            <v>6 Nivel</v>
          </cell>
          <cell r="I366">
            <v>42.752250488647896</v>
          </cell>
          <cell r="K366">
            <v>1.1275929544013183</v>
          </cell>
          <cell r="O366">
            <v>15196942.799999999</v>
          </cell>
          <cell r="P366">
            <v>1</v>
          </cell>
        </row>
        <row r="367">
          <cell r="E367" t="str">
            <v>I</v>
          </cell>
          <cell r="F367" t="str">
            <v>Técnica</v>
          </cell>
          <cell r="G367" t="str">
            <v>6 Nivel</v>
          </cell>
          <cell r="I367">
            <v>2.220743639332825</v>
          </cell>
          <cell r="K367">
            <v>0.76320939275748267</v>
          </cell>
          <cell r="O367">
            <v>15196942.799999999</v>
          </cell>
          <cell r="P367">
            <v>1</v>
          </cell>
        </row>
        <row r="368">
          <cell r="E368" t="str">
            <v>I</v>
          </cell>
          <cell r="F368" t="str">
            <v>Técnica</v>
          </cell>
          <cell r="G368" t="str">
            <v>6 Nivel</v>
          </cell>
          <cell r="I368">
            <v>41.338551858510904</v>
          </cell>
          <cell r="K368">
            <v>0.39334637905885256</v>
          </cell>
          <cell r="O368">
            <v>15196942.799999999</v>
          </cell>
          <cell r="P368">
            <v>1</v>
          </cell>
        </row>
        <row r="369">
          <cell r="E369" t="str">
            <v>I</v>
          </cell>
          <cell r="F369" t="str">
            <v>Técnica</v>
          </cell>
          <cell r="G369" t="str">
            <v>6 Nivel</v>
          </cell>
          <cell r="I369">
            <v>39.944031310565705</v>
          </cell>
          <cell r="K369">
            <v>0.87553815988077044</v>
          </cell>
          <cell r="O369">
            <v>15196942.799999999</v>
          </cell>
          <cell r="P369">
            <v>1</v>
          </cell>
        </row>
        <row r="370">
          <cell r="E370" t="str">
            <v>I</v>
          </cell>
          <cell r="F370" t="str">
            <v>Técnica</v>
          </cell>
          <cell r="G370" t="str">
            <v>6 Nivel</v>
          </cell>
          <cell r="I370">
            <v>39.47827788590817</v>
          </cell>
          <cell r="K370">
            <v>1.2317025434424143</v>
          </cell>
          <cell r="O370">
            <v>15196942.799999999</v>
          </cell>
          <cell r="P370">
            <v>1</v>
          </cell>
        </row>
        <row r="371">
          <cell r="E371" t="str">
            <v>I</v>
          </cell>
          <cell r="F371" t="str">
            <v>Técnica</v>
          </cell>
          <cell r="G371" t="str">
            <v>6 Nivel</v>
          </cell>
          <cell r="I371">
            <v>38.946771036593098</v>
          </cell>
          <cell r="K371">
            <v>0.58512720097666082</v>
          </cell>
          <cell r="O371">
            <v>15196942.799999999</v>
          </cell>
          <cell r="P371">
            <v>1</v>
          </cell>
        </row>
        <row r="372">
          <cell r="E372" t="str">
            <v>I</v>
          </cell>
          <cell r="F372" t="str">
            <v>Técnica</v>
          </cell>
          <cell r="G372" t="str">
            <v>6 Nivel</v>
          </cell>
          <cell r="I372">
            <v>54.113894324264329</v>
          </cell>
          <cell r="K372">
            <v>1.2508806256341951</v>
          </cell>
          <cell r="O372">
            <v>15196942.799999999</v>
          </cell>
          <cell r="P372">
            <v>1</v>
          </cell>
        </row>
        <row r="373">
          <cell r="E373" t="str">
            <v>I</v>
          </cell>
          <cell r="F373" t="str">
            <v>Técnica</v>
          </cell>
          <cell r="G373" t="str">
            <v>6 Nivel</v>
          </cell>
          <cell r="I373">
            <v>35.960469666730084</v>
          </cell>
          <cell r="K373">
            <v>1.2207436393328253</v>
          </cell>
          <cell r="O373">
            <v>15196942.799999999</v>
          </cell>
          <cell r="P373">
            <v>1</v>
          </cell>
        </row>
        <row r="374">
          <cell r="E374" t="str">
            <v>I</v>
          </cell>
          <cell r="F374" t="str">
            <v>Técnica</v>
          </cell>
          <cell r="G374" t="str">
            <v>6 Nivel</v>
          </cell>
          <cell r="I374">
            <v>42.511154598236935</v>
          </cell>
          <cell r="K374">
            <v>1.4727984338533731</v>
          </cell>
          <cell r="O374">
            <v>15196942.799999999</v>
          </cell>
          <cell r="P374">
            <v>1</v>
          </cell>
        </row>
        <row r="375">
          <cell r="E375" t="str">
            <v>I</v>
          </cell>
          <cell r="F375" t="str">
            <v>Técnica</v>
          </cell>
          <cell r="G375" t="str">
            <v>6 Nivel</v>
          </cell>
          <cell r="I375">
            <v>42.204305283168445</v>
          </cell>
          <cell r="K375">
            <v>0.40978473522323616</v>
          </cell>
          <cell r="O375">
            <v>15196942.799999999</v>
          </cell>
          <cell r="P375">
            <v>1</v>
          </cell>
        </row>
        <row r="376">
          <cell r="E376" t="str">
            <v>I</v>
          </cell>
          <cell r="F376" t="str">
            <v>Técnica</v>
          </cell>
          <cell r="G376" t="str">
            <v>6 Nivel</v>
          </cell>
          <cell r="I376">
            <v>61.511154598236935</v>
          </cell>
          <cell r="K376">
            <v>36.793346379058853</v>
          </cell>
          <cell r="O376">
            <v>15196942.799999999</v>
          </cell>
          <cell r="P376">
            <v>1</v>
          </cell>
        </row>
        <row r="377">
          <cell r="E377" t="str">
            <v>I</v>
          </cell>
          <cell r="F377" t="str">
            <v>Técnica</v>
          </cell>
          <cell r="G377" t="str">
            <v>6 Nivel</v>
          </cell>
          <cell r="I377">
            <v>59.333072406456111</v>
          </cell>
          <cell r="K377">
            <v>38.442661447552005</v>
          </cell>
          <cell r="O377">
            <v>15196942.799999999</v>
          </cell>
          <cell r="P377">
            <v>1</v>
          </cell>
        </row>
        <row r="378">
          <cell r="E378" t="str">
            <v>I</v>
          </cell>
          <cell r="F378" t="str">
            <v>Técnica</v>
          </cell>
          <cell r="G378" t="str">
            <v>6 Nivel</v>
          </cell>
          <cell r="I378">
            <v>41.653620351661594</v>
          </cell>
          <cell r="K378">
            <v>0.79608610508624988</v>
          </cell>
          <cell r="O378">
            <v>15196942.799999999</v>
          </cell>
          <cell r="P378">
            <v>1</v>
          </cell>
        </row>
        <row r="379">
          <cell r="E379" t="str">
            <v>I</v>
          </cell>
          <cell r="F379" t="str">
            <v>Técnica</v>
          </cell>
          <cell r="G379" t="str">
            <v>6 Nivel</v>
          </cell>
          <cell r="I379">
            <v>40.78786692700406</v>
          </cell>
          <cell r="K379">
            <v>1.1221135023465239</v>
          </cell>
          <cell r="O379">
            <v>15196942.799999999</v>
          </cell>
          <cell r="P379">
            <v>1</v>
          </cell>
        </row>
        <row r="380">
          <cell r="E380" t="str">
            <v>I</v>
          </cell>
          <cell r="F380" t="str">
            <v>Técnica</v>
          </cell>
          <cell r="G380" t="str">
            <v>6 Nivel</v>
          </cell>
          <cell r="I380">
            <v>38.615264187278029</v>
          </cell>
          <cell r="K380">
            <v>0.66731898179857863</v>
          </cell>
          <cell r="O380">
            <v>15196942.799999999</v>
          </cell>
          <cell r="P380">
            <v>1</v>
          </cell>
        </row>
        <row r="381">
          <cell r="E381" t="str">
            <v>I</v>
          </cell>
          <cell r="F381" t="str">
            <v>Técnica</v>
          </cell>
          <cell r="G381" t="str">
            <v>6 Nivel</v>
          </cell>
          <cell r="I381">
            <v>35.470058707825977</v>
          </cell>
          <cell r="K381">
            <v>1.4125244612506334</v>
          </cell>
          <cell r="O381">
            <v>15196320</v>
          </cell>
          <cell r="P381">
            <v>1</v>
          </cell>
        </row>
        <row r="382">
          <cell r="E382" t="str">
            <v>I</v>
          </cell>
          <cell r="F382" t="str">
            <v>Administrativa</v>
          </cell>
          <cell r="G382" t="str">
            <v>6 Nivel</v>
          </cell>
          <cell r="I382">
            <v>24.812524461250632</v>
          </cell>
          <cell r="K382">
            <v>0.51389432426433201</v>
          </cell>
          <cell r="O382">
            <v>14532000.166080002</v>
          </cell>
          <cell r="P382">
            <v>1</v>
          </cell>
        </row>
        <row r="383">
          <cell r="E383" t="str">
            <v>I</v>
          </cell>
          <cell r="F383" t="str">
            <v>Administrativa</v>
          </cell>
          <cell r="G383" t="str">
            <v>6 Nivel</v>
          </cell>
          <cell r="I383">
            <v>22.741291584538306</v>
          </cell>
          <cell r="K383">
            <v>0.49471624207255122</v>
          </cell>
          <cell r="O383">
            <v>14532000.166080002</v>
          </cell>
          <cell r="P383">
            <v>1</v>
          </cell>
        </row>
        <row r="384">
          <cell r="E384" t="str">
            <v>I</v>
          </cell>
          <cell r="F384" t="str">
            <v>Administrativa</v>
          </cell>
          <cell r="G384" t="str">
            <v>6 Nivel</v>
          </cell>
          <cell r="I384">
            <v>22.922113502346523</v>
          </cell>
          <cell r="K384">
            <v>0.51389432426433201</v>
          </cell>
          <cell r="O384">
            <v>14532000.166080002</v>
          </cell>
          <cell r="P384">
            <v>1</v>
          </cell>
        </row>
        <row r="385">
          <cell r="E385" t="str">
            <v>I</v>
          </cell>
          <cell r="F385" t="str">
            <v>Técnica</v>
          </cell>
          <cell r="G385" t="str">
            <v>6 Nivel</v>
          </cell>
          <cell r="I385">
            <v>26.513894324264331</v>
          </cell>
          <cell r="K385">
            <v>1.2727984338533731</v>
          </cell>
          <cell r="O385">
            <v>14532000.166080002</v>
          </cell>
          <cell r="P385">
            <v>1</v>
          </cell>
        </row>
        <row r="386">
          <cell r="E386" t="str">
            <v>I</v>
          </cell>
          <cell r="F386" t="str">
            <v>Administrativa</v>
          </cell>
          <cell r="G386" t="str">
            <v>6 Nivel</v>
          </cell>
          <cell r="I386">
            <v>29.804305283168443</v>
          </cell>
          <cell r="K386">
            <v>0.64540117357940052</v>
          </cell>
          <cell r="O386">
            <v>14531999.703428578</v>
          </cell>
          <cell r="P386">
            <v>1</v>
          </cell>
        </row>
        <row r="387">
          <cell r="E387" t="str">
            <v>I</v>
          </cell>
          <cell r="F387" t="str">
            <v>Administrativa</v>
          </cell>
          <cell r="G387" t="str">
            <v>6 Nivel</v>
          </cell>
          <cell r="I387">
            <v>31.064579255771182</v>
          </cell>
          <cell r="K387">
            <v>0.49471624207255122</v>
          </cell>
          <cell r="O387">
            <v>14531999.703428578</v>
          </cell>
          <cell r="P387">
            <v>1</v>
          </cell>
        </row>
        <row r="388">
          <cell r="E388" t="str">
            <v>I</v>
          </cell>
          <cell r="F388" t="str">
            <v>Administrativa</v>
          </cell>
          <cell r="G388" t="str">
            <v>6 Nivel</v>
          </cell>
          <cell r="I388">
            <v>43.500195694127349</v>
          </cell>
          <cell r="K388">
            <v>1.2125244612506334</v>
          </cell>
          <cell r="O388">
            <v>14531999.703428578</v>
          </cell>
          <cell r="P388">
            <v>1</v>
          </cell>
        </row>
        <row r="389">
          <cell r="E389" t="str">
            <v>I</v>
          </cell>
          <cell r="F389" t="str">
            <v>Administrativa</v>
          </cell>
          <cell r="G389" t="str">
            <v>6 Nivel</v>
          </cell>
          <cell r="I389">
            <v>24.861839529743783</v>
          </cell>
          <cell r="K389">
            <v>0.74403131056570193</v>
          </cell>
          <cell r="O389">
            <v>14531999.703428578</v>
          </cell>
          <cell r="P389">
            <v>1</v>
          </cell>
        </row>
        <row r="390">
          <cell r="E390" t="str">
            <v>I</v>
          </cell>
          <cell r="F390" t="str">
            <v>Administrativa</v>
          </cell>
          <cell r="G390" t="str">
            <v>6 Nivel</v>
          </cell>
          <cell r="I390">
            <v>49.92759295440132</v>
          </cell>
          <cell r="K390">
            <v>0.74403131056570193</v>
          </cell>
          <cell r="O390">
            <v>14531999.703428578</v>
          </cell>
          <cell r="P390">
            <v>1</v>
          </cell>
        </row>
        <row r="391">
          <cell r="E391" t="str">
            <v>I</v>
          </cell>
          <cell r="F391" t="str">
            <v>Administrativa</v>
          </cell>
          <cell r="G391" t="str">
            <v>6 Nivel</v>
          </cell>
          <cell r="I391">
            <v>26.763209392757481</v>
          </cell>
          <cell r="K391">
            <v>0.44266144755200326</v>
          </cell>
          <cell r="O391">
            <v>14531999.703428578</v>
          </cell>
          <cell r="P391">
            <v>1</v>
          </cell>
        </row>
        <row r="392">
          <cell r="E392" t="str">
            <v>I</v>
          </cell>
          <cell r="F392" t="str">
            <v>Técnica</v>
          </cell>
          <cell r="G392" t="str">
            <v>6 Nivel</v>
          </cell>
          <cell r="I392">
            <v>37.963209392757484</v>
          </cell>
          <cell r="K392">
            <v>3.2947162420725511</v>
          </cell>
          <cell r="O392">
            <v>14531999.703428578</v>
          </cell>
          <cell r="P392">
            <v>1</v>
          </cell>
        </row>
        <row r="393">
          <cell r="E393" t="str">
            <v>I</v>
          </cell>
          <cell r="F393" t="str">
            <v>Administrativa</v>
          </cell>
          <cell r="G393" t="str">
            <v>6 Nivel</v>
          </cell>
          <cell r="I393">
            <v>26.272798433853374</v>
          </cell>
          <cell r="K393">
            <v>1.2947162420725513</v>
          </cell>
          <cell r="O393">
            <v>14531999.703428578</v>
          </cell>
          <cell r="P393">
            <v>1</v>
          </cell>
        </row>
        <row r="394">
          <cell r="E394" t="str">
            <v>I</v>
          </cell>
          <cell r="F394" t="str">
            <v>Administrativa</v>
          </cell>
          <cell r="G394" t="str">
            <v>6 Nivel</v>
          </cell>
          <cell r="I394">
            <v>29.176908022894469</v>
          </cell>
          <cell r="K394">
            <v>0.69471624207255123</v>
          </cell>
          <cell r="O394">
            <v>14531999.703428578</v>
          </cell>
          <cell r="P394">
            <v>1</v>
          </cell>
        </row>
        <row r="395">
          <cell r="E395" t="str">
            <v>I</v>
          </cell>
          <cell r="F395" t="str">
            <v>Administrativa</v>
          </cell>
          <cell r="G395" t="str">
            <v>6 Nivel</v>
          </cell>
          <cell r="I395">
            <v>25.185127200976662</v>
          </cell>
          <cell r="K395">
            <v>0.95499021467529088</v>
          </cell>
          <cell r="O395">
            <v>14531999.703428578</v>
          </cell>
          <cell r="P395">
            <v>1</v>
          </cell>
        </row>
        <row r="396">
          <cell r="E396" t="str">
            <v>I</v>
          </cell>
          <cell r="F396" t="str">
            <v>Administrativa</v>
          </cell>
          <cell r="G396" t="str">
            <v>6 Nivel</v>
          </cell>
          <cell r="I396">
            <v>26.491976516045153</v>
          </cell>
          <cell r="K396">
            <v>0.49471624207255122</v>
          </cell>
          <cell r="O396">
            <v>14531997.924000001</v>
          </cell>
          <cell r="P396">
            <v>1</v>
          </cell>
        </row>
        <row r="397">
          <cell r="E397" t="str">
            <v>I</v>
          </cell>
          <cell r="F397" t="str">
            <v>Administrativa</v>
          </cell>
          <cell r="G397" t="str">
            <v>6 Nivel</v>
          </cell>
          <cell r="I397">
            <v>29.248140899606799</v>
          </cell>
          <cell r="K397">
            <v>0.74403131056570193</v>
          </cell>
          <cell r="O397">
            <v>14531997.924000001</v>
          </cell>
          <cell r="P397">
            <v>1</v>
          </cell>
        </row>
        <row r="398">
          <cell r="E398" t="str">
            <v>I</v>
          </cell>
          <cell r="F398" t="str">
            <v>Administrativa</v>
          </cell>
          <cell r="G398" t="str">
            <v>6 Nivel</v>
          </cell>
          <cell r="I398">
            <v>25.935812132483509</v>
          </cell>
          <cell r="K398">
            <v>1.081017611935565</v>
          </cell>
          <cell r="O398">
            <v>14531996.678399999</v>
          </cell>
          <cell r="P398">
            <v>1</v>
          </cell>
        </row>
        <row r="399">
          <cell r="E399" t="str">
            <v>I</v>
          </cell>
          <cell r="F399" t="str">
            <v>Administrativa</v>
          </cell>
          <cell r="G399" t="str">
            <v>6 Nivel</v>
          </cell>
          <cell r="I399">
            <v>28.946771036593098</v>
          </cell>
          <cell r="K399">
            <v>1.3385518585109073</v>
          </cell>
          <cell r="O399">
            <v>14392914.72663668</v>
          </cell>
          <cell r="P399">
            <v>1</v>
          </cell>
        </row>
        <row r="400">
          <cell r="E400" t="str">
            <v>I</v>
          </cell>
          <cell r="F400" t="str">
            <v>Administrativa</v>
          </cell>
          <cell r="G400" t="str">
            <v>6 Nivel</v>
          </cell>
          <cell r="I400">
            <v>26.971428570839674</v>
          </cell>
          <cell r="K400">
            <v>1.3193737763191264</v>
          </cell>
          <cell r="O400">
            <v>14392914.72663668</v>
          </cell>
          <cell r="P400">
            <v>1</v>
          </cell>
        </row>
        <row r="401">
          <cell r="E401" t="str">
            <v>I</v>
          </cell>
          <cell r="F401" t="str">
            <v>Técnica</v>
          </cell>
          <cell r="G401" t="str">
            <v>6 Nivel</v>
          </cell>
          <cell r="I401">
            <v>59.431702543442412</v>
          </cell>
          <cell r="K401">
            <v>0.82074363933282524</v>
          </cell>
          <cell r="O401">
            <v>14392908</v>
          </cell>
          <cell r="P401">
            <v>1</v>
          </cell>
        </row>
        <row r="402">
          <cell r="E402" t="str">
            <v>I</v>
          </cell>
          <cell r="F402" t="str">
            <v>Técnica</v>
          </cell>
          <cell r="G402" t="str">
            <v>6 Nivel</v>
          </cell>
          <cell r="I402">
            <v>41.152250488647894</v>
          </cell>
          <cell r="K402">
            <v>0.39334637905885256</v>
          </cell>
          <cell r="O402">
            <v>14392908</v>
          </cell>
          <cell r="P402">
            <v>1</v>
          </cell>
        </row>
        <row r="403">
          <cell r="E403" t="str">
            <v>I</v>
          </cell>
          <cell r="F403" t="str">
            <v>Técnica</v>
          </cell>
          <cell r="G403" t="str">
            <v>6 Nivel</v>
          </cell>
          <cell r="I403">
            <v>42.256360077688988</v>
          </cell>
          <cell r="K403">
            <v>0.82074363933282524</v>
          </cell>
          <cell r="O403">
            <v>14392908</v>
          </cell>
          <cell r="P403">
            <v>1</v>
          </cell>
        </row>
        <row r="404">
          <cell r="E404" t="str">
            <v>I</v>
          </cell>
          <cell r="F404" t="str">
            <v>Técnica</v>
          </cell>
          <cell r="G404" t="str">
            <v>6 Nivel</v>
          </cell>
          <cell r="I404">
            <v>48.500195694127349</v>
          </cell>
          <cell r="K404">
            <v>1.124853228373921</v>
          </cell>
          <cell r="O404">
            <v>14392908</v>
          </cell>
          <cell r="P404">
            <v>1</v>
          </cell>
        </row>
        <row r="405">
          <cell r="E405" t="str">
            <v>I</v>
          </cell>
          <cell r="F405" t="str">
            <v>Administrativa</v>
          </cell>
          <cell r="G405" t="str">
            <v>6 Nivel</v>
          </cell>
          <cell r="I405">
            <v>28.039921721524607</v>
          </cell>
          <cell r="K405">
            <v>1.0755381598807703</v>
          </cell>
          <cell r="O405">
            <v>14392908</v>
          </cell>
          <cell r="P405">
            <v>1</v>
          </cell>
        </row>
        <row r="406">
          <cell r="E406" t="str">
            <v>I</v>
          </cell>
          <cell r="F406" t="str">
            <v>Administrativa</v>
          </cell>
          <cell r="G406" t="str">
            <v>6 Nivel</v>
          </cell>
          <cell r="I406">
            <v>26.097455968099947</v>
          </cell>
          <cell r="K406">
            <v>1.2782778859081676</v>
          </cell>
          <cell r="O406">
            <v>14392908</v>
          </cell>
          <cell r="P406">
            <v>1</v>
          </cell>
        </row>
        <row r="407">
          <cell r="E407" t="str">
            <v>I</v>
          </cell>
          <cell r="F407" t="str">
            <v>Técnica</v>
          </cell>
          <cell r="G407" t="str">
            <v>6 Nivel</v>
          </cell>
          <cell r="I407">
            <v>54.941291584538305</v>
          </cell>
          <cell r="K407">
            <v>1.1275929544013183</v>
          </cell>
          <cell r="O407">
            <v>14392908</v>
          </cell>
          <cell r="P407">
            <v>1</v>
          </cell>
        </row>
        <row r="408">
          <cell r="E408" t="str">
            <v>I</v>
          </cell>
          <cell r="F408" t="str">
            <v>Técnica</v>
          </cell>
          <cell r="G408" t="str">
            <v>6 Nivel</v>
          </cell>
          <cell r="I408">
            <v>47.470058707825977</v>
          </cell>
          <cell r="K408">
            <v>1.2125244612506334</v>
          </cell>
          <cell r="O408">
            <v>14392908</v>
          </cell>
          <cell r="P408">
            <v>1</v>
          </cell>
        </row>
        <row r="409">
          <cell r="E409" t="str">
            <v>I</v>
          </cell>
          <cell r="F409" t="str">
            <v>Técnica</v>
          </cell>
          <cell r="G409" t="str">
            <v>6 Nivel</v>
          </cell>
          <cell r="I409">
            <v>31.782387474949264</v>
          </cell>
          <cell r="K409">
            <v>1.2043052831684415</v>
          </cell>
          <cell r="O409">
            <v>14392908</v>
          </cell>
          <cell r="P409">
            <v>1</v>
          </cell>
        </row>
        <row r="410">
          <cell r="E410" t="str">
            <v>I</v>
          </cell>
          <cell r="F410" t="str">
            <v>Técnica</v>
          </cell>
          <cell r="G410" t="str">
            <v>6 Nivel</v>
          </cell>
          <cell r="I410">
            <v>30.812524461250632</v>
          </cell>
          <cell r="K410">
            <v>1.3303326804287157</v>
          </cell>
          <cell r="O410">
            <v>14392908</v>
          </cell>
          <cell r="P410">
            <v>1</v>
          </cell>
        </row>
        <row r="411">
          <cell r="E411" t="str">
            <v>I</v>
          </cell>
          <cell r="F411" t="str">
            <v>Técnica</v>
          </cell>
          <cell r="G411" t="str">
            <v>6 Nivel</v>
          </cell>
          <cell r="I411">
            <v>38.598825831113651</v>
          </cell>
          <cell r="K411">
            <v>1.5495107626204965</v>
          </cell>
          <cell r="O411">
            <v>14392908</v>
          </cell>
          <cell r="P411">
            <v>1</v>
          </cell>
        </row>
        <row r="412">
          <cell r="E412" t="str">
            <v>I</v>
          </cell>
          <cell r="F412" t="str">
            <v>Técnica</v>
          </cell>
          <cell r="G412" t="str">
            <v>6 Nivel</v>
          </cell>
          <cell r="I412">
            <v>41.727592954401317</v>
          </cell>
          <cell r="K412">
            <v>1.1659491187848801</v>
          </cell>
          <cell r="O412">
            <v>14392908</v>
          </cell>
          <cell r="P412">
            <v>1</v>
          </cell>
        </row>
        <row r="413">
          <cell r="E413" t="str">
            <v>I</v>
          </cell>
          <cell r="F413" t="str">
            <v>Técnica</v>
          </cell>
          <cell r="G413" t="str">
            <v>6 Nivel</v>
          </cell>
          <cell r="I413">
            <v>41.5495107626205</v>
          </cell>
          <cell r="K413">
            <v>1.1659491187848801</v>
          </cell>
          <cell r="O413">
            <v>14392908</v>
          </cell>
          <cell r="P413">
            <v>1</v>
          </cell>
        </row>
        <row r="414">
          <cell r="E414" t="str">
            <v>I</v>
          </cell>
          <cell r="F414" t="str">
            <v>Técnica</v>
          </cell>
          <cell r="G414" t="str">
            <v>6 Nivel</v>
          </cell>
          <cell r="I414">
            <v>38.867318981798576</v>
          </cell>
          <cell r="K414">
            <v>1.2618395297437841</v>
          </cell>
          <cell r="O414">
            <v>14392908</v>
          </cell>
          <cell r="P414">
            <v>1</v>
          </cell>
        </row>
        <row r="415">
          <cell r="E415" t="str">
            <v>I</v>
          </cell>
          <cell r="F415" t="str">
            <v>Administrativa</v>
          </cell>
          <cell r="G415" t="str">
            <v>6 Nivel</v>
          </cell>
          <cell r="I415">
            <v>31.870058707825976</v>
          </cell>
          <cell r="K415">
            <v>1.6837573379629622</v>
          </cell>
          <cell r="O415">
            <v>14392908</v>
          </cell>
          <cell r="P415">
            <v>1</v>
          </cell>
        </row>
        <row r="416">
          <cell r="E416" t="str">
            <v>I</v>
          </cell>
          <cell r="F416" t="str">
            <v>Técnica</v>
          </cell>
          <cell r="G416" t="str">
            <v>6 Nivel</v>
          </cell>
          <cell r="I416">
            <v>38.985127200976663</v>
          </cell>
          <cell r="K416">
            <v>0.62896281741501692</v>
          </cell>
          <cell r="O416">
            <v>14392908</v>
          </cell>
          <cell r="P416">
            <v>1</v>
          </cell>
        </row>
        <row r="417">
          <cell r="E417" t="str">
            <v>I</v>
          </cell>
          <cell r="F417" t="str">
            <v>Técnica</v>
          </cell>
          <cell r="G417" t="str">
            <v>6 Nivel</v>
          </cell>
          <cell r="I417">
            <v>45.601565557141043</v>
          </cell>
          <cell r="K417">
            <v>0.41526418727803066</v>
          </cell>
          <cell r="O417">
            <v>14303639.406857153</v>
          </cell>
          <cell r="P417">
            <v>1</v>
          </cell>
        </row>
        <row r="418">
          <cell r="E418" t="str">
            <v>I</v>
          </cell>
          <cell r="F418" t="str">
            <v>Técnica</v>
          </cell>
          <cell r="G418" t="str">
            <v>6 Nivel</v>
          </cell>
          <cell r="I418">
            <v>40.724853228373924</v>
          </cell>
          <cell r="K418">
            <v>0.60704500919583892</v>
          </cell>
          <cell r="O418">
            <v>14294507.379428577</v>
          </cell>
          <cell r="P418">
            <v>1</v>
          </cell>
        </row>
        <row r="419">
          <cell r="E419" t="str">
            <v>I</v>
          </cell>
          <cell r="F419" t="str">
            <v>Técnica</v>
          </cell>
          <cell r="G419" t="str">
            <v>6 Nivel</v>
          </cell>
          <cell r="I419">
            <v>43.5440313105657</v>
          </cell>
          <cell r="K419">
            <v>0.66183952974378413</v>
          </cell>
          <cell r="O419">
            <v>14294416.628571421</v>
          </cell>
          <cell r="P419">
            <v>1</v>
          </cell>
        </row>
        <row r="420">
          <cell r="E420" t="str">
            <v>I</v>
          </cell>
          <cell r="F420" t="str">
            <v>Técnica</v>
          </cell>
          <cell r="G420" t="str">
            <v>6 Nivel</v>
          </cell>
          <cell r="I420">
            <v>43.678277885908166</v>
          </cell>
          <cell r="K420">
            <v>0.49197651604515397</v>
          </cell>
          <cell r="O420">
            <v>14294416.628571421</v>
          </cell>
          <cell r="P420">
            <v>1</v>
          </cell>
        </row>
        <row r="421">
          <cell r="E421" t="str">
            <v>I</v>
          </cell>
          <cell r="F421" t="str">
            <v>Técnica</v>
          </cell>
          <cell r="G421" t="str">
            <v>6 Nivel</v>
          </cell>
          <cell r="I421">
            <v>38.850880625634197</v>
          </cell>
          <cell r="K421">
            <v>0.42896281741501696</v>
          </cell>
          <cell r="O421">
            <v>14294416.628571421</v>
          </cell>
          <cell r="P421">
            <v>1</v>
          </cell>
        </row>
        <row r="422">
          <cell r="E422" t="str">
            <v>I</v>
          </cell>
          <cell r="F422" t="str">
            <v>Técnica</v>
          </cell>
          <cell r="G422" t="str">
            <v>6 Nivel</v>
          </cell>
          <cell r="I422">
            <v>30.878277885908169</v>
          </cell>
          <cell r="K422">
            <v>0.51389432426433201</v>
          </cell>
          <cell r="O422">
            <v>14294416.628571421</v>
          </cell>
          <cell r="P422">
            <v>1</v>
          </cell>
        </row>
        <row r="423">
          <cell r="E423" t="str">
            <v>I</v>
          </cell>
          <cell r="F423" t="str">
            <v>Técnica</v>
          </cell>
          <cell r="G423" t="str">
            <v>6 Nivel</v>
          </cell>
          <cell r="I423">
            <v>27.223483365360224</v>
          </cell>
          <cell r="K423">
            <v>1.4043052831684417</v>
          </cell>
          <cell r="O423">
            <v>14294386.37828571</v>
          </cell>
          <cell r="P423">
            <v>1</v>
          </cell>
        </row>
        <row r="424">
          <cell r="E424" t="str">
            <v>I</v>
          </cell>
          <cell r="F424" t="str">
            <v>Técnica</v>
          </cell>
          <cell r="G424" t="str">
            <v>6 Nivel</v>
          </cell>
          <cell r="I424">
            <v>29.201565557141045</v>
          </cell>
          <cell r="K424">
            <v>0.60978473522323617</v>
          </cell>
          <cell r="O424">
            <v>14294386.37828571</v>
          </cell>
          <cell r="P424">
            <v>1</v>
          </cell>
        </row>
        <row r="425">
          <cell r="E425" t="str">
            <v>I</v>
          </cell>
          <cell r="F425" t="str">
            <v>Técnica</v>
          </cell>
          <cell r="G425" t="str">
            <v>6 Nivel</v>
          </cell>
          <cell r="I425">
            <v>50.604305283168443</v>
          </cell>
          <cell r="K425">
            <v>21.374168296867072</v>
          </cell>
          <cell r="O425">
            <v>14294381.039999999</v>
          </cell>
          <cell r="P425">
            <v>1</v>
          </cell>
        </row>
        <row r="426">
          <cell r="E426" t="str">
            <v>I</v>
          </cell>
          <cell r="F426" t="str">
            <v>Técnica</v>
          </cell>
          <cell r="G426" t="str">
            <v>6 Nivel</v>
          </cell>
          <cell r="I426">
            <v>55.933072406456112</v>
          </cell>
          <cell r="K426">
            <v>24.426223091387619</v>
          </cell>
          <cell r="O426">
            <v>14294381.039999999</v>
          </cell>
          <cell r="P426">
            <v>1</v>
          </cell>
        </row>
        <row r="427">
          <cell r="E427" t="str">
            <v>I</v>
          </cell>
          <cell r="F427" t="str">
            <v>Técnica</v>
          </cell>
          <cell r="G427" t="str">
            <v>6 Nivel</v>
          </cell>
          <cell r="I427">
            <v>27.35499021467529</v>
          </cell>
          <cell r="K427">
            <v>2.2289628174150171</v>
          </cell>
          <cell r="O427">
            <v>14294381.039999999</v>
          </cell>
          <cell r="P427">
            <v>1</v>
          </cell>
        </row>
        <row r="428">
          <cell r="E428" t="str">
            <v>I</v>
          </cell>
          <cell r="F428" t="str">
            <v>Técnica</v>
          </cell>
          <cell r="G428" t="str">
            <v>6 Nivel</v>
          </cell>
          <cell r="I428">
            <v>43.656360077688987</v>
          </cell>
          <cell r="K428">
            <v>3.8508806256341952</v>
          </cell>
          <cell r="O428">
            <v>14294381.039999999</v>
          </cell>
          <cell r="P428">
            <v>1</v>
          </cell>
        </row>
        <row r="429">
          <cell r="E429" t="str">
            <v>I</v>
          </cell>
          <cell r="F429" t="str">
            <v>Técnica</v>
          </cell>
          <cell r="G429" t="str">
            <v>6 Nivel</v>
          </cell>
          <cell r="I429">
            <v>26.489236790017756</v>
          </cell>
          <cell r="K429">
            <v>1.2563600776889896</v>
          </cell>
          <cell r="O429">
            <v>14294381.039999999</v>
          </cell>
          <cell r="P429">
            <v>1</v>
          </cell>
        </row>
        <row r="430">
          <cell r="E430" t="str">
            <v>I</v>
          </cell>
          <cell r="F430" t="str">
            <v>Técnica</v>
          </cell>
          <cell r="G430" t="str">
            <v>6 Nivel</v>
          </cell>
          <cell r="I430">
            <v>47.305675146182139</v>
          </cell>
          <cell r="K430">
            <v>0.56594911878487997</v>
          </cell>
          <cell r="O430">
            <v>14294381.039999999</v>
          </cell>
          <cell r="P430">
            <v>1</v>
          </cell>
        </row>
        <row r="431">
          <cell r="E431" t="str">
            <v>I</v>
          </cell>
          <cell r="F431" t="str">
            <v>Técnica</v>
          </cell>
          <cell r="G431" t="str">
            <v>6 Nivel</v>
          </cell>
          <cell r="I431">
            <v>45.393346379058855</v>
          </cell>
          <cell r="K431">
            <v>0.66731898179857863</v>
          </cell>
          <cell r="O431">
            <v>14294381.039999999</v>
          </cell>
          <cell r="P431">
            <v>1</v>
          </cell>
        </row>
        <row r="432">
          <cell r="E432" t="str">
            <v>I</v>
          </cell>
          <cell r="F432" t="str">
            <v>Técnica</v>
          </cell>
          <cell r="G432" t="str">
            <v>6 Nivel</v>
          </cell>
          <cell r="I432">
            <v>25.708414872209538</v>
          </cell>
          <cell r="K432">
            <v>0.39882583111364711</v>
          </cell>
          <cell r="O432">
            <v>14294372.142857132</v>
          </cell>
          <cell r="P432">
            <v>1</v>
          </cell>
        </row>
        <row r="433">
          <cell r="E433" t="str">
            <v>I</v>
          </cell>
          <cell r="F433" t="str">
            <v>Técnica</v>
          </cell>
          <cell r="G433" t="str">
            <v>6 Nivel</v>
          </cell>
          <cell r="I433">
            <v>46.626223091387622</v>
          </cell>
          <cell r="K433">
            <v>1.3960861050862499</v>
          </cell>
          <cell r="O433">
            <v>14294372.142857132</v>
          </cell>
          <cell r="P433">
            <v>1</v>
          </cell>
        </row>
        <row r="434">
          <cell r="E434" t="str">
            <v>I</v>
          </cell>
          <cell r="F434" t="str">
            <v>Técnica</v>
          </cell>
          <cell r="G434" t="str">
            <v>6 Nivel</v>
          </cell>
          <cell r="I434">
            <v>42.691976516045152</v>
          </cell>
          <cell r="K434">
            <v>1.387866927004058</v>
          </cell>
          <cell r="O434">
            <v>14294372.142857132</v>
          </cell>
          <cell r="P434">
            <v>1</v>
          </cell>
        </row>
        <row r="435">
          <cell r="E435" t="str">
            <v>I</v>
          </cell>
          <cell r="F435" t="str">
            <v>Administrativa</v>
          </cell>
          <cell r="G435" t="str">
            <v>6 Nivel</v>
          </cell>
          <cell r="I435">
            <v>42.675538159880773</v>
          </cell>
          <cell r="K435">
            <v>1.5193737763191266</v>
          </cell>
          <cell r="O435">
            <v>13494000.296571422</v>
          </cell>
          <cell r="P435">
            <v>1</v>
          </cell>
        </row>
        <row r="436">
          <cell r="E436" t="str">
            <v>I</v>
          </cell>
          <cell r="F436" t="str">
            <v>Técnica</v>
          </cell>
          <cell r="G436" t="str">
            <v>6 Nivel</v>
          </cell>
          <cell r="I436">
            <v>27.072798433853372</v>
          </cell>
          <cell r="K436">
            <v>1.2536203516615922</v>
          </cell>
          <cell r="O436">
            <v>13286399.703428578</v>
          </cell>
          <cell r="P436">
            <v>1</v>
          </cell>
        </row>
        <row r="437">
          <cell r="E437" t="str">
            <v>I</v>
          </cell>
          <cell r="F437" t="str">
            <v>Técnica</v>
          </cell>
          <cell r="G437" t="str">
            <v>6 Nivel</v>
          </cell>
          <cell r="I437">
            <v>28.111154598236936</v>
          </cell>
          <cell r="K437">
            <v>1.1960861050862499</v>
          </cell>
          <cell r="O437">
            <v>12456000</v>
          </cell>
          <cell r="P437">
            <v>1</v>
          </cell>
        </row>
        <row r="438">
          <cell r="E438" t="str">
            <v>I</v>
          </cell>
          <cell r="F438" t="str">
            <v>Técnica</v>
          </cell>
          <cell r="G438" t="str">
            <v>6 Nivel</v>
          </cell>
          <cell r="I438">
            <v>25.996086105086249</v>
          </cell>
          <cell r="K438">
            <v>0.46457925577118137</v>
          </cell>
          <cell r="O438">
            <v>12456000</v>
          </cell>
          <cell r="P438">
            <v>1</v>
          </cell>
        </row>
        <row r="439">
          <cell r="E439" t="str">
            <v>I</v>
          </cell>
          <cell r="F439" t="str">
            <v>Técnica</v>
          </cell>
          <cell r="G439" t="str">
            <v>6 Nivel</v>
          </cell>
          <cell r="I439">
            <v>45.78512720097666</v>
          </cell>
          <cell r="K439">
            <v>0.93307240645611289</v>
          </cell>
          <cell r="O439">
            <v>12456000</v>
          </cell>
          <cell r="P439">
            <v>1</v>
          </cell>
        </row>
        <row r="440">
          <cell r="E440" t="str">
            <v>I</v>
          </cell>
          <cell r="F440" t="str">
            <v>Técnica</v>
          </cell>
          <cell r="G440" t="str">
            <v>6 Nivel</v>
          </cell>
          <cell r="I440">
            <v>24.771428570839674</v>
          </cell>
          <cell r="K440">
            <v>0.70293542015474297</v>
          </cell>
          <cell r="O440">
            <v>12040799.703428578</v>
          </cell>
          <cell r="P440">
            <v>1</v>
          </cell>
        </row>
        <row r="441">
          <cell r="E441" t="str">
            <v>I</v>
          </cell>
          <cell r="F441" t="str">
            <v>Técnica</v>
          </cell>
          <cell r="G441" t="str">
            <v>6 Nivel</v>
          </cell>
          <cell r="I441">
            <v>21.256360077688988</v>
          </cell>
          <cell r="K441">
            <v>0.83444226946981148</v>
          </cell>
          <cell r="O441">
            <v>11417999.703428578</v>
          </cell>
          <cell r="P441">
            <v>1</v>
          </cell>
        </row>
        <row r="442">
          <cell r="E442" t="str">
            <v>I</v>
          </cell>
          <cell r="F442" t="str">
            <v>Técnica</v>
          </cell>
          <cell r="G442" t="str">
            <v>6 Nivel</v>
          </cell>
          <cell r="I442">
            <v>24.100195694127347</v>
          </cell>
          <cell r="K442">
            <v>1.2618395297437841</v>
          </cell>
          <cell r="O442">
            <v>11417999.703428578</v>
          </cell>
          <cell r="P442">
            <v>1</v>
          </cell>
        </row>
        <row r="443">
          <cell r="E443" t="str">
            <v>I</v>
          </cell>
          <cell r="F443" t="str">
            <v>Técnica</v>
          </cell>
          <cell r="G443" t="str">
            <v>6 Nivel</v>
          </cell>
          <cell r="I443">
            <v>30.316634050291729</v>
          </cell>
          <cell r="K443">
            <v>1.0673189817985786</v>
          </cell>
          <cell r="O443">
            <v>11417999.703428578</v>
          </cell>
          <cell r="P443">
            <v>1</v>
          </cell>
        </row>
        <row r="444">
          <cell r="E444" t="str">
            <v>I</v>
          </cell>
          <cell r="F444" t="str">
            <v>Técnica</v>
          </cell>
          <cell r="G444" t="str">
            <v>6 Nivel</v>
          </cell>
          <cell r="I444">
            <v>29.659099803716387</v>
          </cell>
          <cell r="K444">
            <v>0.72485322837392108</v>
          </cell>
          <cell r="O444">
            <v>11417999.703428578</v>
          </cell>
          <cell r="P444">
            <v>1</v>
          </cell>
        </row>
        <row r="445">
          <cell r="E445" t="str">
            <v>I</v>
          </cell>
          <cell r="F445" t="str">
            <v>Técnica</v>
          </cell>
          <cell r="G445" t="str">
            <v>6 Nivel</v>
          </cell>
          <cell r="I445">
            <v>32.949510762620498</v>
          </cell>
          <cell r="K445">
            <v>0.68649706399035948</v>
          </cell>
          <cell r="O445">
            <v>11417999.703428578</v>
          </cell>
          <cell r="P445">
            <v>1</v>
          </cell>
        </row>
        <row r="446">
          <cell r="E446" t="str">
            <v>I</v>
          </cell>
          <cell r="F446" t="str">
            <v>Técnica</v>
          </cell>
          <cell r="G446" t="str">
            <v>6 Nivel</v>
          </cell>
          <cell r="I446">
            <v>29.302935420154743</v>
          </cell>
          <cell r="K446">
            <v>3.4289628174150169</v>
          </cell>
          <cell r="O446">
            <v>11417999.703428578</v>
          </cell>
          <cell r="P446">
            <v>1</v>
          </cell>
        </row>
        <row r="447">
          <cell r="E447" t="str">
            <v>I</v>
          </cell>
          <cell r="F447" t="str">
            <v>Técnica</v>
          </cell>
          <cell r="G447" t="str">
            <v>6 Nivel</v>
          </cell>
          <cell r="I447">
            <v>27.8454011735794</v>
          </cell>
          <cell r="K447">
            <v>0.58786692700405807</v>
          </cell>
          <cell r="O447">
            <v>11417997.924000001</v>
          </cell>
          <cell r="P447">
            <v>1</v>
          </cell>
        </row>
        <row r="448">
          <cell r="E448" t="str">
            <v>I</v>
          </cell>
          <cell r="F448" t="str">
            <v>Técnica</v>
          </cell>
          <cell r="G448" t="str">
            <v>6 Nivel</v>
          </cell>
          <cell r="I448">
            <v>42.489236790017756</v>
          </cell>
          <cell r="K448">
            <v>1.5467710365930991</v>
          </cell>
          <cell r="O448">
            <v>11002799.406857153</v>
          </cell>
          <cell r="P448">
            <v>1</v>
          </cell>
        </row>
        <row r="449">
          <cell r="E449" t="str">
            <v>I</v>
          </cell>
          <cell r="F449" t="str">
            <v>Administrativa</v>
          </cell>
          <cell r="G449" t="str">
            <v>6 Nivel</v>
          </cell>
          <cell r="I449">
            <v>38.631702543442415</v>
          </cell>
          <cell r="K449">
            <v>11.522113502346524</v>
          </cell>
          <cell r="O449">
            <v>9960000.2845714241</v>
          </cell>
          <cell r="P449">
            <v>1</v>
          </cell>
        </row>
        <row r="450">
          <cell r="E450" t="str">
            <v>I</v>
          </cell>
          <cell r="F450" t="str">
            <v>Administrativa</v>
          </cell>
          <cell r="G450" t="str">
            <v>6 Nivel</v>
          </cell>
          <cell r="I450">
            <v>45.796086105086253</v>
          </cell>
          <cell r="K450">
            <v>17.541291584538303</v>
          </cell>
          <cell r="O450">
            <v>9960000.2845714241</v>
          </cell>
          <cell r="P450">
            <v>1</v>
          </cell>
        </row>
        <row r="451">
          <cell r="E451" t="str">
            <v>I</v>
          </cell>
          <cell r="F451" t="str">
            <v>Administrativa</v>
          </cell>
          <cell r="G451" t="str">
            <v>6 Nivel</v>
          </cell>
          <cell r="I451">
            <v>23.09471624207255</v>
          </cell>
          <cell r="K451">
            <v>1.9275929544013184</v>
          </cell>
          <cell r="O451">
            <v>9960000.2845714241</v>
          </cell>
          <cell r="P451">
            <v>1</v>
          </cell>
        </row>
        <row r="452">
          <cell r="E452" t="str">
            <v>I</v>
          </cell>
          <cell r="F452" t="str">
            <v>Técnica</v>
          </cell>
          <cell r="G452" t="str">
            <v>6 Nivel</v>
          </cell>
          <cell r="I452">
            <v>44.130332680428715</v>
          </cell>
          <cell r="K452">
            <v>1.2947162420725513</v>
          </cell>
          <cell r="O452">
            <v>10379999.406857133</v>
          </cell>
          <cell r="P452">
            <v>1</v>
          </cell>
        </row>
        <row r="453">
          <cell r="E453" t="str">
            <v>I</v>
          </cell>
          <cell r="F453" t="str">
            <v>Técnica</v>
          </cell>
          <cell r="G453" t="str">
            <v>6 Nivel</v>
          </cell>
          <cell r="I453">
            <v>40.949510762620498</v>
          </cell>
          <cell r="K453">
            <v>0.92759295440131828</v>
          </cell>
          <cell r="O453">
            <v>10379999.406857133</v>
          </cell>
          <cell r="P453">
            <v>1</v>
          </cell>
        </row>
        <row r="454">
          <cell r="E454" t="str">
            <v>I</v>
          </cell>
          <cell r="F454" t="str">
            <v>Técnica</v>
          </cell>
          <cell r="G454" t="str">
            <v>6 Nivel</v>
          </cell>
          <cell r="I454">
            <v>29.92759295440132</v>
          </cell>
          <cell r="K454">
            <v>0.92759295440131828</v>
          </cell>
          <cell r="O454">
            <v>9923280</v>
          </cell>
          <cell r="P454">
            <v>1</v>
          </cell>
        </row>
        <row r="455">
          <cell r="E455" t="str">
            <v>I</v>
          </cell>
          <cell r="F455" t="str">
            <v>Técnica</v>
          </cell>
          <cell r="G455" t="str">
            <v>6 Nivel</v>
          </cell>
          <cell r="I455">
            <v>29.733072406456113</v>
          </cell>
          <cell r="K455">
            <v>1.1440313105657018</v>
          </cell>
          <cell r="O455">
            <v>9923280</v>
          </cell>
          <cell r="P455">
            <v>1</v>
          </cell>
        </row>
        <row r="456">
          <cell r="E456" t="str">
            <v>I</v>
          </cell>
          <cell r="F456" t="str">
            <v>Técnica</v>
          </cell>
          <cell r="G456" t="str">
            <v>6 Nivel</v>
          </cell>
          <cell r="I456">
            <v>19.60430528316844</v>
          </cell>
          <cell r="K456">
            <v>1.2399217215246061</v>
          </cell>
          <cell r="O456">
            <v>9923280</v>
          </cell>
          <cell r="P456">
            <v>1</v>
          </cell>
        </row>
        <row r="457">
          <cell r="E457" t="str">
            <v>I</v>
          </cell>
          <cell r="F457" t="str">
            <v>Técnica</v>
          </cell>
          <cell r="G457" t="str">
            <v>6 Nivel</v>
          </cell>
          <cell r="I457">
            <v>19.256360077688988</v>
          </cell>
          <cell r="K457">
            <v>0.76046966673008543</v>
          </cell>
          <cell r="O457">
            <v>9923280</v>
          </cell>
          <cell r="P457">
            <v>1</v>
          </cell>
        </row>
        <row r="458">
          <cell r="E458" t="str">
            <v>I</v>
          </cell>
          <cell r="F458" t="str">
            <v>Técnica</v>
          </cell>
          <cell r="G458" t="str">
            <v>6 Nivel</v>
          </cell>
          <cell r="I458">
            <v>32.623483365360222</v>
          </cell>
          <cell r="K458">
            <v>0.77416829686707178</v>
          </cell>
          <cell r="O458">
            <v>9923280</v>
          </cell>
          <cell r="P458">
            <v>1</v>
          </cell>
        </row>
        <row r="459">
          <cell r="E459" t="str">
            <v>I</v>
          </cell>
          <cell r="F459" t="str">
            <v>Técnica</v>
          </cell>
          <cell r="G459" t="str">
            <v>6 Nivel</v>
          </cell>
          <cell r="I459">
            <v>40.35772994070269</v>
          </cell>
          <cell r="K459">
            <v>0.68101761193556487</v>
          </cell>
          <cell r="O459">
            <v>9923280</v>
          </cell>
          <cell r="P459">
            <v>1</v>
          </cell>
        </row>
        <row r="460">
          <cell r="E460" t="str">
            <v>I</v>
          </cell>
          <cell r="F460" t="str">
            <v>Técnica</v>
          </cell>
          <cell r="G460" t="str">
            <v>6 Nivel</v>
          </cell>
          <cell r="I460">
            <v>35.590606653031458</v>
          </cell>
          <cell r="K460">
            <v>1.0125244612506334</v>
          </cell>
          <cell r="O460">
            <v>9923280</v>
          </cell>
          <cell r="P460">
            <v>1</v>
          </cell>
        </row>
        <row r="461">
          <cell r="E461" t="str">
            <v>I</v>
          </cell>
          <cell r="F461" t="str">
            <v>Técnica</v>
          </cell>
          <cell r="G461" t="str">
            <v>6 Nivel</v>
          </cell>
          <cell r="I461">
            <v>29.626223091387619</v>
          </cell>
          <cell r="K461">
            <v>0.87005870782597583</v>
          </cell>
          <cell r="O461">
            <v>9923280</v>
          </cell>
          <cell r="P461">
            <v>1</v>
          </cell>
        </row>
        <row r="462">
          <cell r="E462" t="str">
            <v>I</v>
          </cell>
          <cell r="F462" t="str">
            <v>Técnica</v>
          </cell>
          <cell r="G462" t="str">
            <v>6 Nivel</v>
          </cell>
          <cell r="I462">
            <v>33.207045009195838</v>
          </cell>
          <cell r="K462">
            <v>1.2344422694698114</v>
          </cell>
          <cell r="O462">
            <v>9923280</v>
          </cell>
          <cell r="P462">
            <v>1</v>
          </cell>
        </row>
        <row r="463">
          <cell r="E463" t="str">
            <v>I</v>
          </cell>
          <cell r="F463" t="str">
            <v>Técnica</v>
          </cell>
          <cell r="G463" t="str">
            <v>6 Nivel</v>
          </cell>
          <cell r="I463">
            <v>55.018003913305428</v>
          </cell>
          <cell r="K463">
            <v>4.3878669270040582</v>
          </cell>
          <cell r="O463">
            <v>9923280</v>
          </cell>
          <cell r="P463">
            <v>1</v>
          </cell>
        </row>
        <row r="464">
          <cell r="E464" t="str">
            <v>I</v>
          </cell>
          <cell r="F464" t="str">
            <v>Técnica</v>
          </cell>
          <cell r="G464" t="str">
            <v>6 Nivel</v>
          </cell>
          <cell r="I464">
            <v>28.511154598236935</v>
          </cell>
          <cell r="K464">
            <v>0.68375733796296212</v>
          </cell>
          <cell r="O464">
            <v>9923280</v>
          </cell>
          <cell r="P464">
            <v>1</v>
          </cell>
        </row>
        <row r="465">
          <cell r="E465" t="str">
            <v>I</v>
          </cell>
          <cell r="F465" t="str">
            <v>Técnica</v>
          </cell>
          <cell r="G465" t="str">
            <v>6 Nivel</v>
          </cell>
          <cell r="I465">
            <v>24.818003913305429</v>
          </cell>
          <cell r="K465">
            <v>1.3193737763191264</v>
          </cell>
          <cell r="O465">
            <v>9923280</v>
          </cell>
          <cell r="P465">
            <v>1</v>
          </cell>
        </row>
        <row r="466">
          <cell r="E466" t="str">
            <v>I</v>
          </cell>
          <cell r="F466" t="str">
            <v>Técnica</v>
          </cell>
          <cell r="G466" t="str">
            <v>6 Nivel</v>
          </cell>
          <cell r="I466">
            <v>45.713894324264331</v>
          </cell>
          <cell r="K466">
            <v>0.64266144755200327</v>
          </cell>
          <cell r="O466">
            <v>9923280</v>
          </cell>
          <cell r="P466">
            <v>1</v>
          </cell>
        </row>
        <row r="467">
          <cell r="E467" t="str">
            <v>I</v>
          </cell>
          <cell r="F467" t="str">
            <v>Técnica</v>
          </cell>
          <cell r="G467" t="str">
            <v>6 Nivel</v>
          </cell>
          <cell r="I467">
            <v>0.74129158453830468</v>
          </cell>
          <cell r="K467">
            <v>0.74129158453830468</v>
          </cell>
          <cell r="O467">
            <v>9923280</v>
          </cell>
          <cell r="P467">
            <v>1</v>
          </cell>
        </row>
        <row r="468">
          <cell r="E468" t="str">
            <v>I</v>
          </cell>
          <cell r="F468" t="str">
            <v>Técnica</v>
          </cell>
          <cell r="G468" t="str">
            <v>6 Nivel</v>
          </cell>
          <cell r="I468">
            <v>42.037181995497207</v>
          </cell>
          <cell r="K468">
            <v>0.72485322837392108</v>
          </cell>
          <cell r="O468">
            <v>9923280</v>
          </cell>
          <cell r="P468">
            <v>1</v>
          </cell>
        </row>
        <row r="469">
          <cell r="E469" t="str">
            <v>I</v>
          </cell>
          <cell r="F469" t="str">
            <v>Técnica</v>
          </cell>
          <cell r="G469" t="str">
            <v>6 Nivel</v>
          </cell>
          <cell r="I469">
            <v>37.505675146182142</v>
          </cell>
          <cell r="K469">
            <v>1.0097847352232361</v>
          </cell>
          <cell r="O469">
            <v>9923280</v>
          </cell>
          <cell r="P469">
            <v>1</v>
          </cell>
        </row>
        <row r="470">
          <cell r="E470" t="str">
            <v>I</v>
          </cell>
          <cell r="F470" t="str">
            <v>Técnica</v>
          </cell>
          <cell r="G470" t="str">
            <v>6 Nivel</v>
          </cell>
          <cell r="I470">
            <v>37.124853228373922</v>
          </cell>
          <cell r="K470">
            <v>0.64266144755200327</v>
          </cell>
          <cell r="O470">
            <v>9923280</v>
          </cell>
          <cell r="P470">
            <v>1</v>
          </cell>
        </row>
        <row r="471">
          <cell r="E471" t="str">
            <v>I</v>
          </cell>
          <cell r="F471" t="str">
            <v>Técnica</v>
          </cell>
          <cell r="G471" t="str">
            <v>6 Nivel</v>
          </cell>
          <cell r="I471">
            <v>36.187866927004059</v>
          </cell>
          <cell r="K471">
            <v>1.1823874749492636</v>
          </cell>
          <cell r="O471">
            <v>9923280</v>
          </cell>
          <cell r="P471">
            <v>1</v>
          </cell>
        </row>
        <row r="472">
          <cell r="E472" t="str">
            <v>I</v>
          </cell>
          <cell r="F472" t="str">
            <v>Técnica</v>
          </cell>
          <cell r="G472" t="str">
            <v>6 Nivel</v>
          </cell>
          <cell r="I472">
            <v>31.267318981798578</v>
          </cell>
          <cell r="K472">
            <v>1.1823874749492636</v>
          </cell>
          <cell r="O472">
            <v>9923280</v>
          </cell>
          <cell r="P472">
            <v>1</v>
          </cell>
        </row>
        <row r="473">
          <cell r="E473" t="str">
            <v>I</v>
          </cell>
          <cell r="F473" t="str">
            <v>Técnica</v>
          </cell>
          <cell r="G473" t="str">
            <v>6 Nivel</v>
          </cell>
          <cell r="I473">
            <v>46.763209392757481</v>
          </cell>
          <cell r="K473">
            <v>15.511154598236935</v>
          </cell>
          <cell r="O473">
            <v>9923280</v>
          </cell>
          <cell r="P473">
            <v>1</v>
          </cell>
        </row>
        <row r="474">
          <cell r="E474" t="str">
            <v>I</v>
          </cell>
          <cell r="F474" t="str">
            <v>Técnica</v>
          </cell>
          <cell r="G474" t="str">
            <v>6 Nivel</v>
          </cell>
          <cell r="I474">
            <v>45.905675146182141</v>
          </cell>
          <cell r="K474">
            <v>0.70567514618214022</v>
          </cell>
          <cell r="O474">
            <v>9923280</v>
          </cell>
          <cell r="P474">
            <v>1</v>
          </cell>
        </row>
        <row r="475">
          <cell r="E475" t="str">
            <v>I</v>
          </cell>
          <cell r="F475" t="str">
            <v>Técnica</v>
          </cell>
          <cell r="G475" t="str">
            <v>6 Nivel</v>
          </cell>
          <cell r="I475">
            <v>41.576908022894472</v>
          </cell>
          <cell r="K475">
            <v>0.64266144755200327</v>
          </cell>
          <cell r="O475">
            <v>9923280</v>
          </cell>
          <cell r="P475">
            <v>1</v>
          </cell>
        </row>
        <row r="476">
          <cell r="E476" t="str">
            <v>I</v>
          </cell>
          <cell r="F476" t="str">
            <v>Técnica</v>
          </cell>
          <cell r="G476" t="str">
            <v>6 Nivel</v>
          </cell>
          <cell r="I476">
            <v>42.960469666730084</v>
          </cell>
          <cell r="K476">
            <v>1.1358121324835102</v>
          </cell>
          <cell r="O476">
            <v>9923280</v>
          </cell>
          <cell r="P476">
            <v>1</v>
          </cell>
        </row>
        <row r="477">
          <cell r="E477" t="str">
            <v>I</v>
          </cell>
          <cell r="F477" t="str">
            <v>Técnica</v>
          </cell>
          <cell r="G477" t="str">
            <v>6 Nivel</v>
          </cell>
          <cell r="I477">
            <v>29.533072406456114</v>
          </cell>
          <cell r="K477">
            <v>0.76320939275748267</v>
          </cell>
          <cell r="O477">
            <v>9923280</v>
          </cell>
          <cell r="P477">
            <v>1</v>
          </cell>
        </row>
        <row r="478">
          <cell r="E478" t="str">
            <v>I</v>
          </cell>
          <cell r="F478" t="str">
            <v>Técnica</v>
          </cell>
          <cell r="G478" t="str">
            <v>6 Nivel</v>
          </cell>
          <cell r="I478">
            <v>28.401565557141044</v>
          </cell>
          <cell r="K478">
            <v>0.79334637905885264</v>
          </cell>
          <cell r="O478">
            <v>9923280</v>
          </cell>
          <cell r="P478">
            <v>1</v>
          </cell>
        </row>
        <row r="479">
          <cell r="E479" t="str">
            <v>I</v>
          </cell>
          <cell r="F479" t="str">
            <v>Técnica</v>
          </cell>
          <cell r="G479" t="str">
            <v>6 Nivel</v>
          </cell>
          <cell r="I479">
            <v>34.171428570839673</v>
          </cell>
          <cell r="K479">
            <v>0.62896281741501692</v>
          </cell>
          <cell r="O479">
            <v>9923280</v>
          </cell>
          <cell r="P479">
            <v>1</v>
          </cell>
        </row>
        <row r="480">
          <cell r="E480" t="str">
            <v>I</v>
          </cell>
          <cell r="F480" t="str">
            <v>Técnica</v>
          </cell>
          <cell r="G480" t="str">
            <v>6 Nivel</v>
          </cell>
          <cell r="I480">
            <v>46.201565557141045</v>
          </cell>
          <cell r="K480">
            <v>1.1275929544013183</v>
          </cell>
          <cell r="O480">
            <v>9923280</v>
          </cell>
          <cell r="P480">
            <v>1</v>
          </cell>
        </row>
        <row r="481">
          <cell r="E481" t="str">
            <v>I</v>
          </cell>
          <cell r="F481" t="str">
            <v>Técnica</v>
          </cell>
          <cell r="G481" t="str">
            <v>6 Nivel</v>
          </cell>
          <cell r="I481">
            <v>43.952250488647891</v>
          </cell>
          <cell r="K481">
            <v>0.68649706399035948</v>
          </cell>
          <cell r="O481">
            <v>9923280</v>
          </cell>
          <cell r="P481">
            <v>1</v>
          </cell>
        </row>
        <row r="482">
          <cell r="E482" t="str">
            <v>I</v>
          </cell>
          <cell r="F482" t="str">
            <v>Técnica</v>
          </cell>
          <cell r="G482" t="str">
            <v>6 Nivel</v>
          </cell>
          <cell r="I482">
            <v>51.239921721524603</v>
          </cell>
          <cell r="K482">
            <v>1.1604696667300856</v>
          </cell>
          <cell r="O482">
            <v>9923280</v>
          </cell>
          <cell r="P482">
            <v>1</v>
          </cell>
        </row>
        <row r="483">
          <cell r="E483" t="str">
            <v>I</v>
          </cell>
          <cell r="F483" t="str">
            <v>Técnica</v>
          </cell>
          <cell r="G483" t="str">
            <v>6 Nivel</v>
          </cell>
          <cell r="I483">
            <v>30.820743639332825</v>
          </cell>
          <cell r="K483">
            <v>0.75772994070268818</v>
          </cell>
          <cell r="O483">
            <v>9923280</v>
          </cell>
          <cell r="P483">
            <v>1</v>
          </cell>
        </row>
        <row r="484">
          <cell r="E484" t="str">
            <v>I</v>
          </cell>
          <cell r="F484" t="str">
            <v>Técnica</v>
          </cell>
          <cell r="G484" t="str">
            <v>6 Nivel</v>
          </cell>
          <cell r="I484">
            <v>50.634442269469808</v>
          </cell>
          <cell r="K484">
            <v>0.74129158453830468</v>
          </cell>
          <cell r="O484">
            <v>9923280</v>
          </cell>
          <cell r="P484">
            <v>1</v>
          </cell>
        </row>
        <row r="485">
          <cell r="E485" t="str">
            <v>I</v>
          </cell>
          <cell r="F485" t="str">
            <v>Técnica</v>
          </cell>
          <cell r="G485" t="str">
            <v>6 Nivel</v>
          </cell>
          <cell r="I485">
            <v>49.302935420154746</v>
          </cell>
          <cell r="K485">
            <v>1.0645792557711813</v>
          </cell>
          <cell r="O485">
            <v>9923280</v>
          </cell>
          <cell r="P485">
            <v>1</v>
          </cell>
        </row>
        <row r="486">
          <cell r="E486" t="str">
            <v>I</v>
          </cell>
          <cell r="F486" t="str">
            <v>Técnica</v>
          </cell>
          <cell r="G486" t="str">
            <v>6 Nivel</v>
          </cell>
          <cell r="I486">
            <v>63.431702543442412</v>
          </cell>
          <cell r="K486">
            <v>0.96320939275748274</v>
          </cell>
          <cell r="O486">
            <v>9923280</v>
          </cell>
          <cell r="P486">
            <v>1</v>
          </cell>
        </row>
        <row r="487">
          <cell r="E487" t="str">
            <v>I</v>
          </cell>
          <cell r="F487" t="str">
            <v>Técnica</v>
          </cell>
          <cell r="G487" t="str">
            <v>6 Nivel</v>
          </cell>
          <cell r="I487">
            <v>57.776908022894467</v>
          </cell>
          <cell r="K487">
            <v>0.72211350234652383</v>
          </cell>
          <cell r="O487">
            <v>9923280</v>
          </cell>
          <cell r="P487">
            <v>1</v>
          </cell>
        </row>
        <row r="488">
          <cell r="E488" t="str">
            <v>I</v>
          </cell>
          <cell r="F488" t="str">
            <v>Técnica</v>
          </cell>
          <cell r="G488" t="str">
            <v>6 Nivel</v>
          </cell>
          <cell r="I488">
            <v>25.996086105086249</v>
          </cell>
          <cell r="K488">
            <v>0.64266144755200327</v>
          </cell>
          <cell r="O488">
            <v>9923280</v>
          </cell>
          <cell r="P488">
            <v>1</v>
          </cell>
        </row>
        <row r="489">
          <cell r="E489" t="str">
            <v>I</v>
          </cell>
          <cell r="F489" t="str">
            <v>Técnica</v>
          </cell>
          <cell r="G489" t="str">
            <v>6 Nivel</v>
          </cell>
          <cell r="I489">
            <v>59.661839529743787</v>
          </cell>
          <cell r="K489">
            <v>15.319373776319127</v>
          </cell>
          <cell r="O489">
            <v>9923280</v>
          </cell>
          <cell r="P489">
            <v>1</v>
          </cell>
        </row>
        <row r="490">
          <cell r="E490" t="str">
            <v>I</v>
          </cell>
          <cell r="F490" t="str">
            <v>Técnica</v>
          </cell>
          <cell r="G490" t="str">
            <v>6 Nivel</v>
          </cell>
          <cell r="I490">
            <v>66.47279843385337</v>
          </cell>
          <cell r="K490">
            <v>1.376908022894469</v>
          </cell>
          <cell r="O490">
            <v>9923280</v>
          </cell>
          <cell r="P490">
            <v>1</v>
          </cell>
        </row>
        <row r="491">
          <cell r="E491" t="str">
            <v>I</v>
          </cell>
          <cell r="F491" t="str">
            <v>Técnica</v>
          </cell>
          <cell r="G491" t="str">
            <v>6 Nivel</v>
          </cell>
          <cell r="I491">
            <v>23.09471624207255</v>
          </cell>
          <cell r="K491">
            <v>0.74403131056570193</v>
          </cell>
          <cell r="O491">
            <v>9923280</v>
          </cell>
          <cell r="P491">
            <v>1</v>
          </cell>
        </row>
        <row r="492">
          <cell r="E492" t="str">
            <v>I</v>
          </cell>
          <cell r="F492" t="str">
            <v>Técnica</v>
          </cell>
          <cell r="G492" t="str">
            <v>6 Nivel</v>
          </cell>
          <cell r="I492">
            <v>57.242661447552003</v>
          </cell>
          <cell r="K492">
            <v>1.1412915845383047</v>
          </cell>
          <cell r="O492">
            <v>9923280</v>
          </cell>
          <cell r="P492">
            <v>1</v>
          </cell>
        </row>
        <row r="493">
          <cell r="E493" t="str">
            <v>I</v>
          </cell>
          <cell r="F493" t="str">
            <v>Técnica</v>
          </cell>
          <cell r="G493" t="str">
            <v>6 Nivel</v>
          </cell>
          <cell r="I493">
            <v>48.289236790017753</v>
          </cell>
          <cell r="K493">
            <v>1.1275929544013183</v>
          </cell>
          <cell r="O493">
            <v>9923280</v>
          </cell>
          <cell r="P493">
            <v>1</v>
          </cell>
        </row>
        <row r="494">
          <cell r="E494" t="str">
            <v>I</v>
          </cell>
          <cell r="F494" t="str">
            <v>Técnica</v>
          </cell>
          <cell r="G494" t="str">
            <v>6 Nivel</v>
          </cell>
          <cell r="I494">
            <v>38.245401173579403</v>
          </cell>
          <cell r="K494">
            <v>1.1632093927574827</v>
          </cell>
          <cell r="O494">
            <v>9923280</v>
          </cell>
          <cell r="P494">
            <v>1</v>
          </cell>
        </row>
        <row r="495">
          <cell r="E495" t="str">
            <v>I</v>
          </cell>
          <cell r="F495" t="str">
            <v>Técnica</v>
          </cell>
          <cell r="G495" t="str">
            <v>6 Nivel</v>
          </cell>
          <cell r="I495">
            <v>42.075538159880772</v>
          </cell>
          <cell r="K495">
            <v>0.91663405029172929</v>
          </cell>
          <cell r="O495">
            <v>9923280</v>
          </cell>
          <cell r="P495">
            <v>1</v>
          </cell>
        </row>
        <row r="496">
          <cell r="E496" t="str">
            <v>I</v>
          </cell>
          <cell r="F496" t="str">
            <v>Técnica</v>
          </cell>
          <cell r="G496" t="str">
            <v>6 Nivel</v>
          </cell>
          <cell r="I496">
            <v>43.850880625634197</v>
          </cell>
          <cell r="K496">
            <v>0.91115459823693479</v>
          </cell>
          <cell r="O496">
            <v>9923280</v>
          </cell>
          <cell r="P496">
            <v>1</v>
          </cell>
        </row>
        <row r="497">
          <cell r="E497" t="str">
            <v>I</v>
          </cell>
          <cell r="F497" t="str">
            <v>Técnica</v>
          </cell>
          <cell r="G497" t="str">
            <v>6 Nivel</v>
          </cell>
          <cell r="I497">
            <v>35.560469666730086</v>
          </cell>
          <cell r="K497">
            <v>4.6755381598807704</v>
          </cell>
          <cell r="O497">
            <v>9923280</v>
          </cell>
          <cell r="P497">
            <v>1</v>
          </cell>
        </row>
        <row r="498">
          <cell r="E498" t="str">
            <v>I</v>
          </cell>
          <cell r="F498" t="str">
            <v>Técnica</v>
          </cell>
          <cell r="G498" t="str">
            <v>6 Nivel</v>
          </cell>
          <cell r="I498">
            <v>54.007045009195842</v>
          </cell>
          <cell r="K498">
            <v>2.3358121324835102</v>
          </cell>
          <cell r="O498">
            <v>9923280</v>
          </cell>
          <cell r="P498">
            <v>1</v>
          </cell>
        </row>
        <row r="499">
          <cell r="E499" t="str">
            <v>I</v>
          </cell>
          <cell r="F499" t="str">
            <v>Técnica</v>
          </cell>
          <cell r="G499" t="str">
            <v>6 Nivel</v>
          </cell>
          <cell r="I499">
            <v>41.631702543442415</v>
          </cell>
          <cell r="K499">
            <v>1.3522504886478937</v>
          </cell>
          <cell r="O499">
            <v>9923280</v>
          </cell>
          <cell r="P499">
            <v>1</v>
          </cell>
        </row>
        <row r="500">
          <cell r="E500" t="str">
            <v>I</v>
          </cell>
          <cell r="F500" t="str">
            <v>Técnica</v>
          </cell>
          <cell r="G500" t="str">
            <v>6 Nivel</v>
          </cell>
          <cell r="I500">
            <v>55.576908022894472</v>
          </cell>
          <cell r="K500">
            <v>0.91663405029172929</v>
          </cell>
          <cell r="O500">
            <v>9923280</v>
          </cell>
          <cell r="P500">
            <v>1</v>
          </cell>
        </row>
        <row r="501">
          <cell r="E501" t="str">
            <v>I</v>
          </cell>
          <cell r="F501" t="str">
            <v>Técnica</v>
          </cell>
          <cell r="G501" t="str">
            <v>6 Nivel</v>
          </cell>
          <cell r="I501">
            <v>53.557729940702686</v>
          </cell>
          <cell r="K501">
            <v>1.1604696667300856</v>
          </cell>
          <cell r="O501">
            <v>9923280</v>
          </cell>
          <cell r="P501">
            <v>1</v>
          </cell>
        </row>
        <row r="502">
          <cell r="E502" t="str">
            <v>I</v>
          </cell>
          <cell r="F502" t="str">
            <v>Técnica</v>
          </cell>
          <cell r="G502" t="str">
            <v>6 Nivel</v>
          </cell>
          <cell r="I502">
            <v>53.291976516045153</v>
          </cell>
          <cell r="K502">
            <v>0.96868884481227724</v>
          </cell>
          <cell r="O502">
            <v>9923280</v>
          </cell>
          <cell r="P502">
            <v>1</v>
          </cell>
        </row>
        <row r="503">
          <cell r="E503" t="str">
            <v>I</v>
          </cell>
          <cell r="F503" t="str">
            <v>Técnica</v>
          </cell>
          <cell r="G503" t="str">
            <v>6 Nivel</v>
          </cell>
          <cell r="I503">
            <v>30.66731898179858</v>
          </cell>
          <cell r="K503">
            <v>0.97964774892186623</v>
          </cell>
          <cell r="O503">
            <v>9923280</v>
          </cell>
          <cell r="P503">
            <v>1</v>
          </cell>
        </row>
        <row r="504">
          <cell r="E504" t="str">
            <v>I</v>
          </cell>
          <cell r="F504" t="str">
            <v>Técnica</v>
          </cell>
          <cell r="G504" t="str">
            <v>6 Nivel</v>
          </cell>
          <cell r="I504">
            <v>23.431702543442416</v>
          </cell>
          <cell r="K504">
            <v>0.64266144755200327</v>
          </cell>
          <cell r="O504">
            <v>9923280</v>
          </cell>
          <cell r="P504">
            <v>1</v>
          </cell>
        </row>
        <row r="505">
          <cell r="E505" t="str">
            <v>I</v>
          </cell>
          <cell r="F505" t="str">
            <v>Técnica</v>
          </cell>
          <cell r="G505" t="str">
            <v>6 Nivel</v>
          </cell>
          <cell r="I505">
            <v>44.434442269469812</v>
          </cell>
          <cell r="K505">
            <v>0.66457925577118138</v>
          </cell>
          <cell r="O505">
            <v>9923280</v>
          </cell>
          <cell r="P505">
            <v>1</v>
          </cell>
        </row>
        <row r="506">
          <cell r="E506" t="str">
            <v>I</v>
          </cell>
          <cell r="F506" t="str">
            <v>Técnica</v>
          </cell>
          <cell r="G506" t="str">
            <v>6 Nivel</v>
          </cell>
          <cell r="I506">
            <v>39.248140899606796</v>
          </cell>
          <cell r="K506">
            <v>0.64540117357940052</v>
          </cell>
          <cell r="O506">
            <v>9923280</v>
          </cell>
          <cell r="P506">
            <v>1</v>
          </cell>
        </row>
        <row r="507">
          <cell r="E507" t="str">
            <v>I</v>
          </cell>
          <cell r="F507" t="str">
            <v>Técnica</v>
          </cell>
          <cell r="G507" t="str">
            <v>6 Nivel</v>
          </cell>
          <cell r="I507">
            <v>38.530332680428714</v>
          </cell>
          <cell r="K507">
            <v>0.89745596809994843</v>
          </cell>
          <cell r="O507">
            <v>9923280</v>
          </cell>
          <cell r="P507">
            <v>1</v>
          </cell>
        </row>
        <row r="508">
          <cell r="E508" t="str">
            <v>I</v>
          </cell>
          <cell r="F508" t="str">
            <v>Técnica</v>
          </cell>
          <cell r="G508" t="str">
            <v>6 Nivel</v>
          </cell>
          <cell r="I508">
            <v>41.675538159880773</v>
          </cell>
          <cell r="K508">
            <v>0.76046966673008543</v>
          </cell>
          <cell r="O508">
            <v>9923280</v>
          </cell>
          <cell r="P508">
            <v>1</v>
          </cell>
        </row>
        <row r="509">
          <cell r="E509" t="str">
            <v>I</v>
          </cell>
          <cell r="F509" t="str">
            <v>Técnica</v>
          </cell>
          <cell r="G509" t="str">
            <v>6 Nivel</v>
          </cell>
          <cell r="I509">
            <v>30.886497063990358</v>
          </cell>
          <cell r="K509">
            <v>1.1604696667300856</v>
          </cell>
          <cell r="O509">
            <v>9923280</v>
          </cell>
          <cell r="P509">
            <v>1</v>
          </cell>
        </row>
        <row r="510">
          <cell r="E510" t="str">
            <v>I</v>
          </cell>
          <cell r="F510" t="str">
            <v>Técnica</v>
          </cell>
          <cell r="G510" t="str">
            <v>6 Nivel</v>
          </cell>
          <cell r="I510">
            <v>30.639921721524605</v>
          </cell>
          <cell r="K510">
            <v>0.47553815988077042</v>
          </cell>
          <cell r="O510">
            <v>9923280</v>
          </cell>
          <cell r="P510">
            <v>1</v>
          </cell>
        </row>
        <row r="511">
          <cell r="E511" t="str">
            <v>I</v>
          </cell>
          <cell r="F511" t="str">
            <v>Técnica</v>
          </cell>
          <cell r="G511" t="str">
            <v>6 Nivel</v>
          </cell>
          <cell r="I511">
            <v>43.820743639332825</v>
          </cell>
          <cell r="K511">
            <v>1.124853228373921</v>
          </cell>
          <cell r="O511">
            <v>9923280</v>
          </cell>
          <cell r="P511">
            <v>1</v>
          </cell>
        </row>
        <row r="512">
          <cell r="E512" t="str">
            <v>I</v>
          </cell>
          <cell r="F512" t="str">
            <v>Técnica</v>
          </cell>
          <cell r="G512" t="str">
            <v>6 Nivel</v>
          </cell>
          <cell r="I512">
            <v>43.020743639332828</v>
          </cell>
          <cell r="K512">
            <v>0.96320939275748274</v>
          </cell>
          <cell r="O512">
            <v>9923280</v>
          </cell>
          <cell r="P512">
            <v>1</v>
          </cell>
        </row>
        <row r="513">
          <cell r="E513" t="str">
            <v>I</v>
          </cell>
          <cell r="F513" t="str">
            <v>Técnica</v>
          </cell>
          <cell r="G513" t="str">
            <v>6 Nivel</v>
          </cell>
          <cell r="I513">
            <v>25.538551858510907</v>
          </cell>
          <cell r="K513">
            <v>1.36594911878488</v>
          </cell>
          <cell r="O513">
            <v>9923280</v>
          </cell>
          <cell r="P513">
            <v>1</v>
          </cell>
        </row>
        <row r="514">
          <cell r="E514" t="str">
            <v>I</v>
          </cell>
          <cell r="F514" t="str">
            <v>Técnica</v>
          </cell>
          <cell r="G514" t="str">
            <v>6 Nivel</v>
          </cell>
          <cell r="I514">
            <v>27.404305283168441</v>
          </cell>
          <cell r="K514">
            <v>3.2563600776889894</v>
          </cell>
          <cell r="O514">
            <v>9923280</v>
          </cell>
          <cell r="P514">
            <v>1</v>
          </cell>
        </row>
        <row r="515">
          <cell r="E515" t="str">
            <v>I</v>
          </cell>
          <cell r="F515" t="str">
            <v>Técnica</v>
          </cell>
          <cell r="G515" t="str">
            <v>6 Nivel</v>
          </cell>
          <cell r="I515">
            <v>26.116634050291729</v>
          </cell>
          <cell r="K515">
            <v>1.1001956941273456</v>
          </cell>
          <cell r="O515">
            <v>9923280</v>
          </cell>
          <cell r="P515">
            <v>1</v>
          </cell>
        </row>
        <row r="516">
          <cell r="E516" t="str">
            <v>I</v>
          </cell>
          <cell r="F516" t="str">
            <v>Técnica</v>
          </cell>
          <cell r="G516" t="str">
            <v>6 Nivel</v>
          </cell>
          <cell r="I516">
            <v>24.73581213248351</v>
          </cell>
          <cell r="K516">
            <v>0.70567514618214022</v>
          </cell>
          <cell r="O516">
            <v>9923280</v>
          </cell>
          <cell r="P516">
            <v>1</v>
          </cell>
        </row>
        <row r="517">
          <cell r="E517" t="str">
            <v>I</v>
          </cell>
          <cell r="F517" t="str">
            <v>Técnica</v>
          </cell>
          <cell r="G517" t="str">
            <v>6 Nivel</v>
          </cell>
          <cell r="I517">
            <v>24.60704500919584</v>
          </cell>
          <cell r="K517">
            <v>1.36594911878488</v>
          </cell>
          <cell r="O517">
            <v>9923280</v>
          </cell>
          <cell r="P517">
            <v>1</v>
          </cell>
        </row>
        <row r="518">
          <cell r="E518" t="str">
            <v>I</v>
          </cell>
          <cell r="F518" t="str">
            <v>Técnica</v>
          </cell>
          <cell r="G518" t="str">
            <v>6 Nivel</v>
          </cell>
          <cell r="I518">
            <v>32.990606653031456</v>
          </cell>
          <cell r="K518">
            <v>0.50567514618214027</v>
          </cell>
          <cell r="O518">
            <v>9923280</v>
          </cell>
          <cell r="P518">
            <v>1</v>
          </cell>
        </row>
        <row r="519">
          <cell r="E519" t="str">
            <v>I</v>
          </cell>
          <cell r="F519" t="str">
            <v>Técnica</v>
          </cell>
          <cell r="G519" t="str">
            <v>6 Nivel</v>
          </cell>
          <cell r="I519">
            <v>27.593346379058854</v>
          </cell>
          <cell r="K519">
            <v>0.50841487220953752</v>
          </cell>
          <cell r="O519">
            <v>9923280</v>
          </cell>
          <cell r="P519">
            <v>1</v>
          </cell>
        </row>
        <row r="520">
          <cell r="E520" t="str">
            <v>I</v>
          </cell>
          <cell r="F520" t="str">
            <v>Técnica</v>
          </cell>
          <cell r="G520" t="str">
            <v>6 Nivel</v>
          </cell>
          <cell r="I520">
            <v>45.470058707825977</v>
          </cell>
          <cell r="K520">
            <v>1.2180039133054279</v>
          </cell>
          <cell r="O520">
            <v>9923280</v>
          </cell>
          <cell r="P520">
            <v>1</v>
          </cell>
        </row>
        <row r="521">
          <cell r="E521" t="str">
            <v>I</v>
          </cell>
          <cell r="F521" t="str">
            <v>Técnica</v>
          </cell>
          <cell r="G521" t="str">
            <v>6 Nivel</v>
          </cell>
          <cell r="I521">
            <v>44.179647748921866</v>
          </cell>
          <cell r="K521">
            <v>1.2180039133054279</v>
          </cell>
          <cell r="O521">
            <v>9923280</v>
          </cell>
          <cell r="P521">
            <v>1</v>
          </cell>
        </row>
        <row r="522">
          <cell r="E522" t="str">
            <v>I</v>
          </cell>
          <cell r="F522" t="str">
            <v>Técnica</v>
          </cell>
          <cell r="G522" t="str">
            <v>6 Nivel</v>
          </cell>
          <cell r="I522">
            <v>44.012524461250635</v>
          </cell>
          <cell r="K522">
            <v>0.91663405029172929</v>
          </cell>
          <cell r="O522">
            <v>9923280</v>
          </cell>
          <cell r="P522">
            <v>1</v>
          </cell>
        </row>
        <row r="523">
          <cell r="E523" t="str">
            <v>I</v>
          </cell>
          <cell r="F523" t="str">
            <v>Técnica</v>
          </cell>
          <cell r="G523" t="str">
            <v>6 Nivel</v>
          </cell>
          <cell r="I523">
            <v>44.415264187278034</v>
          </cell>
          <cell r="K523">
            <v>1.2015655571410444</v>
          </cell>
          <cell r="O523">
            <v>9923280</v>
          </cell>
          <cell r="P523">
            <v>1</v>
          </cell>
        </row>
        <row r="524">
          <cell r="E524" t="str">
            <v>I</v>
          </cell>
          <cell r="F524" t="str">
            <v>Técnica</v>
          </cell>
          <cell r="G524" t="str">
            <v>6 Nivel</v>
          </cell>
          <cell r="I524">
            <v>1.4070450091958389</v>
          </cell>
          <cell r="K524">
            <v>0.62896281741501692</v>
          </cell>
          <cell r="O524">
            <v>9923280</v>
          </cell>
          <cell r="P524">
            <v>1</v>
          </cell>
        </row>
        <row r="525">
          <cell r="E525" t="str">
            <v>I</v>
          </cell>
          <cell r="F525" t="str">
            <v>Técnica</v>
          </cell>
          <cell r="G525" t="str">
            <v>6 Nivel</v>
          </cell>
          <cell r="I525">
            <v>41.66731898179858</v>
          </cell>
          <cell r="K525">
            <v>0.49471624207255122</v>
          </cell>
          <cell r="O525">
            <v>9923280</v>
          </cell>
          <cell r="P525">
            <v>1</v>
          </cell>
        </row>
        <row r="526">
          <cell r="E526" t="str">
            <v>I</v>
          </cell>
          <cell r="F526" t="str">
            <v>Técnica</v>
          </cell>
          <cell r="G526" t="str">
            <v>6 Nivel</v>
          </cell>
          <cell r="I526">
            <v>40.390606653031455</v>
          </cell>
          <cell r="K526">
            <v>1.1193737763191265</v>
          </cell>
          <cell r="O526">
            <v>9923280</v>
          </cell>
          <cell r="P526">
            <v>1</v>
          </cell>
        </row>
        <row r="527">
          <cell r="E527" t="str">
            <v>I</v>
          </cell>
          <cell r="F527" t="str">
            <v>Técnica</v>
          </cell>
          <cell r="G527" t="str">
            <v>6 Nivel</v>
          </cell>
          <cell r="I527">
            <v>39.607045009195836</v>
          </cell>
          <cell r="K527">
            <v>0.62622309138761967</v>
          </cell>
          <cell r="O527">
            <v>9923280</v>
          </cell>
          <cell r="P527">
            <v>1</v>
          </cell>
        </row>
        <row r="528">
          <cell r="E528" t="str">
            <v>I</v>
          </cell>
          <cell r="F528" t="str">
            <v>Técnica</v>
          </cell>
          <cell r="G528" t="str">
            <v>6 Nivel</v>
          </cell>
          <cell r="I528">
            <v>41.198825831113645</v>
          </cell>
          <cell r="K528">
            <v>0.74403131056570193</v>
          </cell>
          <cell r="O528">
            <v>9923280</v>
          </cell>
          <cell r="P528">
            <v>1</v>
          </cell>
        </row>
        <row r="529">
          <cell r="E529" t="str">
            <v>I</v>
          </cell>
          <cell r="F529" t="str">
            <v>Técnica</v>
          </cell>
          <cell r="G529" t="str">
            <v>6 Nivel</v>
          </cell>
          <cell r="I529">
            <v>32.270058707825974</v>
          </cell>
          <cell r="K529">
            <v>1.2015655571410444</v>
          </cell>
          <cell r="O529">
            <v>9923280</v>
          </cell>
          <cell r="P529">
            <v>1</v>
          </cell>
        </row>
        <row r="530">
          <cell r="E530" t="str">
            <v>I</v>
          </cell>
          <cell r="F530" t="str">
            <v>Técnica</v>
          </cell>
          <cell r="G530" t="str">
            <v>6 Nivel</v>
          </cell>
          <cell r="I530">
            <v>28.565949118784879</v>
          </cell>
          <cell r="K530">
            <v>0.93033268042871564</v>
          </cell>
          <cell r="O530">
            <v>9923280</v>
          </cell>
          <cell r="P530">
            <v>1</v>
          </cell>
        </row>
        <row r="531">
          <cell r="E531" t="str">
            <v>I</v>
          </cell>
          <cell r="F531" t="str">
            <v>Técnica</v>
          </cell>
          <cell r="G531" t="str">
            <v>6 Nivel</v>
          </cell>
          <cell r="I531">
            <v>44.505675146182142</v>
          </cell>
          <cell r="K531">
            <v>1.2426614475520033</v>
          </cell>
          <cell r="O531">
            <v>9923280</v>
          </cell>
          <cell r="P531">
            <v>1</v>
          </cell>
        </row>
        <row r="532">
          <cell r="E532" t="str">
            <v>I</v>
          </cell>
          <cell r="F532" t="str">
            <v>Técnica</v>
          </cell>
          <cell r="G532" t="str">
            <v>6 Nivel</v>
          </cell>
          <cell r="I532">
            <v>2.4180039133054279</v>
          </cell>
          <cell r="K532">
            <v>1.1659491187848801</v>
          </cell>
          <cell r="O532">
            <v>9923280</v>
          </cell>
          <cell r="P532">
            <v>1</v>
          </cell>
        </row>
        <row r="533">
          <cell r="E533" t="str">
            <v>I</v>
          </cell>
          <cell r="F533" t="str">
            <v>Técnica</v>
          </cell>
          <cell r="G533" t="str">
            <v>6 Nivel</v>
          </cell>
          <cell r="I533">
            <v>33.642661447552001</v>
          </cell>
          <cell r="K533">
            <v>1.5467710365930991</v>
          </cell>
          <cell r="O533">
            <v>9923280</v>
          </cell>
          <cell r="P533">
            <v>1</v>
          </cell>
        </row>
        <row r="534">
          <cell r="E534" t="str">
            <v>I</v>
          </cell>
          <cell r="F534" t="str">
            <v>Técnica</v>
          </cell>
          <cell r="G534" t="str">
            <v>6 Nivel</v>
          </cell>
          <cell r="I534">
            <v>2.4070450091958389</v>
          </cell>
          <cell r="K534">
            <v>1.2426614475520033</v>
          </cell>
          <cell r="O534">
            <v>9923280</v>
          </cell>
          <cell r="P534">
            <v>1</v>
          </cell>
        </row>
        <row r="535">
          <cell r="E535" t="str">
            <v>I</v>
          </cell>
          <cell r="F535" t="str">
            <v>Técnica</v>
          </cell>
          <cell r="G535" t="str">
            <v>6 Nivel</v>
          </cell>
          <cell r="I535">
            <v>41.439921721524605</v>
          </cell>
          <cell r="K535">
            <v>1.2043052831684415</v>
          </cell>
          <cell r="O535">
            <v>9923280</v>
          </cell>
          <cell r="P535">
            <v>1</v>
          </cell>
        </row>
        <row r="536">
          <cell r="E536" t="str">
            <v>I</v>
          </cell>
          <cell r="F536" t="str">
            <v>Técnica</v>
          </cell>
          <cell r="G536" t="str">
            <v>6 Nivel</v>
          </cell>
          <cell r="I536">
            <v>34.064579255771179</v>
          </cell>
          <cell r="K536">
            <v>1.2426614475520033</v>
          </cell>
          <cell r="O536">
            <v>9923280</v>
          </cell>
          <cell r="P536">
            <v>1</v>
          </cell>
        </row>
        <row r="537">
          <cell r="E537" t="str">
            <v>I</v>
          </cell>
          <cell r="F537" t="str">
            <v>Técnica</v>
          </cell>
          <cell r="G537" t="str">
            <v>6 Nivel</v>
          </cell>
          <cell r="I537">
            <v>34.960469666730084</v>
          </cell>
          <cell r="K537">
            <v>0.60156555714104432</v>
          </cell>
          <cell r="O537">
            <v>9923280</v>
          </cell>
          <cell r="P537">
            <v>1</v>
          </cell>
        </row>
        <row r="538">
          <cell r="E538" t="str">
            <v>I</v>
          </cell>
          <cell r="F538" t="str">
            <v>Técnica</v>
          </cell>
          <cell r="G538" t="str">
            <v>6 Nivel</v>
          </cell>
          <cell r="I538">
            <v>26.494716242072553</v>
          </cell>
          <cell r="K538">
            <v>1.3001956941273458</v>
          </cell>
          <cell r="O538">
            <v>9923280</v>
          </cell>
          <cell r="P538">
            <v>1</v>
          </cell>
        </row>
        <row r="539">
          <cell r="E539" t="str">
            <v>I</v>
          </cell>
          <cell r="F539" t="str">
            <v>Técnica</v>
          </cell>
          <cell r="G539" t="str">
            <v>6 Nivel</v>
          </cell>
          <cell r="I539">
            <v>24.111154598236936</v>
          </cell>
          <cell r="K539">
            <v>1.2618395297437841</v>
          </cell>
          <cell r="O539">
            <v>9923280</v>
          </cell>
          <cell r="P539">
            <v>1</v>
          </cell>
        </row>
        <row r="540">
          <cell r="E540" t="str">
            <v>I</v>
          </cell>
          <cell r="F540" t="str">
            <v>Técnica</v>
          </cell>
          <cell r="G540" t="str">
            <v>6 Nivel</v>
          </cell>
          <cell r="I540">
            <v>36.881017611935562</v>
          </cell>
          <cell r="K540">
            <v>0.85088062563419509</v>
          </cell>
          <cell r="O540">
            <v>9923280</v>
          </cell>
          <cell r="P540">
            <v>1</v>
          </cell>
        </row>
        <row r="541">
          <cell r="E541" t="str">
            <v>I</v>
          </cell>
          <cell r="F541" t="str">
            <v>Técnica</v>
          </cell>
          <cell r="G541" t="str">
            <v>6 Nivel</v>
          </cell>
          <cell r="I541">
            <v>38.401565557141048</v>
          </cell>
          <cell r="K541">
            <v>1.2043052831684415</v>
          </cell>
          <cell r="O541">
            <v>9923280</v>
          </cell>
          <cell r="P541">
            <v>1</v>
          </cell>
        </row>
        <row r="542">
          <cell r="E542" t="str">
            <v>I</v>
          </cell>
          <cell r="F542" t="str">
            <v>Técnica</v>
          </cell>
          <cell r="G542" t="str">
            <v>6 Nivel</v>
          </cell>
          <cell r="I542">
            <v>31.891976516045155</v>
          </cell>
          <cell r="K542">
            <v>1.1659491187848801</v>
          </cell>
          <cell r="O542">
            <v>9923280</v>
          </cell>
          <cell r="P542">
            <v>1</v>
          </cell>
        </row>
        <row r="543">
          <cell r="E543" t="str">
            <v>I</v>
          </cell>
          <cell r="F543" t="str">
            <v>Técnica</v>
          </cell>
          <cell r="G543" t="str">
            <v>6 Nivel</v>
          </cell>
          <cell r="I543">
            <v>58.905675146182141</v>
          </cell>
          <cell r="K543">
            <v>0.50841487220953752</v>
          </cell>
          <cell r="O543">
            <v>9923280</v>
          </cell>
          <cell r="P543">
            <v>1</v>
          </cell>
        </row>
        <row r="544">
          <cell r="E544" t="str">
            <v>I</v>
          </cell>
          <cell r="F544" t="str">
            <v>Técnica</v>
          </cell>
          <cell r="G544" t="str">
            <v>6 Nivel</v>
          </cell>
          <cell r="I544">
            <v>39.867318981798576</v>
          </cell>
          <cell r="K544">
            <v>0.84814089960679784</v>
          </cell>
          <cell r="O544">
            <v>9923280</v>
          </cell>
          <cell r="P544">
            <v>1</v>
          </cell>
        </row>
        <row r="545">
          <cell r="E545" t="str">
            <v>I</v>
          </cell>
          <cell r="F545" t="str">
            <v>Técnica</v>
          </cell>
          <cell r="G545" t="str">
            <v>6 Nivel</v>
          </cell>
          <cell r="I545">
            <v>0.85362035166159234</v>
          </cell>
          <cell r="K545">
            <v>0.49197651604515397</v>
          </cell>
          <cell r="O545">
            <v>9923280</v>
          </cell>
          <cell r="P545">
            <v>1</v>
          </cell>
        </row>
        <row r="546">
          <cell r="E546" t="str">
            <v>I</v>
          </cell>
          <cell r="F546" t="str">
            <v>Técnica</v>
          </cell>
          <cell r="G546" t="str">
            <v>6 Nivel</v>
          </cell>
          <cell r="I546">
            <v>0.74403131056570193</v>
          </cell>
          <cell r="K546">
            <v>0.74129158453830468</v>
          </cell>
          <cell r="O546">
            <v>9923280</v>
          </cell>
          <cell r="P546">
            <v>1</v>
          </cell>
        </row>
        <row r="547">
          <cell r="E547" t="str">
            <v>I</v>
          </cell>
          <cell r="F547" t="str">
            <v>Técnica</v>
          </cell>
          <cell r="G547" t="str">
            <v>6 Nivel</v>
          </cell>
          <cell r="I547">
            <v>50.012524461250635</v>
          </cell>
          <cell r="K547">
            <v>1.5412915845383046</v>
          </cell>
          <cell r="O547">
            <v>9923280</v>
          </cell>
          <cell r="P547">
            <v>1</v>
          </cell>
        </row>
        <row r="548">
          <cell r="E548" t="str">
            <v>I</v>
          </cell>
          <cell r="F548" t="str">
            <v>Técnica</v>
          </cell>
          <cell r="G548" t="str">
            <v>6 Nivel</v>
          </cell>
          <cell r="I548">
            <v>37.426223091387619</v>
          </cell>
          <cell r="K548">
            <v>1.2947162420725513</v>
          </cell>
          <cell r="O548">
            <v>9923280</v>
          </cell>
          <cell r="P548">
            <v>1</v>
          </cell>
        </row>
        <row r="549">
          <cell r="E549" t="str">
            <v>I</v>
          </cell>
          <cell r="F549" t="str">
            <v>Técnica</v>
          </cell>
          <cell r="G549" t="str">
            <v>6 Nivel</v>
          </cell>
          <cell r="I549">
            <v>34.557729940702686</v>
          </cell>
          <cell r="K549">
            <v>1.1632093927574827</v>
          </cell>
          <cell r="O549">
            <v>9923280</v>
          </cell>
          <cell r="P549">
            <v>1</v>
          </cell>
        </row>
        <row r="550">
          <cell r="E550" t="str">
            <v>I</v>
          </cell>
          <cell r="F550" t="str">
            <v>Técnica</v>
          </cell>
          <cell r="G550" t="str">
            <v>6 Nivel</v>
          </cell>
          <cell r="I550">
            <v>26.541291584538303</v>
          </cell>
          <cell r="K550">
            <v>1.2618395297437841</v>
          </cell>
          <cell r="O550">
            <v>9923280</v>
          </cell>
          <cell r="P550">
            <v>1</v>
          </cell>
        </row>
        <row r="551">
          <cell r="E551" t="str">
            <v>I</v>
          </cell>
          <cell r="F551" t="str">
            <v>Técnica</v>
          </cell>
          <cell r="G551" t="str">
            <v>6 Nivel</v>
          </cell>
          <cell r="I551">
            <v>25.428962817415016</v>
          </cell>
          <cell r="K551">
            <v>0.96594911878487999</v>
          </cell>
          <cell r="O551">
            <v>9923280</v>
          </cell>
          <cell r="P551">
            <v>1</v>
          </cell>
        </row>
        <row r="552">
          <cell r="E552" t="str">
            <v>I</v>
          </cell>
          <cell r="F552" t="str">
            <v>Técnica</v>
          </cell>
          <cell r="G552" t="str">
            <v>6 Nivel</v>
          </cell>
          <cell r="I552">
            <v>23.023483365360221</v>
          </cell>
          <cell r="K552">
            <v>1.0892367900177566</v>
          </cell>
          <cell r="O552">
            <v>9923280</v>
          </cell>
          <cell r="P552">
            <v>1</v>
          </cell>
        </row>
        <row r="553">
          <cell r="E553" t="str">
            <v>I</v>
          </cell>
          <cell r="F553" t="str">
            <v>Técnica</v>
          </cell>
          <cell r="G553" t="str">
            <v>6 Nivel</v>
          </cell>
          <cell r="I553">
            <v>24.231702543442413</v>
          </cell>
          <cell r="K553">
            <v>0.70293542015474297</v>
          </cell>
          <cell r="O553">
            <v>9923280</v>
          </cell>
          <cell r="P553">
            <v>1</v>
          </cell>
        </row>
        <row r="554">
          <cell r="E554" t="str">
            <v>I</v>
          </cell>
          <cell r="F554" t="str">
            <v>Técnica</v>
          </cell>
          <cell r="G554" t="str">
            <v>6 Nivel</v>
          </cell>
          <cell r="I554">
            <v>59.248140899606796</v>
          </cell>
          <cell r="K554">
            <v>1.2590998037163867</v>
          </cell>
          <cell r="O554">
            <v>9923280</v>
          </cell>
          <cell r="P554">
            <v>1</v>
          </cell>
        </row>
        <row r="555">
          <cell r="E555" t="str">
            <v>I</v>
          </cell>
          <cell r="F555" t="str">
            <v>Técnica</v>
          </cell>
          <cell r="G555" t="str">
            <v>6 Nivel</v>
          </cell>
          <cell r="I555">
            <v>49.223483365360224</v>
          </cell>
          <cell r="K555">
            <v>0.90841487220953754</v>
          </cell>
          <cell r="O555">
            <v>9923280</v>
          </cell>
          <cell r="P555">
            <v>1</v>
          </cell>
        </row>
        <row r="556">
          <cell r="E556" t="str">
            <v>I</v>
          </cell>
          <cell r="F556" t="str">
            <v>Técnica</v>
          </cell>
          <cell r="G556" t="str">
            <v>6 Nivel</v>
          </cell>
          <cell r="I556">
            <v>56.85909980371639</v>
          </cell>
          <cell r="K556">
            <v>2.4097847352232362</v>
          </cell>
          <cell r="O556">
            <v>9923280</v>
          </cell>
          <cell r="P556">
            <v>1</v>
          </cell>
        </row>
        <row r="557">
          <cell r="E557" t="str">
            <v>I</v>
          </cell>
          <cell r="F557" t="str">
            <v>Técnica</v>
          </cell>
          <cell r="G557" t="str">
            <v>6 Nivel</v>
          </cell>
          <cell r="I557">
            <v>24.407045009195841</v>
          </cell>
          <cell r="K557">
            <v>0.49471624207255122</v>
          </cell>
          <cell r="O557">
            <v>9923280</v>
          </cell>
          <cell r="P557">
            <v>1</v>
          </cell>
        </row>
        <row r="558">
          <cell r="E558" t="str">
            <v>I</v>
          </cell>
          <cell r="F558" t="str">
            <v>Técnica</v>
          </cell>
          <cell r="G558" t="str">
            <v>6 Nivel</v>
          </cell>
          <cell r="I558">
            <v>51.204305283168445</v>
          </cell>
          <cell r="K558">
            <v>0.91663405029172929</v>
          </cell>
          <cell r="O558">
            <v>9923280</v>
          </cell>
          <cell r="P558">
            <v>1</v>
          </cell>
        </row>
        <row r="559">
          <cell r="E559" t="str">
            <v>I</v>
          </cell>
          <cell r="F559" t="str">
            <v>Técnica</v>
          </cell>
          <cell r="G559" t="str">
            <v>6 Nivel</v>
          </cell>
          <cell r="I559">
            <v>45.968688844812277</v>
          </cell>
          <cell r="K559">
            <v>1.3138943242643319</v>
          </cell>
          <cell r="O559">
            <v>9923280</v>
          </cell>
          <cell r="P559">
            <v>1</v>
          </cell>
        </row>
        <row r="560">
          <cell r="E560" t="str">
            <v>I</v>
          </cell>
          <cell r="F560" t="str">
            <v>Técnica</v>
          </cell>
          <cell r="G560" t="str">
            <v>6 Nivel</v>
          </cell>
          <cell r="I560">
            <v>45.396086105086248</v>
          </cell>
          <cell r="K560">
            <v>1.1549902146752908</v>
          </cell>
          <cell r="O560">
            <v>9923280</v>
          </cell>
          <cell r="P560">
            <v>1</v>
          </cell>
        </row>
        <row r="561">
          <cell r="E561" t="str">
            <v>I</v>
          </cell>
          <cell r="F561" t="str">
            <v>Técnica</v>
          </cell>
          <cell r="G561" t="str">
            <v>6 Nivel</v>
          </cell>
          <cell r="I561">
            <v>54.691976516045152</v>
          </cell>
          <cell r="K561">
            <v>1.1221135023465239</v>
          </cell>
          <cell r="O561">
            <v>9923280</v>
          </cell>
          <cell r="P561">
            <v>1</v>
          </cell>
        </row>
        <row r="562">
          <cell r="E562" t="str">
            <v>I</v>
          </cell>
          <cell r="F562" t="str">
            <v>Técnica</v>
          </cell>
          <cell r="G562" t="str">
            <v>6 Nivel</v>
          </cell>
          <cell r="I562">
            <v>53.911154598236934</v>
          </cell>
          <cell r="K562">
            <v>1.1577299407026882</v>
          </cell>
          <cell r="O562">
            <v>9923280</v>
          </cell>
          <cell r="P562">
            <v>1</v>
          </cell>
        </row>
        <row r="563">
          <cell r="E563" t="str">
            <v>I</v>
          </cell>
          <cell r="F563" t="str">
            <v>Técnica</v>
          </cell>
          <cell r="G563" t="str">
            <v>6 Nivel</v>
          </cell>
          <cell r="I563">
            <v>52.338551858510904</v>
          </cell>
          <cell r="K563">
            <v>1.3084148722095374</v>
          </cell>
          <cell r="O563">
            <v>9923280</v>
          </cell>
          <cell r="P563">
            <v>1</v>
          </cell>
        </row>
        <row r="564">
          <cell r="E564" t="str">
            <v>I</v>
          </cell>
          <cell r="F564" t="str">
            <v>Técnica</v>
          </cell>
          <cell r="G564" t="str">
            <v>6 Nivel</v>
          </cell>
          <cell r="I564">
            <v>40.659099803716387</v>
          </cell>
          <cell r="K564">
            <v>0.51115459823693477</v>
          </cell>
          <cell r="O564">
            <v>9923280</v>
          </cell>
          <cell r="P564">
            <v>1</v>
          </cell>
        </row>
        <row r="565">
          <cell r="E565" t="str">
            <v>I</v>
          </cell>
          <cell r="F565" t="str">
            <v>Técnica</v>
          </cell>
          <cell r="G565" t="str">
            <v>6 Nivel</v>
          </cell>
          <cell r="I565">
            <v>45.382387474949262</v>
          </cell>
          <cell r="K565">
            <v>1.0015655571410444</v>
          </cell>
          <cell r="O565">
            <v>9923280</v>
          </cell>
          <cell r="P565">
            <v>1</v>
          </cell>
        </row>
        <row r="566">
          <cell r="E566" t="str">
            <v>I</v>
          </cell>
          <cell r="F566" t="str">
            <v>Técnica</v>
          </cell>
          <cell r="G566" t="str">
            <v>6 Nivel</v>
          </cell>
          <cell r="I566">
            <v>29.85636007768899</v>
          </cell>
          <cell r="K566">
            <v>1.2618395297437841</v>
          </cell>
          <cell r="O566">
            <v>9923280</v>
          </cell>
          <cell r="P566">
            <v>1</v>
          </cell>
        </row>
        <row r="567">
          <cell r="E567" t="str">
            <v>I</v>
          </cell>
          <cell r="F567" t="str">
            <v>Técnica</v>
          </cell>
          <cell r="G567" t="str">
            <v>6 Nivel</v>
          </cell>
          <cell r="I567">
            <v>29.98786692700406</v>
          </cell>
          <cell r="K567">
            <v>1.0234833653602224</v>
          </cell>
          <cell r="O567">
            <v>9923280</v>
          </cell>
          <cell r="P567">
            <v>1</v>
          </cell>
        </row>
        <row r="568">
          <cell r="E568" t="str">
            <v>I</v>
          </cell>
          <cell r="F568" t="str">
            <v>Técnica</v>
          </cell>
          <cell r="G568" t="str">
            <v>6 Nivel</v>
          </cell>
          <cell r="I568">
            <v>32.012524461250635</v>
          </cell>
          <cell r="K568">
            <v>1.1275929544013183</v>
          </cell>
          <cell r="O568">
            <v>9923280</v>
          </cell>
          <cell r="P568">
            <v>1</v>
          </cell>
        </row>
        <row r="569">
          <cell r="E569" t="str">
            <v>I</v>
          </cell>
          <cell r="F569" t="str">
            <v>Técnica</v>
          </cell>
          <cell r="G569" t="str">
            <v>6 Nivel</v>
          </cell>
          <cell r="I569">
            <v>41.130332680428715</v>
          </cell>
          <cell r="K569">
            <v>0.60978473522323617</v>
          </cell>
          <cell r="O569">
            <v>9923280</v>
          </cell>
          <cell r="P569">
            <v>1</v>
          </cell>
        </row>
        <row r="570">
          <cell r="E570" t="str">
            <v>I</v>
          </cell>
          <cell r="F570" t="str">
            <v>Técnica</v>
          </cell>
          <cell r="G570" t="str">
            <v>6 Nivel</v>
          </cell>
          <cell r="I570">
            <v>41.390606653031455</v>
          </cell>
          <cell r="K570">
            <v>1.2015655571410444</v>
          </cell>
          <cell r="O570">
            <v>9923280</v>
          </cell>
          <cell r="P570">
            <v>1</v>
          </cell>
        </row>
        <row r="571">
          <cell r="E571" t="str">
            <v>I</v>
          </cell>
          <cell r="F571" t="str">
            <v>Técnica</v>
          </cell>
          <cell r="G571" t="str">
            <v>6 Nivel</v>
          </cell>
          <cell r="I571">
            <v>49.971428570839677</v>
          </cell>
          <cell r="K571">
            <v>1.2043052831684415</v>
          </cell>
          <cell r="O571">
            <v>9923280</v>
          </cell>
          <cell r="P571">
            <v>1</v>
          </cell>
        </row>
        <row r="572">
          <cell r="E572" t="str">
            <v>I</v>
          </cell>
          <cell r="F572" t="str">
            <v>Técnica</v>
          </cell>
          <cell r="G572" t="str">
            <v>6 Nivel</v>
          </cell>
          <cell r="I572">
            <v>41.039921721524607</v>
          </cell>
          <cell r="K572">
            <v>12.174168296867071</v>
          </cell>
          <cell r="O572">
            <v>9923280</v>
          </cell>
          <cell r="P572">
            <v>1</v>
          </cell>
        </row>
        <row r="573">
          <cell r="E573" t="str">
            <v>I</v>
          </cell>
          <cell r="F573" t="str">
            <v>Técnica</v>
          </cell>
          <cell r="G573" t="str">
            <v>6 Nivel</v>
          </cell>
          <cell r="I573">
            <v>38.790606653031453</v>
          </cell>
          <cell r="K573">
            <v>0.85909980371638683</v>
          </cell>
          <cell r="O573">
            <v>9923280</v>
          </cell>
          <cell r="P573">
            <v>1</v>
          </cell>
        </row>
        <row r="574">
          <cell r="E574" t="str">
            <v>I</v>
          </cell>
          <cell r="F574" t="str">
            <v>Técnica</v>
          </cell>
          <cell r="G574" t="str">
            <v>6 Nivel</v>
          </cell>
          <cell r="I574">
            <v>46.678277885908166</v>
          </cell>
          <cell r="K574">
            <v>0.64266144755200327</v>
          </cell>
          <cell r="O574">
            <v>9923280</v>
          </cell>
          <cell r="P574">
            <v>1</v>
          </cell>
        </row>
        <row r="575">
          <cell r="E575" t="str">
            <v>I</v>
          </cell>
          <cell r="F575" t="str">
            <v>Técnica</v>
          </cell>
          <cell r="G575" t="str">
            <v>6 Nivel</v>
          </cell>
          <cell r="I575">
            <v>24.149510762620498</v>
          </cell>
          <cell r="K575">
            <v>0.87827788590816769</v>
          </cell>
          <cell r="O575">
            <v>9923280</v>
          </cell>
          <cell r="P575">
            <v>1</v>
          </cell>
        </row>
        <row r="576">
          <cell r="E576" t="str">
            <v>I</v>
          </cell>
          <cell r="F576" t="str">
            <v>Técnica</v>
          </cell>
          <cell r="G576" t="str">
            <v>6 Nivel</v>
          </cell>
          <cell r="I576">
            <v>40.587866927004058</v>
          </cell>
          <cell r="K576">
            <v>1.1001956941273456</v>
          </cell>
          <cell r="O576">
            <v>9923280</v>
          </cell>
          <cell r="P576">
            <v>1</v>
          </cell>
        </row>
        <row r="577">
          <cell r="E577" t="str">
            <v>I</v>
          </cell>
          <cell r="F577" t="str">
            <v>Técnica</v>
          </cell>
          <cell r="G577" t="str">
            <v>6 Nivel</v>
          </cell>
          <cell r="I577">
            <v>41.289236790017753</v>
          </cell>
          <cell r="K577">
            <v>1.3933463790588525</v>
          </cell>
          <cell r="O577">
            <v>9923280</v>
          </cell>
          <cell r="P577">
            <v>1</v>
          </cell>
        </row>
        <row r="578">
          <cell r="E578" t="str">
            <v>I</v>
          </cell>
          <cell r="F578" t="str">
            <v>Técnica</v>
          </cell>
          <cell r="G578" t="str">
            <v>6 Nivel</v>
          </cell>
          <cell r="I578">
            <v>29.768688844812278</v>
          </cell>
          <cell r="K578">
            <v>0.87279843385337308</v>
          </cell>
          <cell r="O578">
            <v>9923280</v>
          </cell>
          <cell r="P578">
            <v>1</v>
          </cell>
        </row>
        <row r="579">
          <cell r="E579" t="str">
            <v>I</v>
          </cell>
          <cell r="F579" t="str">
            <v>Técnica</v>
          </cell>
          <cell r="G579" t="str">
            <v>6 Nivel</v>
          </cell>
          <cell r="I579">
            <v>41.867318981798576</v>
          </cell>
          <cell r="K579">
            <v>1.1193737763191265</v>
          </cell>
          <cell r="O579">
            <v>9923280</v>
          </cell>
          <cell r="P579">
            <v>1</v>
          </cell>
        </row>
        <row r="580">
          <cell r="E580" t="str">
            <v>I</v>
          </cell>
          <cell r="F580" t="str">
            <v>Técnica</v>
          </cell>
          <cell r="G580" t="str">
            <v>6 Nivel</v>
          </cell>
          <cell r="I580">
            <v>39.012524461250635</v>
          </cell>
          <cell r="K580">
            <v>0.61526418727803067</v>
          </cell>
          <cell r="O580">
            <v>9923280</v>
          </cell>
          <cell r="P580">
            <v>1</v>
          </cell>
        </row>
        <row r="581">
          <cell r="E581" t="str">
            <v>I</v>
          </cell>
          <cell r="F581" t="str">
            <v>Técnica</v>
          </cell>
          <cell r="G581" t="str">
            <v>6 Nivel</v>
          </cell>
          <cell r="I581">
            <v>35.872798433853376</v>
          </cell>
          <cell r="K581">
            <v>1.2590998037163867</v>
          </cell>
          <cell r="O581">
            <v>9923280</v>
          </cell>
          <cell r="P581">
            <v>1</v>
          </cell>
        </row>
        <row r="582">
          <cell r="E582" t="str">
            <v>I</v>
          </cell>
          <cell r="F582" t="str">
            <v>Técnica</v>
          </cell>
          <cell r="G582" t="str">
            <v>6 Nivel</v>
          </cell>
          <cell r="I582">
            <v>36.886497063990362</v>
          </cell>
          <cell r="K582">
            <v>1.0070450091958389</v>
          </cell>
          <cell r="O582">
            <v>9923280</v>
          </cell>
          <cell r="P582">
            <v>1</v>
          </cell>
        </row>
        <row r="583">
          <cell r="E583" t="str">
            <v>I</v>
          </cell>
          <cell r="F583" t="str">
            <v>Técnica</v>
          </cell>
          <cell r="G583" t="str">
            <v>6 Nivel</v>
          </cell>
          <cell r="I583">
            <v>39.938551858510905</v>
          </cell>
          <cell r="K583">
            <v>0.56868884481227722</v>
          </cell>
          <cell r="O583">
            <v>9923280</v>
          </cell>
          <cell r="P583">
            <v>1</v>
          </cell>
        </row>
        <row r="584">
          <cell r="E584" t="str">
            <v>I</v>
          </cell>
          <cell r="F584" t="str">
            <v>Técnica</v>
          </cell>
          <cell r="G584" t="str">
            <v>6 Nivel</v>
          </cell>
          <cell r="I584">
            <v>28.549510762620496</v>
          </cell>
          <cell r="K584">
            <v>1.1604696667300856</v>
          </cell>
          <cell r="O584">
            <v>9923280</v>
          </cell>
          <cell r="P584">
            <v>1</v>
          </cell>
        </row>
        <row r="585">
          <cell r="E585" t="str">
            <v>I</v>
          </cell>
          <cell r="F585" t="str">
            <v>Técnica</v>
          </cell>
          <cell r="G585" t="str">
            <v>6 Nivel</v>
          </cell>
          <cell r="I585">
            <v>25.267318981798578</v>
          </cell>
          <cell r="K585">
            <v>0.50567514618214027</v>
          </cell>
          <cell r="O585">
            <v>9923280</v>
          </cell>
          <cell r="P585">
            <v>1</v>
          </cell>
        </row>
        <row r="586">
          <cell r="E586" t="str">
            <v>I</v>
          </cell>
          <cell r="F586" t="str">
            <v>Técnica</v>
          </cell>
          <cell r="G586" t="str">
            <v>6 Nivel</v>
          </cell>
          <cell r="I586">
            <v>23.412524461250634</v>
          </cell>
          <cell r="K586">
            <v>1.0645792557711813</v>
          </cell>
          <cell r="O586">
            <v>9923280</v>
          </cell>
          <cell r="P586">
            <v>1</v>
          </cell>
        </row>
        <row r="587">
          <cell r="E587" t="str">
            <v>I</v>
          </cell>
          <cell r="F587" t="str">
            <v>Técnica</v>
          </cell>
          <cell r="G587" t="str">
            <v>6 Nivel</v>
          </cell>
          <cell r="I587">
            <v>22.418003913305427</v>
          </cell>
          <cell r="K587">
            <v>0.68375733796296212</v>
          </cell>
          <cell r="O587">
            <v>9923280</v>
          </cell>
          <cell r="P587">
            <v>1</v>
          </cell>
        </row>
        <row r="588">
          <cell r="E588" t="str">
            <v>I</v>
          </cell>
          <cell r="F588" t="str">
            <v>Técnica</v>
          </cell>
          <cell r="G588" t="str">
            <v>6 Nivel</v>
          </cell>
          <cell r="I588">
            <v>57.012524461250635</v>
          </cell>
          <cell r="K588">
            <v>0.81252446125063338</v>
          </cell>
          <cell r="O588">
            <v>9923279.7034285776</v>
          </cell>
          <cell r="P588">
            <v>1</v>
          </cell>
        </row>
        <row r="589">
          <cell r="E589" t="str">
            <v>I</v>
          </cell>
          <cell r="F589" t="str">
            <v>Técnica</v>
          </cell>
          <cell r="G589" t="str">
            <v>6 Nivel</v>
          </cell>
          <cell r="I589">
            <v>25.883757337962962</v>
          </cell>
          <cell r="K589">
            <v>0.74403131056570193</v>
          </cell>
          <cell r="O589">
            <v>9923279.7034285776</v>
          </cell>
          <cell r="P589">
            <v>1</v>
          </cell>
        </row>
        <row r="590">
          <cell r="E590" t="str">
            <v>I</v>
          </cell>
          <cell r="F590" t="str">
            <v>Técnica</v>
          </cell>
          <cell r="G590" t="str">
            <v>6 Nivel</v>
          </cell>
          <cell r="I590">
            <v>27.29471624207255</v>
          </cell>
          <cell r="K590">
            <v>0.37964774892186626</v>
          </cell>
          <cell r="O590">
            <v>9923277.9240000006</v>
          </cell>
          <cell r="P590">
            <v>1</v>
          </cell>
        </row>
        <row r="591">
          <cell r="E591" t="str">
            <v>I</v>
          </cell>
          <cell r="F591" t="str">
            <v>Técnica</v>
          </cell>
          <cell r="G591" t="str">
            <v>6 Nivel</v>
          </cell>
          <cell r="I591">
            <v>23.426223091387619</v>
          </cell>
          <cell r="K591">
            <v>0.37690802289446901</v>
          </cell>
          <cell r="O591">
            <v>9923277.9240000006</v>
          </cell>
          <cell r="P591">
            <v>1</v>
          </cell>
        </row>
        <row r="592">
          <cell r="E592" t="str">
            <v>I</v>
          </cell>
          <cell r="F592" t="str">
            <v>Técnica</v>
          </cell>
          <cell r="G592" t="str">
            <v>6 Nivel</v>
          </cell>
          <cell r="I592">
            <v>34.349510762620497</v>
          </cell>
          <cell r="K592">
            <v>0.37964774892186626</v>
          </cell>
          <cell r="O592">
            <v>9923277.9240000006</v>
          </cell>
          <cell r="P592">
            <v>1</v>
          </cell>
        </row>
        <row r="593">
          <cell r="E593" t="str">
            <v>I</v>
          </cell>
          <cell r="F593" t="str">
            <v>Técnica</v>
          </cell>
          <cell r="G593" t="str">
            <v>6 Nivel</v>
          </cell>
          <cell r="I593">
            <v>27.691976516045155</v>
          </cell>
          <cell r="K593">
            <v>0.37964774892186626</v>
          </cell>
          <cell r="O593">
            <v>9923277.9240000006</v>
          </cell>
          <cell r="P593">
            <v>1</v>
          </cell>
        </row>
        <row r="594">
          <cell r="E594" t="str">
            <v>I</v>
          </cell>
          <cell r="F594" t="str">
            <v>Administrativa</v>
          </cell>
          <cell r="G594" t="str">
            <v>6 Nivel</v>
          </cell>
          <cell r="I594">
            <v>39.519373776319128</v>
          </cell>
          <cell r="K594">
            <v>12.327592954401318</v>
          </cell>
          <cell r="O594">
            <v>9193080</v>
          </cell>
          <cell r="P594">
            <v>1</v>
          </cell>
        </row>
        <row r="595">
          <cell r="E595" t="str">
            <v>I</v>
          </cell>
          <cell r="F595" t="str">
            <v>Técnica</v>
          </cell>
          <cell r="G595" t="str">
            <v>6 Nivel</v>
          </cell>
          <cell r="I595">
            <v>47.700195694127345</v>
          </cell>
          <cell r="K595">
            <v>1.1769080228944691</v>
          </cell>
          <cell r="O595">
            <v>9580740</v>
          </cell>
          <cell r="P595">
            <v>1</v>
          </cell>
        </row>
        <row r="596">
          <cell r="E596" t="str">
            <v>I</v>
          </cell>
          <cell r="F596" t="str">
            <v>Administrativa</v>
          </cell>
          <cell r="G596" t="str">
            <v>6 Nivel</v>
          </cell>
          <cell r="I596">
            <v>54.387866927004055</v>
          </cell>
          <cell r="K596">
            <v>5.0180039133054279</v>
          </cell>
          <cell r="O596">
            <v>9193080</v>
          </cell>
          <cell r="P596">
            <v>1</v>
          </cell>
        </row>
        <row r="597">
          <cell r="E597" t="str">
            <v>I</v>
          </cell>
          <cell r="F597" t="str">
            <v>Administrativa</v>
          </cell>
          <cell r="G597" t="str">
            <v>6 Nivel</v>
          </cell>
          <cell r="I597">
            <v>61.448140899606798</v>
          </cell>
          <cell r="K597">
            <v>1.6207436393328252</v>
          </cell>
          <cell r="O597">
            <v>9193080</v>
          </cell>
          <cell r="P597">
            <v>1</v>
          </cell>
        </row>
        <row r="598">
          <cell r="E598" t="str">
            <v>I</v>
          </cell>
          <cell r="F598" t="str">
            <v>Técnica</v>
          </cell>
          <cell r="G598" t="str">
            <v>6 Nivel</v>
          </cell>
          <cell r="I598">
            <v>40.23444226946981</v>
          </cell>
          <cell r="K598">
            <v>0.58238747494926357</v>
          </cell>
          <cell r="O598">
            <v>9580740</v>
          </cell>
          <cell r="P598">
            <v>1</v>
          </cell>
        </row>
        <row r="599">
          <cell r="E599" t="str">
            <v>I</v>
          </cell>
          <cell r="F599" t="str">
            <v>Administrativa</v>
          </cell>
          <cell r="G599" t="str">
            <v>6 Nivel</v>
          </cell>
          <cell r="I599">
            <v>45.949510762620498</v>
          </cell>
          <cell r="K599">
            <v>11.746771036593099</v>
          </cell>
          <cell r="O599">
            <v>9193080</v>
          </cell>
          <cell r="P599">
            <v>1</v>
          </cell>
        </row>
        <row r="600">
          <cell r="E600" t="str">
            <v>I</v>
          </cell>
          <cell r="F600" t="str">
            <v>Administrativa</v>
          </cell>
          <cell r="G600" t="str">
            <v>6 Nivel</v>
          </cell>
          <cell r="I600">
            <v>24.505675146182138</v>
          </cell>
          <cell r="K600">
            <v>0.87279843385337308</v>
          </cell>
          <cell r="O600">
            <v>9193080</v>
          </cell>
          <cell r="P600">
            <v>1</v>
          </cell>
        </row>
        <row r="601">
          <cell r="E601" t="str">
            <v>I</v>
          </cell>
          <cell r="F601" t="str">
            <v>Administrativa</v>
          </cell>
          <cell r="G601" t="str">
            <v>6 Nivel</v>
          </cell>
          <cell r="I601">
            <v>24.924853228373919</v>
          </cell>
          <cell r="K601">
            <v>0.68649706399035948</v>
          </cell>
          <cell r="O601">
            <v>9193080</v>
          </cell>
          <cell r="P601">
            <v>1</v>
          </cell>
        </row>
        <row r="602">
          <cell r="E602" t="str">
            <v>I</v>
          </cell>
          <cell r="F602" t="str">
            <v>Administrativa</v>
          </cell>
          <cell r="G602" t="str">
            <v>6 Nivel</v>
          </cell>
          <cell r="I602">
            <v>31.875538159880769</v>
          </cell>
          <cell r="K602">
            <v>0.40704500919583886</v>
          </cell>
          <cell r="O602">
            <v>9193079.681280002</v>
          </cell>
          <cell r="P602">
            <v>1</v>
          </cell>
        </row>
        <row r="603">
          <cell r="E603" t="str">
            <v>I</v>
          </cell>
          <cell r="F603" t="str">
            <v>Técnica</v>
          </cell>
          <cell r="G603" t="str">
            <v>6 Nivel</v>
          </cell>
          <cell r="I603">
            <v>22.363209392757483</v>
          </cell>
          <cell r="K603">
            <v>0.39608610508624986</v>
          </cell>
          <cell r="O603">
            <v>9580737.9240000006</v>
          </cell>
          <cell r="P603">
            <v>1</v>
          </cell>
        </row>
      </sheetData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o F"/>
      <sheetName val="RSS-ANT-EDAD F"/>
      <sheetName val="HC - Cto x Area F"/>
      <sheetName val="ABC"/>
      <sheetName val="Datos Grales"/>
      <sheetName val="Costo"/>
      <sheetName val="RSS-ANT-EDAD"/>
      <sheetName val="HC - Cto x Area"/>
      <sheetName val="Dispersión RRHH"/>
      <sheetName val="AAA CONF"/>
      <sheetName val="FILTRO"/>
      <sheetName val="BD SNC ST)"/>
      <sheetName val="BD SNC"/>
      <sheetName val="BD"/>
      <sheetName val="Sin Area"/>
      <sheetName val="Areas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M2" t="str">
            <v>NOMBRE</v>
          </cell>
          <cell r="N2" t="str">
            <v>APELLIDO</v>
          </cell>
          <cell r="AF2" t="str">
            <v>SALARIO</v>
          </cell>
        </row>
        <row r="3">
          <cell r="M3" t="str">
            <v>Adolfo</v>
          </cell>
          <cell r="N3" t="str">
            <v>Martínez</v>
          </cell>
          <cell r="AF3">
            <v>25800000</v>
          </cell>
        </row>
        <row r="4">
          <cell r="M4" t="str">
            <v>Alcides</v>
          </cell>
          <cell r="N4" t="str">
            <v>Díaz</v>
          </cell>
          <cell r="AF4">
            <v>12130376.67072</v>
          </cell>
        </row>
        <row r="5">
          <cell r="M5" t="str">
            <v>Alexander</v>
          </cell>
          <cell r="N5" t="str">
            <v>López</v>
          </cell>
          <cell r="AF5">
            <v>22359999.998280004</v>
          </cell>
        </row>
        <row r="6">
          <cell r="M6" t="str">
            <v>Alicia</v>
          </cell>
          <cell r="N6" t="str">
            <v>Vizcaya</v>
          </cell>
          <cell r="AF6">
            <v>11115412.761599999</v>
          </cell>
        </row>
        <row r="7">
          <cell r="M7" t="str">
            <v>Ana</v>
          </cell>
          <cell r="N7" t="str">
            <v>Colmenarez</v>
          </cell>
          <cell r="AF7">
            <v>29240000.00172</v>
          </cell>
        </row>
        <row r="8">
          <cell r="M8" t="str">
            <v>Ana</v>
          </cell>
          <cell r="N8" t="str">
            <v>Duran</v>
          </cell>
          <cell r="AF8">
            <v>15480000</v>
          </cell>
        </row>
        <row r="9">
          <cell r="M9" t="str">
            <v>Angel</v>
          </cell>
          <cell r="N9" t="str">
            <v>Camero</v>
          </cell>
          <cell r="AF9">
            <v>12348553.02912</v>
          </cell>
        </row>
        <row r="10">
          <cell r="M10" t="str">
            <v>Angela</v>
          </cell>
          <cell r="N10" t="str">
            <v>Cruz</v>
          </cell>
          <cell r="AF10">
            <v>38700000</v>
          </cell>
        </row>
        <row r="11">
          <cell r="M11" t="str">
            <v>Argenis</v>
          </cell>
          <cell r="N11" t="str">
            <v>Sulbaran</v>
          </cell>
          <cell r="AF11">
            <v>12021288.491520001</v>
          </cell>
        </row>
        <row r="12">
          <cell r="M12" t="str">
            <v>Armando</v>
          </cell>
          <cell r="N12" t="str">
            <v>Cruz</v>
          </cell>
          <cell r="AF12">
            <v>12130376.67072</v>
          </cell>
        </row>
        <row r="13">
          <cell r="M13" t="str">
            <v>Bilia</v>
          </cell>
          <cell r="N13" t="str">
            <v>Martínez</v>
          </cell>
          <cell r="AF13">
            <v>11696000.001719998</v>
          </cell>
        </row>
        <row r="14">
          <cell r="M14" t="str">
            <v>Carlos</v>
          </cell>
          <cell r="N14" t="str">
            <v>Dominguez</v>
          </cell>
          <cell r="AF14">
            <v>11115412.761599999</v>
          </cell>
        </row>
        <row r="15">
          <cell r="M15" t="str">
            <v>Carlos</v>
          </cell>
          <cell r="N15" t="str">
            <v>Espinosa</v>
          </cell>
          <cell r="AF15">
            <v>55040000.001720011</v>
          </cell>
        </row>
        <row r="16">
          <cell r="M16" t="str">
            <v>Carlos</v>
          </cell>
          <cell r="N16" t="str">
            <v>Gomez</v>
          </cell>
          <cell r="AF16">
            <v>107499999.99828002</v>
          </cell>
        </row>
        <row r="17">
          <cell r="M17" t="str">
            <v>Carlos</v>
          </cell>
          <cell r="N17" t="str">
            <v>Perez</v>
          </cell>
          <cell r="AF17">
            <v>12021288.491520001</v>
          </cell>
        </row>
        <row r="18">
          <cell r="M18" t="str">
            <v>Carlos</v>
          </cell>
          <cell r="N18" t="str">
            <v>Rivas</v>
          </cell>
          <cell r="AF18">
            <v>12348553.02912</v>
          </cell>
        </row>
        <row r="19">
          <cell r="M19" t="str">
            <v>Carmen</v>
          </cell>
          <cell r="N19" t="str">
            <v>Vasquez</v>
          </cell>
          <cell r="AF19">
            <v>15480000</v>
          </cell>
        </row>
        <row r="20">
          <cell r="M20" t="str">
            <v>Cecilio</v>
          </cell>
          <cell r="N20" t="str">
            <v>Canelon</v>
          </cell>
          <cell r="AF20">
            <v>14619999.99828</v>
          </cell>
        </row>
        <row r="21">
          <cell r="M21" t="str">
            <v>Christopher</v>
          </cell>
          <cell r="N21" t="str">
            <v>Maduro</v>
          </cell>
          <cell r="AF21">
            <v>13760000.001719998</v>
          </cell>
        </row>
        <row r="22">
          <cell r="M22" t="str">
            <v>Danny</v>
          </cell>
          <cell r="N22" t="str">
            <v>Velasquez</v>
          </cell>
          <cell r="AF22">
            <v>19263999.99828</v>
          </cell>
        </row>
        <row r="23">
          <cell r="M23" t="str">
            <v>Daudo</v>
          </cell>
          <cell r="N23" t="str">
            <v>Velasquez</v>
          </cell>
          <cell r="AF23">
            <v>12348553.02912</v>
          </cell>
        </row>
        <row r="24">
          <cell r="M24" t="str">
            <v>Decenia</v>
          </cell>
          <cell r="N24" t="str">
            <v>Carucí</v>
          </cell>
          <cell r="AF24">
            <v>12900000</v>
          </cell>
        </row>
        <row r="25">
          <cell r="M25" t="str">
            <v>Diego</v>
          </cell>
          <cell r="N25" t="str">
            <v>Urriola</v>
          </cell>
          <cell r="AF25">
            <v>11620644.29568</v>
          </cell>
        </row>
        <row r="26">
          <cell r="M26" t="str">
            <v>Douglas</v>
          </cell>
          <cell r="N26" t="str">
            <v>Quintero</v>
          </cell>
          <cell r="AF26">
            <v>12021288.491520001</v>
          </cell>
        </row>
        <row r="27">
          <cell r="M27" t="str">
            <v>Edgar</v>
          </cell>
          <cell r="N27" t="str">
            <v>Guerra</v>
          </cell>
          <cell r="AF27">
            <v>12348553.02912</v>
          </cell>
        </row>
        <row r="28">
          <cell r="M28" t="str">
            <v>Edgar</v>
          </cell>
          <cell r="N28" t="str">
            <v>Marciales</v>
          </cell>
          <cell r="AF28">
            <v>42999999.998279996</v>
          </cell>
        </row>
        <row r="29">
          <cell r="M29" t="str">
            <v>Enadio</v>
          </cell>
          <cell r="N29" t="str">
            <v>Garcia</v>
          </cell>
          <cell r="AF29">
            <v>12348553.02912</v>
          </cell>
        </row>
        <row r="30">
          <cell r="M30" t="str">
            <v>Enrique</v>
          </cell>
          <cell r="N30" t="str">
            <v>Franco</v>
          </cell>
          <cell r="AF30">
            <v>12021288.491520001</v>
          </cell>
        </row>
        <row r="31">
          <cell r="M31" t="str">
            <v>Epifania</v>
          </cell>
          <cell r="N31" t="str">
            <v>Verde</v>
          </cell>
          <cell r="AF31">
            <v>11115412.761599999</v>
          </cell>
        </row>
        <row r="32">
          <cell r="M32" t="str">
            <v>Erick</v>
          </cell>
          <cell r="N32" t="str">
            <v>Garcia</v>
          </cell>
          <cell r="AF32">
            <v>12348553.02912</v>
          </cell>
        </row>
        <row r="33">
          <cell r="M33" t="str">
            <v>Esteban</v>
          </cell>
          <cell r="N33" t="str">
            <v>Pinto</v>
          </cell>
          <cell r="AF33">
            <v>11257671.237119999</v>
          </cell>
        </row>
        <row r="34">
          <cell r="M34" t="str">
            <v>Eugen</v>
          </cell>
          <cell r="N34" t="str">
            <v>Cholawski</v>
          </cell>
          <cell r="AF34">
            <v>73100000.001719996</v>
          </cell>
        </row>
        <row r="35">
          <cell r="M35" t="str">
            <v>Felipe</v>
          </cell>
          <cell r="N35" t="str">
            <v>Franco</v>
          </cell>
          <cell r="AF35">
            <v>12130376.67072</v>
          </cell>
        </row>
        <row r="36">
          <cell r="M36" t="str">
            <v>Fernando</v>
          </cell>
          <cell r="N36" t="str">
            <v>Daza</v>
          </cell>
          <cell r="AF36">
            <v>12021288.491520001</v>
          </cell>
        </row>
        <row r="37">
          <cell r="M37" t="str">
            <v>Geovanny</v>
          </cell>
          <cell r="N37" t="str">
            <v>Parra</v>
          </cell>
          <cell r="AF37">
            <v>12348553.02912</v>
          </cell>
        </row>
        <row r="38">
          <cell r="M38" t="str">
            <v>German</v>
          </cell>
          <cell r="N38" t="str">
            <v>Hernandez</v>
          </cell>
          <cell r="AF38">
            <v>13079443.82976</v>
          </cell>
        </row>
        <row r="39">
          <cell r="M39" t="str">
            <v>Gonzalo</v>
          </cell>
          <cell r="N39" t="str">
            <v>Dominguez</v>
          </cell>
          <cell r="AF39">
            <v>13079443.82976</v>
          </cell>
        </row>
        <row r="40">
          <cell r="M40" t="str">
            <v>Gregoria</v>
          </cell>
          <cell r="N40" t="str">
            <v>Torrealba</v>
          </cell>
          <cell r="AF40">
            <v>22359999.998280004</v>
          </cell>
        </row>
        <row r="41">
          <cell r="M41" t="str">
            <v>Gustavo</v>
          </cell>
          <cell r="N41" t="str">
            <v>Gutierrez</v>
          </cell>
          <cell r="AF41">
            <v>30960000</v>
          </cell>
        </row>
        <row r="42">
          <cell r="M42" t="str">
            <v>Hector</v>
          </cell>
          <cell r="N42" t="str">
            <v>Pineda</v>
          </cell>
          <cell r="AF42">
            <v>12075832.581119999</v>
          </cell>
        </row>
        <row r="43">
          <cell r="M43" t="str">
            <v>Henry</v>
          </cell>
          <cell r="N43" t="str">
            <v>Paredes</v>
          </cell>
          <cell r="AF43">
            <v>12039999.99828</v>
          </cell>
        </row>
        <row r="44">
          <cell r="M44" t="str">
            <v>Hilda</v>
          </cell>
          <cell r="N44" t="str">
            <v>Rea</v>
          </cell>
          <cell r="AF44">
            <v>11696000.001719998</v>
          </cell>
        </row>
        <row r="45">
          <cell r="M45" t="str">
            <v>Irene</v>
          </cell>
          <cell r="N45" t="str">
            <v>Lopez</v>
          </cell>
          <cell r="AF45">
            <v>12021288.491520001</v>
          </cell>
        </row>
        <row r="46">
          <cell r="M46" t="str">
            <v>Ismael</v>
          </cell>
          <cell r="N46" t="str">
            <v>Duran</v>
          </cell>
          <cell r="AF46">
            <v>12348553.02912</v>
          </cell>
        </row>
        <row r="47">
          <cell r="M47" t="str">
            <v>Jan</v>
          </cell>
          <cell r="N47" t="str">
            <v>Marczuk</v>
          </cell>
          <cell r="AF47">
            <v>38700000</v>
          </cell>
        </row>
        <row r="48">
          <cell r="M48" t="str">
            <v>Jesus</v>
          </cell>
          <cell r="N48" t="str">
            <v>Andara</v>
          </cell>
          <cell r="AF48">
            <v>12021288.491520001</v>
          </cell>
        </row>
        <row r="49">
          <cell r="M49" t="str">
            <v>Jesus</v>
          </cell>
          <cell r="N49" t="str">
            <v>Tua</v>
          </cell>
          <cell r="AF49">
            <v>12348553.02912</v>
          </cell>
        </row>
        <row r="50">
          <cell r="M50" t="str">
            <v>Jhonny</v>
          </cell>
          <cell r="N50" t="str">
            <v>Palacios</v>
          </cell>
          <cell r="AF50">
            <v>12021288.491520001</v>
          </cell>
        </row>
        <row r="51">
          <cell r="M51" t="str">
            <v>Joe</v>
          </cell>
          <cell r="N51" t="str">
            <v>Cisneros</v>
          </cell>
          <cell r="AF51">
            <v>12021288.491520001</v>
          </cell>
        </row>
        <row r="52">
          <cell r="M52" t="str">
            <v>Jorge</v>
          </cell>
          <cell r="N52" t="str">
            <v>Caripá</v>
          </cell>
          <cell r="AF52">
            <v>12900000</v>
          </cell>
        </row>
        <row r="53">
          <cell r="M53" t="str">
            <v>Jorge</v>
          </cell>
          <cell r="N53" t="str">
            <v>Cedeño</v>
          </cell>
          <cell r="AF53">
            <v>11257671.237119999</v>
          </cell>
        </row>
        <row r="54">
          <cell r="M54" t="str">
            <v>Jorge</v>
          </cell>
          <cell r="N54" t="str">
            <v>Puertas</v>
          </cell>
          <cell r="AF54">
            <v>22359999.998280004</v>
          </cell>
        </row>
        <row r="55">
          <cell r="M55" t="str">
            <v>José</v>
          </cell>
          <cell r="N55" t="str">
            <v>Colmenarez</v>
          </cell>
          <cell r="AF55">
            <v>12021288.491520001</v>
          </cell>
        </row>
        <row r="56">
          <cell r="M56" t="str">
            <v>José</v>
          </cell>
          <cell r="N56" t="str">
            <v>Escalona</v>
          </cell>
          <cell r="AF56">
            <v>12021288.491520001</v>
          </cell>
        </row>
        <row r="57">
          <cell r="M57" t="str">
            <v>José</v>
          </cell>
          <cell r="N57" t="str">
            <v>León</v>
          </cell>
          <cell r="AF57">
            <v>19779999.99828</v>
          </cell>
        </row>
        <row r="58">
          <cell r="M58" t="str">
            <v>José</v>
          </cell>
          <cell r="N58" t="str">
            <v>López</v>
          </cell>
          <cell r="AF58">
            <v>12900000</v>
          </cell>
        </row>
        <row r="59">
          <cell r="M59" t="str">
            <v>José</v>
          </cell>
          <cell r="N59" t="str">
            <v>Parra</v>
          </cell>
          <cell r="AF59">
            <v>12021288.491520001</v>
          </cell>
        </row>
        <row r="60">
          <cell r="M60" t="str">
            <v>José</v>
          </cell>
          <cell r="N60" t="str">
            <v>Rea</v>
          </cell>
          <cell r="AF60">
            <v>12021288.491520001</v>
          </cell>
        </row>
        <row r="61">
          <cell r="M61" t="str">
            <v>José</v>
          </cell>
          <cell r="N61" t="str">
            <v>Rumbos</v>
          </cell>
          <cell r="AF61">
            <v>11696000.001719998</v>
          </cell>
        </row>
        <row r="62">
          <cell r="M62" t="str">
            <v>José</v>
          </cell>
          <cell r="N62" t="str">
            <v>Vizcaya</v>
          </cell>
          <cell r="AF62">
            <v>12021288.491520001</v>
          </cell>
        </row>
        <row r="63">
          <cell r="M63" t="str">
            <v>Juan</v>
          </cell>
          <cell r="N63" t="str">
            <v>Carrera</v>
          </cell>
          <cell r="AF63">
            <v>11257671.237119999</v>
          </cell>
        </row>
        <row r="64">
          <cell r="M64" t="str">
            <v>Juan</v>
          </cell>
          <cell r="N64" t="str">
            <v>Vargas</v>
          </cell>
          <cell r="AF64">
            <v>12021288.491520001</v>
          </cell>
        </row>
        <row r="65">
          <cell r="M65" t="str">
            <v>Lázara</v>
          </cell>
          <cell r="N65" t="str">
            <v>Díaz</v>
          </cell>
          <cell r="AF65">
            <v>21500000.00172</v>
          </cell>
        </row>
        <row r="66">
          <cell r="M66" t="str">
            <v>Lenin</v>
          </cell>
          <cell r="N66" t="str">
            <v>Alvarado</v>
          </cell>
          <cell r="AF66">
            <v>13079443.82976</v>
          </cell>
        </row>
        <row r="67">
          <cell r="M67" t="str">
            <v>Lino</v>
          </cell>
          <cell r="N67" t="str">
            <v>Lozada</v>
          </cell>
          <cell r="AF67">
            <v>13079443.82976</v>
          </cell>
        </row>
        <row r="68">
          <cell r="M68" t="str">
            <v>Lizbeth</v>
          </cell>
          <cell r="N68" t="str">
            <v>Gonzalez</v>
          </cell>
          <cell r="AF68">
            <v>27519999.99828</v>
          </cell>
        </row>
        <row r="69">
          <cell r="M69" t="str">
            <v>Lucy</v>
          </cell>
          <cell r="N69" t="str">
            <v>Arias</v>
          </cell>
          <cell r="AF69">
            <v>20640000</v>
          </cell>
        </row>
        <row r="70">
          <cell r="M70" t="str">
            <v>Luis</v>
          </cell>
          <cell r="N70" t="str">
            <v>Alvarado</v>
          </cell>
          <cell r="AF70">
            <v>12348553.02912</v>
          </cell>
        </row>
        <row r="71">
          <cell r="M71" t="str">
            <v>Luis</v>
          </cell>
          <cell r="N71" t="str">
            <v>López</v>
          </cell>
          <cell r="AF71">
            <v>12900000</v>
          </cell>
        </row>
        <row r="72">
          <cell r="M72" t="str">
            <v>Luis</v>
          </cell>
          <cell r="N72" t="str">
            <v>Molinaro</v>
          </cell>
          <cell r="AF72">
            <v>55040000.001720011</v>
          </cell>
        </row>
        <row r="73">
          <cell r="M73" t="str">
            <v>Luis</v>
          </cell>
          <cell r="N73" t="str">
            <v>Mora</v>
          </cell>
          <cell r="AF73">
            <v>12021288.491520001</v>
          </cell>
        </row>
        <row r="74">
          <cell r="M74" t="str">
            <v>Luis</v>
          </cell>
          <cell r="N74" t="str">
            <v>Orellana</v>
          </cell>
          <cell r="AF74">
            <v>12348553.02912</v>
          </cell>
        </row>
        <row r="75">
          <cell r="M75" t="str">
            <v>Luis</v>
          </cell>
          <cell r="N75" t="str">
            <v>Parra</v>
          </cell>
          <cell r="AF75">
            <v>20640000</v>
          </cell>
        </row>
        <row r="76">
          <cell r="M76" t="str">
            <v>Luis</v>
          </cell>
          <cell r="N76" t="str">
            <v>Perez</v>
          </cell>
          <cell r="AF76">
            <v>12348553.02912</v>
          </cell>
        </row>
        <row r="77">
          <cell r="M77" t="str">
            <v>Luis</v>
          </cell>
          <cell r="N77" t="str">
            <v>Torres</v>
          </cell>
          <cell r="AF77">
            <v>12021288.491520001</v>
          </cell>
        </row>
        <row r="78">
          <cell r="M78" t="str">
            <v>Manuel</v>
          </cell>
          <cell r="N78" t="str">
            <v>Cordero</v>
          </cell>
          <cell r="AF78">
            <v>15480000</v>
          </cell>
        </row>
        <row r="79">
          <cell r="M79" t="str">
            <v>Manuel</v>
          </cell>
          <cell r="N79" t="str">
            <v>Morillo</v>
          </cell>
          <cell r="AF79">
            <v>12348553.02912</v>
          </cell>
        </row>
        <row r="80">
          <cell r="M80" t="str">
            <v>Manuel</v>
          </cell>
          <cell r="N80" t="str">
            <v>Villegas</v>
          </cell>
          <cell r="AF80">
            <v>12021288.491520001</v>
          </cell>
        </row>
        <row r="81">
          <cell r="M81" t="str">
            <v>Maria</v>
          </cell>
          <cell r="N81" t="str">
            <v>Mujica</v>
          </cell>
          <cell r="AF81">
            <v>7930920</v>
          </cell>
        </row>
        <row r="82">
          <cell r="M82" t="str">
            <v>María</v>
          </cell>
          <cell r="N82" t="str">
            <v>David</v>
          </cell>
          <cell r="AF82">
            <v>17199999.99828</v>
          </cell>
        </row>
        <row r="83">
          <cell r="M83" t="str">
            <v>María</v>
          </cell>
          <cell r="N83" t="str">
            <v>Latierro</v>
          </cell>
          <cell r="AF83">
            <v>15480000</v>
          </cell>
        </row>
        <row r="84">
          <cell r="M84" t="str">
            <v>Mario</v>
          </cell>
          <cell r="N84" t="str">
            <v>Martinez</v>
          </cell>
          <cell r="AF84">
            <v>12021288.491520001</v>
          </cell>
        </row>
        <row r="85">
          <cell r="M85" t="str">
            <v>Marquenson</v>
          </cell>
          <cell r="N85" t="str">
            <v>Díaz</v>
          </cell>
          <cell r="AF85">
            <v>11115412.761599999</v>
          </cell>
        </row>
        <row r="86">
          <cell r="M86" t="str">
            <v>Mercedes</v>
          </cell>
          <cell r="N86" t="str">
            <v>Vargas</v>
          </cell>
          <cell r="AF86">
            <v>11696000.001719998</v>
          </cell>
        </row>
        <row r="87">
          <cell r="M87" t="str">
            <v>Migdalia</v>
          </cell>
          <cell r="N87" t="str">
            <v>Tarifa</v>
          </cell>
          <cell r="AF87">
            <v>12900000</v>
          </cell>
        </row>
        <row r="88">
          <cell r="M88" t="str">
            <v>Miguel</v>
          </cell>
          <cell r="N88" t="str">
            <v>Morillo</v>
          </cell>
          <cell r="AF88">
            <v>12021288.491520001</v>
          </cell>
        </row>
        <row r="89">
          <cell r="M89" t="str">
            <v>Miguel</v>
          </cell>
          <cell r="N89" t="str">
            <v>Noguera</v>
          </cell>
          <cell r="AF89">
            <v>12021288.491520001</v>
          </cell>
        </row>
        <row r="90">
          <cell r="M90" t="str">
            <v>Moises</v>
          </cell>
          <cell r="N90" t="str">
            <v>Suárez</v>
          </cell>
          <cell r="AF90">
            <v>11257671.237119999</v>
          </cell>
        </row>
        <row r="91">
          <cell r="M91" t="str">
            <v>Nelson</v>
          </cell>
          <cell r="N91" t="str">
            <v>Castillo</v>
          </cell>
          <cell r="AF91">
            <v>11257671.237119999</v>
          </cell>
        </row>
        <row r="92">
          <cell r="M92" t="str">
            <v>Nelson</v>
          </cell>
          <cell r="N92" t="str">
            <v>Vizcaya</v>
          </cell>
          <cell r="AF92">
            <v>12021288.491520001</v>
          </cell>
        </row>
        <row r="93">
          <cell r="M93" t="str">
            <v>Omar</v>
          </cell>
          <cell r="N93" t="str">
            <v>Alvarez</v>
          </cell>
          <cell r="AF93">
            <v>12021288.491520001</v>
          </cell>
        </row>
        <row r="94">
          <cell r="M94" t="str">
            <v>Onésimo</v>
          </cell>
          <cell r="N94" t="str">
            <v>Cordero</v>
          </cell>
          <cell r="AF94">
            <v>12021288.491520001</v>
          </cell>
        </row>
        <row r="95">
          <cell r="M95" t="str">
            <v>Orlendis</v>
          </cell>
          <cell r="N95" t="str">
            <v>Galavís</v>
          </cell>
          <cell r="AF95">
            <v>38700000</v>
          </cell>
        </row>
        <row r="96">
          <cell r="M96" t="str">
            <v>Pablo</v>
          </cell>
          <cell r="N96" t="str">
            <v>Romero</v>
          </cell>
          <cell r="AF96">
            <v>12021288.491520001</v>
          </cell>
        </row>
        <row r="97">
          <cell r="M97" t="str">
            <v>Pedro</v>
          </cell>
          <cell r="N97" t="str">
            <v>Duran</v>
          </cell>
          <cell r="AF97">
            <v>11115412.761599999</v>
          </cell>
        </row>
        <row r="98">
          <cell r="M98" t="str">
            <v>Pedro</v>
          </cell>
          <cell r="N98" t="str">
            <v>Garcia</v>
          </cell>
          <cell r="AF98">
            <v>25800000</v>
          </cell>
        </row>
        <row r="99">
          <cell r="M99" t="str">
            <v>Pedro</v>
          </cell>
          <cell r="N99" t="str">
            <v>Martinez</v>
          </cell>
          <cell r="AF99">
            <v>12021288.491520001</v>
          </cell>
        </row>
        <row r="100">
          <cell r="M100" t="str">
            <v>Pedro</v>
          </cell>
          <cell r="N100" t="str">
            <v>Páez</v>
          </cell>
          <cell r="AF100">
            <v>11620644.29568</v>
          </cell>
        </row>
        <row r="101">
          <cell r="M101" t="str">
            <v>Petra</v>
          </cell>
          <cell r="N101" t="str">
            <v>Martínez</v>
          </cell>
          <cell r="AF101">
            <v>15480000</v>
          </cell>
        </row>
        <row r="102">
          <cell r="M102" t="str">
            <v>Pío</v>
          </cell>
          <cell r="N102" t="str">
            <v>Leal</v>
          </cell>
          <cell r="AF102">
            <v>12900000</v>
          </cell>
        </row>
        <row r="103">
          <cell r="M103" t="str">
            <v>Rafael</v>
          </cell>
          <cell r="N103" t="str">
            <v>David</v>
          </cell>
          <cell r="AF103">
            <v>15480000</v>
          </cell>
        </row>
        <row r="104">
          <cell r="M104" t="str">
            <v>Rafael</v>
          </cell>
          <cell r="N104" t="str">
            <v>Noguera</v>
          </cell>
          <cell r="AF104">
            <v>12900000</v>
          </cell>
        </row>
        <row r="105">
          <cell r="M105" t="str">
            <v>Ramon</v>
          </cell>
          <cell r="N105" t="str">
            <v>Latierro</v>
          </cell>
          <cell r="AF105">
            <v>15480000</v>
          </cell>
        </row>
        <row r="106">
          <cell r="M106" t="str">
            <v>Reynaldo</v>
          </cell>
          <cell r="N106" t="str">
            <v>Pérez</v>
          </cell>
          <cell r="AF106">
            <v>14619999.99828</v>
          </cell>
        </row>
        <row r="107">
          <cell r="M107" t="str">
            <v>Ricardo</v>
          </cell>
          <cell r="N107" t="str">
            <v>Ramos</v>
          </cell>
          <cell r="AF107">
            <v>20640000</v>
          </cell>
        </row>
        <row r="108">
          <cell r="M108" t="str">
            <v>Richard</v>
          </cell>
          <cell r="N108" t="str">
            <v>Caruzí</v>
          </cell>
          <cell r="AF108">
            <v>13079443.82976</v>
          </cell>
        </row>
        <row r="109">
          <cell r="M109" t="str">
            <v>Richard</v>
          </cell>
          <cell r="N109" t="str">
            <v>Duran</v>
          </cell>
          <cell r="AF109">
            <v>12021288.491520001</v>
          </cell>
        </row>
        <row r="110">
          <cell r="M110" t="str">
            <v>Richard</v>
          </cell>
          <cell r="N110" t="str">
            <v>Ramírez</v>
          </cell>
          <cell r="AF110">
            <v>11620644.29568</v>
          </cell>
        </row>
        <row r="111">
          <cell r="M111" t="str">
            <v>Rigoberto</v>
          </cell>
          <cell r="N111" t="str">
            <v>Perez</v>
          </cell>
          <cell r="AF111">
            <v>12021288.491520001</v>
          </cell>
        </row>
        <row r="112">
          <cell r="M112" t="str">
            <v>Robert</v>
          </cell>
          <cell r="N112" t="str">
            <v>Valles</v>
          </cell>
          <cell r="AF112">
            <v>12348553.02912</v>
          </cell>
        </row>
        <row r="113">
          <cell r="M113" t="str">
            <v>Santiago</v>
          </cell>
          <cell r="N113" t="str">
            <v>Torrealba</v>
          </cell>
          <cell r="AF113">
            <v>12021288.491520001</v>
          </cell>
        </row>
        <row r="114">
          <cell r="M114" t="str">
            <v>Tania</v>
          </cell>
          <cell r="N114" t="str">
            <v>Lugo</v>
          </cell>
          <cell r="AF114">
            <v>22359999.998280004</v>
          </cell>
        </row>
        <row r="115">
          <cell r="M115" t="str">
            <v>Ursula</v>
          </cell>
          <cell r="N115" t="str">
            <v>Matusiak</v>
          </cell>
          <cell r="AF115">
            <v>15480000</v>
          </cell>
        </row>
        <row r="116">
          <cell r="M116" t="str">
            <v>Victor</v>
          </cell>
          <cell r="N116" t="str">
            <v>Alvarado</v>
          </cell>
          <cell r="AF116">
            <v>12021288.491520001</v>
          </cell>
        </row>
        <row r="117">
          <cell r="M117" t="str">
            <v>Victor</v>
          </cell>
          <cell r="N117" t="str">
            <v>Alvarado</v>
          </cell>
          <cell r="AF117">
            <v>13760000.001719998</v>
          </cell>
        </row>
        <row r="118">
          <cell r="M118" t="str">
            <v>Victor</v>
          </cell>
          <cell r="N118" t="str">
            <v>Teran</v>
          </cell>
          <cell r="AF118">
            <v>12130376.67072</v>
          </cell>
        </row>
        <row r="119">
          <cell r="M119" t="str">
            <v>Wilder</v>
          </cell>
          <cell r="N119" t="str">
            <v>Jimenez</v>
          </cell>
          <cell r="AF119">
            <v>12021288.491520001</v>
          </cell>
        </row>
        <row r="120">
          <cell r="M120" t="str">
            <v>Will</v>
          </cell>
          <cell r="N120" t="str">
            <v>Garces</v>
          </cell>
          <cell r="AF120">
            <v>12021288.491520001</v>
          </cell>
        </row>
        <row r="121">
          <cell r="M121" t="str">
            <v>William</v>
          </cell>
          <cell r="N121" t="str">
            <v>Castillo</v>
          </cell>
          <cell r="AF121">
            <v>12348553.02912</v>
          </cell>
        </row>
        <row r="122">
          <cell r="M122" t="str">
            <v>Willmarle</v>
          </cell>
          <cell r="N122" t="str">
            <v>Suárez</v>
          </cell>
          <cell r="AF122">
            <v>14448000</v>
          </cell>
        </row>
        <row r="123">
          <cell r="M123" t="str">
            <v>Wolfgan</v>
          </cell>
          <cell r="N123" t="str">
            <v>Jordan</v>
          </cell>
          <cell r="AF123">
            <v>12021288.491520001</v>
          </cell>
        </row>
        <row r="124">
          <cell r="M124" t="str">
            <v>Yan</v>
          </cell>
          <cell r="N124" t="str">
            <v>Matusiak</v>
          </cell>
          <cell r="AF124">
            <v>13079443.82976</v>
          </cell>
        </row>
        <row r="125">
          <cell r="M125" t="str">
            <v>Yariliz</v>
          </cell>
          <cell r="N125" t="str">
            <v>Granda</v>
          </cell>
          <cell r="AF125">
            <v>7930920</v>
          </cell>
        </row>
        <row r="126">
          <cell r="M126" t="str">
            <v>Yenniree</v>
          </cell>
          <cell r="N126" t="str">
            <v>Perez</v>
          </cell>
          <cell r="AF126">
            <v>7930920</v>
          </cell>
        </row>
        <row r="127">
          <cell r="M127" t="str">
            <v>Yilvet</v>
          </cell>
          <cell r="N127" t="str">
            <v>Lopez</v>
          </cell>
          <cell r="AF127">
            <v>12021288.491520001</v>
          </cell>
        </row>
        <row r="128">
          <cell r="M128" t="str">
            <v>Zulay</v>
          </cell>
          <cell r="N128" t="str">
            <v>Pereda</v>
          </cell>
          <cell r="AF128">
            <v>27519999.99828</v>
          </cell>
        </row>
        <row r="129">
          <cell r="M129" t="str">
            <v>ABRAHAN</v>
          </cell>
          <cell r="N129" t="str">
            <v>MIRANDA</v>
          </cell>
          <cell r="AF129">
            <v>11283825</v>
          </cell>
        </row>
        <row r="130">
          <cell r="M130" t="str">
            <v>ADELIS</v>
          </cell>
          <cell r="N130" t="str">
            <v>PEREZ</v>
          </cell>
          <cell r="AF130">
            <v>11798923.5</v>
          </cell>
        </row>
        <row r="131">
          <cell r="M131" t="str">
            <v>ADRIAN</v>
          </cell>
          <cell r="N131" t="str">
            <v>ALVARADO</v>
          </cell>
          <cell r="AF131">
            <v>11283825</v>
          </cell>
        </row>
        <row r="132">
          <cell r="M132" t="str">
            <v>AGUSTIN</v>
          </cell>
          <cell r="N132" t="str">
            <v>ALVAREZ</v>
          </cell>
          <cell r="AF132">
            <v>12615907.5</v>
          </cell>
        </row>
        <row r="133">
          <cell r="M133" t="str">
            <v>AGUSTIN</v>
          </cell>
          <cell r="N133" t="str">
            <v>CAMACHO</v>
          </cell>
          <cell r="AF133">
            <v>11283825</v>
          </cell>
        </row>
        <row r="134">
          <cell r="M134" t="str">
            <v>AGUSTIN</v>
          </cell>
          <cell r="N134" t="str">
            <v>GONZALEZ</v>
          </cell>
          <cell r="AF134">
            <v>13457976.000000002</v>
          </cell>
        </row>
        <row r="135">
          <cell r="M135" t="str">
            <v>AIDA</v>
          </cell>
          <cell r="N135" t="str">
            <v>ALVAREZ</v>
          </cell>
          <cell r="AF135">
            <v>11283825</v>
          </cell>
        </row>
        <row r="136">
          <cell r="M136" t="str">
            <v>ALBERT</v>
          </cell>
          <cell r="N136" t="str">
            <v>ALVAREZ</v>
          </cell>
          <cell r="AF136">
            <v>11798923.5</v>
          </cell>
        </row>
        <row r="137">
          <cell r="M137" t="str">
            <v>ALBERTO</v>
          </cell>
          <cell r="N137" t="str">
            <v>MELENDEZ</v>
          </cell>
          <cell r="AF137">
            <v>30242459.204999998</v>
          </cell>
        </row>
        <row r="138">
          <cell r="M138" t="str">
            <v>ALBERTO</v>
          </cell>
          <cell r="N138" t="str">
            <v>OVIEDO</v>
          </cell>
          <cell r="AF138">
            <v>11798923.5</v>
          </cell>
        </row>
        <row r="139">
          <cell r="M139" t="str">
            <v>ALBERTO</v>
          </cell>
          <cell r="N139" t="str">
            <v>PEREZ</v>
          </cell>
          <cell r="AF139">
            <v>11798923.5</v>
          </cell>
        </row>
        <row r="140">
          <cell r="M140" t="str">
            <v>ALCIDES</v>
          </cell>
          <cell r="N140" t="str">
            <v>MONTES</v>
          </cell>
          <cell r="AF140">
            <v>11798923.5</v>
          </cell>
        </row>
        <row r="141">
          <cell r="M141" t="str">
            <v>ALDEMARO</v>
          </cell>
          <cell r="N141" t="str">
            <v>MORON</v>
          </cell>
          <cell r="AF141">
            <v>11798923.5</v>
          </cell>
        </row>
        <row r="142">
          <cell r="M142" t="str">
            <v>ALEIBYT</v>
          </cell>
          <cell r="N142" t="str">
            <v>ALVAREZ</v>
          </cell>
          <cell r="AF142">
            <v>13457976.000000002</v>
          </cell>
        </row>
        <row r="143">
          <cell r="M143" t="str">
            <v>ALEX</v>
          </cell>
          <cell r="N143" t="str">
            <v>SANCHEZ</v>
          </cell>
          <cell r="AF143">
            <v>13457976.000000002</v>
          </cell>
        </row>
        <row r="144">
          <cell r="M144" t="str">
            <v>ALEXANDER</v>
          </cell>
          <cell r="N144" t="str">
            <v>ACOSTA</v>
          </cell>
          <cell r="AF144">
            <v>12615907.5</v>
          </cell>
        </row>
        <row r="145">
          <cell r="M145" t="str">
            <v>ALEXANDER</v>
          </cell>
          <cell r="N145" t="str">
            <v>GOMEZ</v>
          </cell>
          <cell r="AF145">
            <v>13457976.000000002</v>
          </cell>
        </row>
        <row r="146">
          <cell r="M146" t="str">
            <v>ALEXANDER</v>
          </cell>
          <cell r="N146" t="str">
            <v>MONTERO</v>
          </cell>
          <cell r="AF146">
            <v>13457976.000000002</v>
          </cell>
        </row>
        <row r="147">
          <cell r="M147" t="str">
            <v>ALEXANDER</v>
          </cell>
          <cell r="N147" t="str">
            <v>VIVAS</v>
          </cell>
          <cell r="AF147">
            <v>11624865</v>
          </cell>
        </row>
        <row r="148">
          <cell r="M148" t="str">
            <v>ALEXI</v>
          </cell>
          <cell r="N148" t="str">
            <v>DURAN</v>
          </cell>
          <cell r="AF148">
            <v>23452702.523250002</v>
          </cell>
        </row>
        <row r="149">
          <cell r="M149" t="str">
            <v>ALEXIS</v>
          </cell>
          <cell r="N149" t="str">
            <v>PEREZ</v>
          </cell>
          <cell r="AF149">
            <v>11624865</v>
          </cell>
        </row>
        <row r="150">
          <cell r="M150" t="str">
            <v>ALFREDO</v>
          </cell>
          <cell r="N150" t="str">
            <v>ALDAZORO</v>
          </cell>
          <cell r="AF150">
            <v>11798923.5</v>
          </cell>
        </row>
        <row r="151">
          <cell r="M151" t="str">
            <v>ALFREDO</v>
          </cell>
          <cell r="N151" t="str">
            <v>GONZALEZ</v>
          </cell>
          <cell r="AF151">
            <v>11798923.5</v>
          </cell>
        </row>
        <row r="152">
          <cell r="M152" t="str">
            <v>ALIRIO</v>
          </cell>
          <cell r="N152" t="str">
            <v>RAMOS</v>
          </cell>
          <cell r="AF152">
            <v>11283825</v>
          </cell>
        </row>
        <row r="153">
          <cell r="M153" t="str">
            <v>ALVARO</v>
          </cell>
          <cell r="N153" t="str">
            <v>RODRIGUEZ</v>
          </cell>
          <cell r="AF153">
            <v>11798923.5</v>
          </cell>
        </row>
        <row r="154">
          <cell r="M154" t="str">
            <v>ANARELYS</v>
          </cell>
          <cell r="N154" t="str">
            <v>LEAL</v>
          </cell>
          <cell r="AF154">
            <v>18772638.001199998</v>
          </cell>
        </row>
        <row r="155">
          <cell r="M155" t="str">
            <v>ANDERSON</v>
          </cell>
          <cell r="N155" t="str">
            <v>ANZOLA</v>
          </cell>
          <cell r="AF155">
            <v>11798923.5</v>
          </cell>
        </row>
        <row r="156">
          <cell r="M156" t="str">
            <v>ANDRES</v>
          </cell>
          <cell r="N156" t="str">
            <v>LOPEZ</v>
          </cell>
          <cell r="AF156">
            <v>11798923.5</v>
          </cell>
        </row>
        <row r="157">
          <cell r="M157" t="str">
            <v>ANDY</v>
          </cell>
          <cell r="N157" t="str">
            <v>CRESPO</v>
          </cell>
          <cell r="AF157">
            <v>11624865</v>
          </cell>
        </row>
        <row r="158">
          <cell r="M158" t="str">
            <v>ANGEL</v>
          </cell>
          <cell r="N158" t="str">
            <v>DURAN</v>
          </cell>
          <cell r="AF158">
            <v>34402902.125550009</v>
          </cell>
        </row>
        <row r="159">
          <cell r="M159" t="str">
            <v>ANGEL</v>
          </cell>
          <cell r="N159" t="str">
            <v>MELENDEZ</v>
          </cell>
          <cell r="AF159">
            <v>11283825</v>
          </cell>
        </row>
        <row r="160">
          <cell r="M160" t="str">
            <v>ANGEL</v>
          </cell>
          <cell r="N160" t="str">
            <v>MELENDEZ</v>
          </cell>
          <cell r="AF160">
            <v>11283825</v>
          </cell>
        </row>
        <row r="161">
          <cell r="M161" t="str">
            <v>ANGELA</v>
          </cell>
          <cell r="N161" t="str">
            <v>RODRIGUEZ</v>
          </cell>
          <cell r="AF161">
            <v>8069250</v>
          </cell>
        </row>
        <row r="162">
          <cell r="M162" t="str">
            <v>ANNABEL</v>
          </cell>
          <cell r="N162" t="str">
            <v>PIÑANGO</v>
          </cell>
          <cell r="AF162">
            <v>11283825</v>
          </cell>
        </row>
        <row r="163">
          <cell r="M163" t="str">
            <v>ANTONIO</v>
          </cell>
          <cell r="N163" t="str">
            <v>ALVARADO</v>
          </cell>
          <cell r="AF163">
            <v>11970000.698249999</v>
          </cell>
        </row>
        <row r="164">
          <cell r="M164" t="str">
            <v>ANTONIO</v>
          </cell>
          <cell r="N164" t="str">
            <v>MARTINEZ</v>
          </cell>
          <cell r="AF164">
            <v>11798923.5</v>
          </cell>
        </row>
        <row r="165">
          <cell r="M165" t="str">
            <v>ANTONIO</v>
          </cell>
          <cell r="N165" t="str">
            <v>PEÑA</v>
          </cell>
          <cell r="AF165">
            <v>11283825</v>
          </cell>
        </row>
        <row r="166">
          <cell r="M166" t="str">
            <v>ANTONIO</v>
          </cell>
          <cell r="N166" t="str">
            <v>SINGER</v>
          </cell>
          <cell r="AF166">
            <v>12615907.5</v>
          </cell>
        </row>
        <row r="167">
          <cell r="M167" t="str">
            <v>ANTONIO</v>
          </cell>
          <cell r="N167" t="str">
            <v>TORRES</v>
          </cell>
          <cell r="AF167">
            <v>12615907.5</v>
          </cell>
        </row>
        <row r="168">
          <cell r="M168" t="str">
            <v>AQUILES</v>
          </cell>
          <cell r="N168" t="str">
            <v>ALCALA</v>
          </cell>
          <cell r="AF168">
            <v>58536626.950549997</v>
          </cell>
        </row>
        <row r="169">
          <cell r="M169" t="str">
            <v>ARACELIS</v>
          </cell>
          <cell r="N169" t="str">
            <v>MONTES DE OCA</v>
          </cell>
          <cell r="AF169">
            <v>15331305.99705</v>
          </cell>
        </row>
        <row r="170">
          <cell r="M170" t="str">
            <v>ARGENIS</v>
          </cell>
          <cell r="N170" t="str">
            <v>CARRASQUERO</v>
          </cell>
          <cell r="AF170">
            <v>23625000</v>
          </cell>
        </row>
        <row r="171">
          <cell r="M171" t="str">
            <v>ARMANDO</v>
          </cell>
          <cell r="N171" t="str">
            <v>FLORES</v>
          </cell>
          <cell r="AF171">
            <v>11798923.5</v>
          </cell>
        </row>
        <row r="172">
          <cell r="M172" t="str">
            <v>ARMANDO</v>
          </cell>
          <cell r="N172" t="str">
            <v>RIVERO</v>
          </cell>
          <cell r="AF172">
            <v>12615907.5</v>
          </cell>
        </row>
        <row r="173">
          <cell r="M173" t="str">
            <v>ARTURO</v>
          </cell>
          <cell r="N173" t="str">
            <v>ARCAYA</v>
          </cell>
          <cell r="AF173">
            <v>24962499.997050002</v>
          </cell>
        </row>
        <row r="174">
          <cell r="M174" t="str">
            <v>BARTOLO</v>
          </cell>
          <cell r="N174" t="str">
            <v>PINTO</v>
          </cell>
          <cell r="AF174">
            <v>12701056.314450001</v>
          </cell>
        </row>
        <row r="175">
          <cell r="M175" t="str">
            <v>BELKIS</v>
          </cell>
          <cell r="N175" t="str">
            <v>MELENDEZ</v>
          </cell>
          <cell r="AF175">
            <v>16216043.13675</v>
          </cell>
        </row>
        <row r="176">
          <cell r="M176" t="str">
            <v>BENITO</v>
          </cell>
          <cell r="N176" t="str">
            <v>LUCENA</v>
          </cell>
          <cell r="AF176">
            <v>13457976.000000002</v>
          </cell>
        </row>
        <row r="177">
          <cell r="M177" t="str">
            <v>BIVIAN</v>
          </cell>
          <cell r="N177" t="str">
            <v>MENDOZA</v>
          </cell>
          <cell r="AF177">
            <v>13457976.000000002</v>
          </cell>
        </row>
        <row r="178">
          <cell r="M178" t="str">
            <v>BORMAN</v>
          </cell>
          <cell r="N178" t="str">
            <v>CARRASCO</v>
          </cell>
          <cell r="AF178">
            <v>11624865</v>
          </cell>
        </row>
        <row r="179">
          <cell r="M179" t="str">
            <v>BRUANGER</v>
          </cell>
          <cell r="N179" t="str">
            <v>SALAS</v>
          </cell>
          <cell r="AF179">
            <v>13457976.000000002</v>
          </cell>
        </row>
        <row r="180">
          <cell r="M180" t="str">
            <v>CALIXTO</v>
          </cell>
          <cell r="N180" t="str">
            <v>PEREZ</v>
          </cell>
          <cell r="AF180">
            <v>48066632.100000001</v>
          </cell>
        </row>
        <row r="181">
          <cell r="M181" t="str">
            <v>CANDIDO</v>
          </cell>
          <cell r="N181" t="str">
            <v>DROEZ</v>
          </cell>
          <cell r="AF181">
            <v>28130842.374449998</v>
          </cell>
        </row>
        <row r="182">
          <cell r="M182" t="str">
            <v>CARLOS</v>
          </cell>
          <cell r="N182" t="str">
            <v>ALVARADO</v>
          </cell>
          <cell r="AF182">
            <v>23833785.526200004</v>
          </cell>
        </row>
        <row r="183">
          <cell r="M183" t="str">
            <v>CARLOS</v>
          </cell>
          <cell r="N183" t="str">
            <v>BILLALOBOS</v>
          </cell>
          <cell r="AF183">
            <v>12615907.5</v>
          </cell>
        </row>
        <row r="184">
          <cell r="M184" t="str">
            <v>CARLOS</v>
          </cell>
          <cell r="N184" t="str">
            <v>CAMACHO</v>
          </cell>
          <cell r="AF184">
            <v>11283825</v>
          </cell>
        </row>
        <row r="185">
          <cell r="M185" t="str">
            <v>CARLOS</v>
          </cell>
          <cell r="N185" t="str">
            <v>CAMACHO</v>
          </cell>
          <cell r="AF185">
            <v>11798923.5</v>
          </cell>
        </row>
        <row r="186">
          <cell r="M186" t="str">
            <v>CARLOS</v>
          </cell>
          <cell r="N186" t="str">
            <v>CAMPOS</v>
          </cell>
          <cell r="AF186">
            <v>11798923.5</v>
          </cell>
        </row>
        <row r="187">
          <cell r="M187" t="str">
            <v>CARLOS</v>
          </cell>
          <cell r="N187" t="str">
            <v>CAURO</v>
          </cell>
          <cell r="AF187">
            <v>13457976.000000002</v>
          </cell>
        </row>
        <row r="188">
          <cell r="M188" t="str">
            <v>CARLOS</v>
          </cell>
          <cell r="N188" t="str">
            <v>CUEVAS</v>
          </cell>
          <cell r="AF188">
            <v>11798923.5</v>
          </cell>
        </row>
        <row r="189">
          <cell r="M189" t="str">
            <v>CARLOS</v>
          </cell>
          <cell r="N189" t="str">
            <v>DORANTES</v>
          </cell>
          <cell r="AF189">
            <v>11798923.5</v>
          </cell>
        </row>
        <row r="190">
          <cell r="M190" t="str">
            <v>CARLOS</v>
          </cell>
          <cell r="N190" t="str">
            <v>DURAN</v>
          </cell>
          <cell r="AF190">
            <v>11283825</v>
          </cell>
        </row>
        <row r="191">
          <cell r="M191" t="str">
            <v>CARLOS</v>
          </cell>
          <cell r="N191" t="str">
            <v>ESCOBAR</v>
          </cell>
          <cell r="AF191">
            <v>11283825</v>
          </cell>
        </row>
        <row r="192">
          <cell r="M192" t="str">
            <v>CARLOS</v>
          </cell>
          <cell r="N192" t="str">
            <v>ESPINOZA</v>
          </cell>
          <cell r="AF192">
            <v>23876920.434450001</v>
          </cell>
        </row>
        <row r="193">
          <cell r="M193" t="str">
            <v>CARLOS</v>
          </cell>
          <cell r="N193" t="str">
            <v>INFANTE</v>
          </cell>
          <cell r="AF193">
            <v>11283825</v>
          </cell>
        </row>
        <row r="194">
          <cell r="M194" t="str">
            <v>CARLOS</v>
          </cell>
          <cell r="N194" t="str">
            <v>LOZADA</v>
          </cell>
          <cell r="AF194">
            <v>11283825</v>
          </cell>
        </row>
        <row r="195">
          <cell r="M195" t="str">
            <v>CARLOS</v>
          </cell>
          <cell r="N195" t="str">
            <v>MARQUEZ</v>
          </cell>
          <cell r="AF195">
            <v>11798923.5</v>
          </cell>
        </row>
        <row r="196">
          <cell r="M196" t="str">
            <v>CARLOS</v>
          </cell>
          <cell r="N196" t="str">
            <v>MELENDEZ</v>
          </cell>
          <cell r="AF196">
            <v>13457976.000000002</v>
          </cell>
        </row>
        <row r="197">
          <cell r="M197" t="str">
            <v>CARLOS</v>
          </cell>
          <cell r="N197" t="str">
            <v>MENDOZA</v>
          </cell>
          <cell r="AF197">
            <v>13457976.000000002</v>
          </cell>
        </row>
        <row r="198">
          <cell r="M198" t="str">
            <v>CARLOS</v>
          </cell>
          <cell r="N198" t="str">
            <v>MONTERO</v>
          </cell>
          <cell r="AF198">
            <v>11283825</v>
          </cell>
        </row>
        <row r="199">
          <cell r="M199" t="str">
            <v>CARLOS</v>
          </cell>
          <cell r="N199" t="str">
            <v>MONTILLA</v>
          </cell>
          <cell r="AF199">
            <v>11798923.5</v>
          </cell>
        </row>
        <row r="200">
          <cell r="M200" t="str">
            <v>CARLOS</v>
          </cell>
          <cell r="N200" t="str">
            <v>MOSQUERA</v>
          </cell>
          <cell r="AF200">
            <v>11283825</v>
          </cell>
        </row>
        <row r="201">
          <cell r="M201" t="str">
            <v>CARLOS</v>
          </cell>
          <cell r="N201" t="str">
            <v>RODRIGUEZ</v>
          </cell>
          <cell r="AF201">
            <v>11283825</v>
          </cell>
        </row>
        <row r="202">
          <cell r="M202" t="str">
            <v>CARLOS</v>
          </cell>
          <cell r="N202" t="str">
            <v>RODRIGUEZ</v>
          </cell>
          <cell r="AF202">
            <v>11624865</v>
          </cell>
        </row>
        <row r="203">
          <cell r="M203" t="str">
            <v>CARLOS</v>
          </cell>
          <cell r="N203" t="str">
            <v>SUAREZ</v>
          </cell>
          <cell r="AF203">
            <v>26338278.668250002</v>
          </cell>
        </row>
        <row r="204">
          <cell r="M204" t="str">
            <v>CARLOS</v>
          </cell>
          <cell r="N204" t="str">
            <v>VANEGAS</v>
          </cell>
          <cell r="AF204">
            <v>15342062.281199999</v>
          </cell>
        </row>
        <row r="205">
          <cell r="M205" t="str">
            <v>CARMEN</v>
          </cell>
          <cell r="N205" t="str">
            <v>GIMENEZ</v>
          </cell>
          <cell r="AF205">
            <v>11283825</v>
          </cell>
        </row>
        <row r="206">
          <cell r="M206" t="str">
            <v>CARMEN</v>
          </cell>
          <cell r="N206" t="str">
            <v>MELENDEZ</v>
          </cell>
          <cell r="AF206">
            <v>13457976.000000002</v>
          </cell>
        </row>
        <row r="207">
          <cell r="M207" t="str">
            <v>CECILIO</v>
          </cell>
          <cell r="N207" t="str">
            <v>RIVERO</v>
          </cell>
          <cell r="AF207">
            <v>11283825</v>
          </cell>
        </row>
        <row r="208">
          <cell r="M208" t="str">
            <v>CESAR</v>
          </cell>
          <cell r="N208" t="str">
            <v>GIMENEZ</v>
          </cell>
          <cell r="AF208">
            <v>11283825</v>
          </cell>
        </row>
        <row r="209">
          <cell r="M209" t="str">
            <v>CESAR</v>
          </cell>
          <cell r="N209" t="str">
            <v>GOMEZ</v>
          </cell>
          <cell r="AF209">
            <v>12615907.5</v>
          </cell>
        </row>
        <row r="210">
          <cell r="M210" t="str">
            <v>CESAR</v>
          </cell>
          <cell r="N210" t="str">
            <v>JORDAN</v>
          </cell>
          <cell r="AF210">
            <v>81083895.452950001</v>
          </cell>
        </row>
        <row r="211">
          <cell r="M211" t="str">
            <v>CESAR</v>
          </cell>
          <cell r="N211" t="str">
            <v>PEÑA</v>
          </cell>
          <cell r="AF211">
            <v>11283825</v>
          </cell>
        </row>
        <row r="212">
          <cell r="M212" t="str">
            <v>CESAR</v>
          </cell>
          <cell r="N212" t="str">
            <v>QUERALES</v>
          </cell>
          <cell r="AF212">
            <v>11798923.5</v>
          </cell>
        </row>
        <row r="213">
          <cell r="M213" t="str">
            <v>CESAR</v>
          </cell>
          <cell r="N213" t="str">
            <v>ROJAS</v>
          </cell>
          <cell r="AF213">
            <v>11798923.5</v>
          </cell>
        </row>
        <row r="214">
          <cell r="M214" t="str">
            <v>CHARLES</v>
          </cell>
          <cell r="N214" t="str">
            <v>ARROYO</v>
          </cell>
          <cell r="AF214">
            <v>11624865</v>
          </cell>
        </row>
        <row r="215">
          <cell r="M215" t="str">
            <v>CHERRIS</v>
          </cell>
          <cell r="N215" t="str">
            <v>ANZOLA</v>
          </cell>
          <cell r="AF215">
            <v>11798923.5</v>
          </cell>
        </row>
        <row r="216">
          <cell r="M216" t="str">
            <v>COSME</v>
          </cell>
          <cell r="N216" t="str">
            <v>MENDEZ</v>
          </cell>
          <cell r="AF216">
            <v>11624865</v>
          </cell>
        </row>
        <row r="217">
          <cell r="M217" t="str">
            <v>CRISNEY</v>
          </cell>
          <cell r="N217" t="str">
            <v>RODRIGUEZ</v>
          </cell>
          <cell r="AF217">
            <v>11798923.5</v>
          </cell>
        </row>
        <row r="218">
          <cell r="M218" t="str">
            <v>CRISTIAN</v>
          </cell>
          <cell r="N218" t="str">
            <v>CAMPOS</v>
          </cell>
          <cell r="AF218">
            <v>11283825</v>
          </cell>
        </row>
        <row r="219">
          <cell r="M219" t="str">
            <v>DAMARO</v>
          </cell>
          <cell r="N219" t="str">
            <v>DORANTES</v>
          </cell>
          <cell r="AF219">
            <v>11798923.5</v>
          </cell>
        </row>
        <row r="220">
          <cell r="M220" t="str">
            <v>DANIEL</v>
          </cell>
          <cell r="N220" t="str">
            <v>BASTIDAS</v>
          </cell>
          <cell r="AF220">
            <v>11283825</v>
          </cell>
        </row>
        <row r="221">
          <cell r="M221" t="str">
            <v>DANIEL</v>
          </cell>
          <cell r="N221" t="str">
            <v>HERRERA</v>
          </cell>
          <cell r="AF221">
            <v>0</v>
          </cell>
        </row>
        <row r="222">
          <cell r="M222" t="str">
            <v>DANIEL</v>
          </cell>
          <cell r="N222" t="str">
            <v>MENDOZA</v>
          </cell>
          <cell r="AF222">
            <v>11798923.5</v>
          </cell>
        </row>
        <row r="223">
          <cell r="M223" t="str">
            <v>DANIEL</v>
          </cell>
          <cell r="N223" t="str">
            <v>MOSQUERA</v>
          </cell>
          <cell r="AF223">
            <v>11283825</v>
          </cell>
        </row>
        <row r="224">
          <cell r="M224" t="str">
            <v>DANIEL</v>
          </cell>
          <cell r="N224" t="str">
            <v>OCANTO</v>
          </cell>
          <cell r="AF224">
            <v>11798923.5</v>
          </cell>
        </row>
        <row r="225">
          <cell r="M225" t="str">
            <v>DANIEL</v>
          </cell>
          <cell r="N225" t="str">
            <v>RODRIGUEZ</v>
          </cell>
          <cell r="AF225">
            <v>139323369.67675</v>
          </cell>
        </row>
        <row r="226">
          <cell r="M226" t="str">
            <v>DANNY</v>
          </cell>
          <cell r="N226" t="str">
            <v>MONTERO</v>
          </cell>
          <cell r="AF226">
            <v>11798923.5</v>
          </cell>
        </row>
        <row r="227">
          <cell r="M227" t="str">
            <v>DANNYS</v>
          </cell>
          <cell r="N227" t="str">
            <v>NIEVES</v>
          </cell>
          <cell r="AF227">
            <v>13457976.000000002</v>
          </cell>
        </row>
        <row r="228">
          <cell r="M228" t="str">
            <v>DARIO</v>
          </cell>
          <cell r="N228" t="str">
            <v>GUTIERREZ</v>
          </cell>
          <cell r="AF228">
            <v>19846201.927950002</v>
          </cell>
        </row>
        <row r="229">
          <cell r="M229" t="str">
            <v>DARWIN</v>
          </cell>
          <cell r="N229" t="str">
            <v>CRESPO</v>
          </cell>
          <cell r="AF229">
            <v>16256215.88295</v>
          </cell>
        </row>
        <row r="230">
          <cell r="M230" t="str">
            <v>DARWIN</v>
          </cell>
          <cell r="N230" t="str">
            <v>CUEVAS</v>
          </cell>
          <cell r="AF230">
            <v>12615907.5</v>
          </cell>
        </row>
        <row r="231">
          <cell r="M231" t="str">
            <v>DAVID</v>
          </cell>
          <cell r="N231" t="str">
            <v>MENDEZ</v>
          </cell>
          <cell r="AF231">
            <v>13457976.000000002</v>
          </cell>
        </row>
        <row r="232">
          <cell r="M232" t="str">
            <v>DAVID</v>
          </cell>
          <cell r="N232" t="str">
            <v>TORREALBA</v>
          </cell>
          <cell r="AF232">
            <v>13457976.000000002</v>
          </cell>
        </row>
        <row r="233">
          <cell r="M233" t="str">
            <v>DAVID</v>
          </cell>
          <cell r="N233" t="str">
            <v>TUA</v>
          </cell>
          <cell r="AF233">
            <v>11624865</v>
          </cell>
        </row>
        <row r="234">
          <cell r="M234" t="str">
            <v>DEIBY</v>
          </cell>
          <cell r="N234" t="str">
            <v>VERDE</v>
          </cell>
          <cell r="AF234">
            <v>13457976.000000002</v>
          </cell>
        </row>
        <row r="235">
          <cell r="M235" t="str">
            <v>DEMETRIO</v>
          </cell>
          <cell r="N235" t="str">
            <v>SOLORZANO</v>
          </cell>
          <cell r="AF235">
            <v>11624865</v>
          </cell>
        </row>
        <row r="236">
          <cell r="M236" t="str">
            <v>DENIS</v>
          </cell>
          <cell r="N236" t="str">
            <v>TORRES</v>
          </cell>
          <cell r="AF236">
            <v>13457976.000000002</v>
          </cell>
        </row>
        <row r="237">
          <cell r="M237" t="str">
            <v>DENNY</v>
          </cell>
          <cell r="N237" t="str">
            <v>MELENDEZ</v>
          </cell>
          <cell r="AF237">
            <v>11283825</v>
          </cell>
        </row>
        <row r="238">
          <cell r="M238" t="str">
            <v>DENNY</v>
          </cell>
          <cell r="N238" t="str">
            <v>VERDE</v>
          </cell>
          <cell r="AF238">
            <v>11624865</v>
          </cell>
        </row>
        <row r="239">
          <cell r="M239" t="str">
            <v>DENNYS</v>
          </cell>
          <cell r="N239" t="str">
            <v>LUGO</v>
          </cell>
          <cell r="AF239">
            <v>17062732.1688</v>
          </cell>
        </row>
        <row r="240">
          <cell r="M240" t="str">
            <v>DIEGO</v>
          </cell>
          <cell r="N240" t="str">
            <v>RIERA</v>
          </cell>
          <cell r="AF240">
            <v>11798923.5</v>
          </cell>
        </row>
        <row r="241">
          <cell r="M241" t="str">
            <v>DIGMELBY</v>
          </cell>
          <cell r="N241" t="str">
            <v>RODRIGUEZ</v>
          </cell>
          <cell r="AF241">
            <v>15745067.24295</v>
          </cell>
        </row>
        <row r="242">
          <cell r="M242" t="str">
            <v>DIMAS</v>
          </cell>
          <cell r="N242" t="str">
            <v>BUENO</v>
          </cell>
          <cell r="AF242">
            <v>41283482.550000004</v>
          </cell>
        </row>
        <row r="243">
          <cell r="M243" t="str">
            <v>DIMAS</v>
          </cell>
          <cell r="N243" t="str">
            <v>MENDOZA</v>
          </cell>
          <cell r="AF243">
            <v>11624865</v>
          </cell>
        </row>
        <row r="244">
          <cell r="M244" t="str">
            <v>DOMINGO</v>
          </cell>
          <cell r="N244" t="str">
            <v>INFANTE</v>
          </cell>
          <cell r="AF244">
            <v>12615907.5</v>
          </cell>
        </row>
        <row r="245">
          <cell r="M245" t="str">
            <v>DOUGLAS</v>
          </cell>
          <cell r="N245" t="str">
            <v>ROSAS</v>
          </cell>
          <cell r="AF245">
            <v>11624865</v>
          </cell>
        </row>
        <row r="246">
          <cell r="M246" t="str">
            <v>EDDIE</v>
          </cell>
          <cell r="N246" t="str">
            <v>LADINO</v>
          </cell>
          <cell r="AF246">
            <v>11624865</v>
          </cell>
        </row>
        <row r="247">
          <cell r="M247" t="str">
            <v>EDDY</v>
          </cell>
          <cell r="N247" t="str">
            <v>CHIRINOS</v>
          </cell>
          <cell r="AF247">
            <v>16877581.20795</v>
          </cell>
        </row>
        <row r="248">
          <cell r="M248" t="str">
            <v>EDGAR</v>
          </cell>
          <cell r="N248" t="str">
            <v>CUEVAS</v>
          </cell>
          <cell r="AF248">
            <v>11283825</v>
          </cell>
        </row>
        <row r="249">
          <cell r="M249" t="str">
            <v>EDGAR</v>
          </cell>
          <cell r="N249" t="str">
            <v>MELENDEZ</v>
          </cell>
          <cell r="AF249">
            <v>13457976.000000002</v>
          </cell>
        </row>
        <row r="250">
          <cell r="M250" t="str">
            <v>EDGAR</v>
          </cell>
          <cell r="N250" t="str">
            <v>TORRES</v>
          </cell>
          <cell r="AF250">
            <v>13457976.000000002</v>
          </cell>
        </row>
        <row r="251">
          <cell r="M251" t="str">
            <v>EDITA</v>
          </cell>
          <cell r="N251" t="str">
            <v>CRESPO</v>
          </cell>
          <cell r="AF251">
            <v>17112866.720550001</v>
          </cell>
        </row>
        <row r="252">
          <cell r="M252" t="str">
            <v>EDIXON</v>
          </cell>
          <cell r="N252" t="str">
            <v>ESCOBAR</v>
          </cell>
          <cell r="AF252">
            <v>11798923.5</v>
          </cell>
        </row>
        <row r="253">
          <cell r="M253" t="str">
            <v>EDIXON</v>
          </cell>
          <cell r="N253" t="str">
            <v>HERNANDEZ</v>
          </cell>
          <cell r="AF253">
            <v>13457976.000000002</v>
          </cell>
        </row>
        <row r="254">
          <cell r="M254" t="str">
            <v>EDUARDO</v>
          </cell>
          <cell r="N254" t="str">
            <v>PINEDA</v>
          </cell>
          <cell r="AF254">
            <v>11283825</v>
          </cell>
        </row>
        <row r="255">
          <cell r="M255" t="str">
            <v>EDUARDO</v>
          </cell>
          <cell r="N255" t="str">
            <v>RODRIGUEZ</v>
          </cell>
          <cell r="AF255">
            <v>11283825</v>
          </cell>
        </row>
        <row r="256">
          <cell r="M256" t="str">
            <v>EDUARDO</v>
          </cell>
          <cell r="N256" t="str">
            <v>SIERRALTA</v>
          </cell>
          <cell r="AF256">
            <v>12615907.5</v>
          </cell>
        </row>
        <row r="257">
          <cell r="M257" t="str">
            <v>EDUARDO</v>
          </cell>
          <cell r="N257" t="str">
            <v>SUAREZ</v>
          </cell>
          <cell r="AF257">
            <v>11798923.5</v>
          </cell>
        </row>
        <row r="258">
          <cell r="M258" t="str">
            <v>EDUARDO</v>
          </cell>
          <cell r="N258" t="str">
            <v>VERDE</v>
          </cell>
          <cell r="AF258">
            <v>13457976.000000002</v>
          </cell>
        </row>
        <row r="259">
          <cell r="M259" t="str">
            <v>EGARDO</v>
          </cell>
          <cell r="N259" t="str">
            <v>SIMANCA</v>
          </cell>
          <cell r="AF259">
            <v>11624865</v>
          </cell>
        </row>
        <row r="260">
          <cell r="M260" t="str">
            <v>ELEUTERIO</v>
          </cell>
          <cell r="N260" t="str">
            <v>TERAN</v>
          </cell>
          <cell r="AF260">
            <v>11283825</v>
          </cell>
        </row>
        <row r="261">
          <cell r="M261" t="str">
            <v>ELIANA</v>
          </cell>
          <cell r="N261" t="str">
            <v>ALVAREZ</v>
          </cell>
          <cell r="AF261">
            <v>19111220.092950001</v>
          </cell>
        </row>
        <row r="262">
          <cell r="M262" t="str">
            <v>ELIMENAS</v>
          </cell>
          <cell r="N262" t="str">
            <v>GALLARDO</v>
          </cell>
          <cell r="AF262">
            <v>12615907.5</v>
          </cell>
        </row>
        <row r="263">
          <cell r="M263" t="str">
            <v>ELIS</v>
          </cell>
          <cell r="N263" t="str">
            <v>CARRASCO</v>
          </cell>
          <cell r="AF263">
            <v>11283825</v>
          </cell>
        </row>
        <row r="264">
          <cell r="M264" t="str">
            <v>ELITZA</v>
          </cell>
          <cell r="N264" t="str">
            <v>ALVAREZ</v>
          </cell>
          <cell r="AF264">
            <v>13202532.99825</v>
          </cell>
        </row>
        <row r="265">
          <cell r="M265" t="str">
            <v>ELOY</v>
          </cell>
          <cell r="N265" t="str">
            <v>GONZALEZ</v>
          </cell>
          <cell r="AF265">
            <v>13457976.000000002</v>
          </cell>
        </row>
        <row r="266">
          <cell r="M266" t="str">
            <v>ELVIS</v>
          </cell>
          <cell r="N266" t="str">
            <v>CHIRINOS</v>
          </cell>
          <cell r="AF266">
            <v>11798923.5</v>
          </cell>
        </row>
        <row r="267">
          <cell r="M267" t="str">
            <v>ELY</v>
          </cell>
          <cell r="N267" t="str">
            <v>ESPINOZA</v>
          </cell>
          <cell r="AF267">
            <v>11624865</v>
          </cell>
        </row>
        <row r="268">
          <cell r="M268" t="str">
            <v>ELY</v>
          </cell>
          <cell r="N268" t="str">
            <v>PEÑA</v>
          </cell>
          <cell r="AF268">
            <v>12615907.5</v>
          </cell>
        </row>
        <row r="269">
          <cell r="M269" t="str">
            <v>ENDER</v>
          </cell>
          <cell r="N269" t="str">
            <v>MENDOZA</v>
          </cell>
          <cell r="AF269">
            <v>11624865</v>
          </cell>
        </row>
        <row r="270">
          <cell r="M270" t="str">
            <v>ENDER</v>
          </cell>
          <cell r="N270" t="str">
            <v>RIERA</v>
          </cell>
          <cell r="AF270">
            <v>11798923.5</v>
          </cell>
        </row>
        <row r="271">
          <cell r="M271" t="str">
            <v>ENRIQUE</v>
          </cell>
          <cell r="N271" t="str">
            <v>INFANTE</v>
          </cell>
          <cell r="AF271">
            <v>11624865</v>
          </cell>
        </row>
        <row r="272">
          <cell r="M272" t="str">
            <v>ERNESTO</v>
          </cell>
          <cell r="N272" t="str">
            <v>CARRASCO</v>
          </cell>
          <cell r="AF272">
            <v>12200037.15</v>
          </cell>
        </row>
        <row r="273">
          <cell r="M273" t="str">
            <v>ERNESTO</v>
          </cell>
          <cell r="N273" t="str">
            <v>LOZADA</v>
          </cell>
          <cell r="AF273">
            <v>11283825</v>
          </cell>
        </row>
        <row r="274">
          <cell r="M274" t="str">
            <v>ERYS</v>
          </cell>
          <cell r="N274" t="str">
            <v>PIÑANGO</v>
          </cell>
          <cell r="AF274">
            <v>11283825</v>
          </cell>
        </row>
        <row r="275">
          <cell r="M275" t="str">
            <v>EUCLIDES</v>
          </cell>
          <cell r="N275" t="str">
            <v>RODRIGUEZ</v>
          </cell>
          <cell r="AF275">
            <v>11798923.5</v>
          </cell>
        </row>
        <row r="276">
          <cell r="M276" t="str">
            <v>EUCLIDES</v>
          </cell>
          <cell r="N276" t="str">
            <v>VARGAS</v>
          </cell>
          <cell r="AF276">
            <v>14171841.186750002</v>
          </cell>
        </row>
        <row r="277">
          <cell r="M277" t="str">
            <v>EUDIS</v>
          </cell>
          <cell r="N277" t="str">
            <v>LOZADA</v>
          </cell>
          <cell r="AF277">
            <v>11283825</v>
          </cell>
        </row>
        <row r="278">
          <cell r="M278" t="str">
            <v>EUDIS</v>
          </cell>
          <cell r="N278" t="str">
            <v>RODRIGUEZ</v>
          </cell>
          <cell r="AF278">
            <v>11624865</v>
          </cell>
        </row>
        <row r="279">
          <cell r="M279" t="str">
            <v>EUDY</v>
          </cell>
          <cell r="N279" t="str">
            <v>CARRASCO</v>
          </cell>
          <cell r="AF279">
            <v>11283825</v>
          </cell>
        </row>
        <row r="280">
          <cell r="M280" t="str">
            <v>EUDYS</v>
          </cell>
          <cell r="N280" t="str">
            <v>HERRERA</v>
          </cell>
          <cell r="AF280">
            <v>11624865</v>
          </cell>
        </row>
        <row r="281">
          <cell r="M281" t="str">
            <v>EUSTAQUIO</v>
          </cell>
          <cell r="N281" t="str">
            <v>CAMACARO</v>
          </cell>
          <cell r="AF281">
            <v>11283825</v>
          </cell>
        </row>
        <row r="282">
          <cell r="M282" t="str">
            <v>EVER</v>
          </cell>
          <cell r="N282" t="str">
            <v>RODRIGUEZ</v>
          </cell>
          <cell r="AF282">
            <v>11624865</v>
          </cell>
        </row>
        <row r="283">
          <cell r="M283" t="str">
            <v>EWDUAR</v>
          </cell>
          <cell r="N283" t="str">
            <v>PEÑA</v>
          </cell>
          <cell r="AF283">
            <v>11283825</v>
          </cell>
        </row>
        <row r="284">
          <cell r="M284" t="str">
            <v>FELIPE</v>
          </cell>
          <cell r="N284" t="str">
            <v>PACHECO</v>
          </cell>
          <cell r="AF284">
            <v>11970000</v>
          </cell>
        </row>
        <row r="285">
          <cell r="M285" t="str">
            <v>FELIX</v>
          </cell>
          <cell r="N285" t="str">
            <v>CAMACARO</v>
          </cell>
          <cell r="AF285">
            <v>12615907.5</v>
          </cell>
        </row>
        <row r="286">
          <cell r="M286" t="str">
            <v>FELIX</v>
          </cell>
          <cell r="N286" t="str">
            <v>CAMACHO</v>
          </cell>
          <cell r="AF286">
            <v>11798923.5</v>
          </cell>
        </row>
        <row r="287">
          <cell r="M287" t="str">
            <v>FELIZ</v>
          </cell>
          <cell r="N287" t="str">
            <v>PEREZ</v>
          </cell>
          <cell r="AF287">
            <v>11283825</v>
          </cell>
        </row>
        <row r="288">
          <cell r="M288" t="str">
            <v>FELMI</v>
          </cell>
          <cell r="N288" t="str">
            <v>QUERALES</v>
          </cell>
          <cell r="AF288">
            <v>11283825</v>
          </cell>
        </row>
        <row r="289">
          <cell r="M289" t="str">
            <v>FIDEL</v>
          </cell>
          <cell r="N289" t="str">
            <v>GONZALEZ</v>
          </cell>
          <cell r="AF289">
            <v>11798923.5</v>
          </cell>
        </row>
        <row r="290">
          <cell r="M290" t="str">
            <v>FIDEL</v>
          </cell>
          <cell r="N290" t="str">
            <v>PASTRAN</v>
          </cell>
          <cell r="AF290">
            <v>11798923.5</v>
          </cell>
        </row>
        <row r="291">
          <cell r="M291" t="str">
            <v>FILPO</v>
          </cell>
          <cell r="N291" t="str">
            <v>MELENDEZ</v>
          </cell>
          <cell r="AF291">
            <v>11283825</v>
          </cell>
        </row>
        <row r="292">
          <cell r="M292" t="str">
            <v>FLAVIO</v>
          </cell>
          <cell r="N292" t="str">
            <v>NIEVES</v>
          </cell>
          <cell r="AF292">
            <v>13457976.000000002</v>
          </cell>
        </row>
        <row r="293">
          <cell r="M293" t="str">
            <v>FRANCISCO</v>
          </cell>
          <cell r="N293" t="str">
            <v>ALVAREZ</v>
          </cell>
          <cell r="AF293">
            <v>13457976.000000002</v>
          </cell>
        </row>
        <row r="294">
          <cell r="M294" t="str">
            <v>FRANCISCO</v>
          </cell>
          <cell r="N294" t="str">
            <v>BRICEÑO</v>
          </cell>
          <cell r="AF294">
            <v>61845632.225550011</v>
          </cell>
        </row>
        <row r="295">
          <cell r="M295" t="str">
            <v>FRANCISCO</v>
          </cell>
          <cell r="N295" t="str">
            <v>LOPEZ</v>
          </cell>
          <cell r="AF295">
            <v>11798923.5</v>
          </cell>
        </row>
        <row r="296">
          <cell r="M296" t="str">
            <v>FRANCISCO</v>
          </cell>
          <cell r="N296" t="str">
            <v>NIEVES</v>
          </cell>
          <cell r="AF296">
            <v>14347394.25</v>
          </cell>
        </row>
        <row r="297">
          <cell r="M297" t="str">
            <v>FRANCISCO</v>
          </cell>
          <cell r="N297" t="str">
            <v>PEREZ</v>
          </cell>
          <cell r="AF297">
            <v>12615907.5</v>
          </cell>
        </row>
        <row r="298">
          <cell r="M298" t="str">
            <v>FRANCISCO</v>
          </cell>
          <cell r="N298" t="str">
            <v>SANTELIZ</v>
          </cell>
          <cell r="AF298">
            <v>13457976.000000002</v>
          </cell>
        </row>
        <row r="299">
          <cell r="M299" t="str">
            <v>FRANCISCO</v>
          </cell>
          <cell r="N299" t="str">
            <v>TENIAS</v>
          </cell>
          <cell r="AF299">
            <v>35373047.274450004</v>
          </cell>
        </row>
        <row r="300">
          <cell r="M300" t="str">
            <v>FRANCISCO</v>
          </cell>
          <cell r="N300" t="str">
            <v>VERDE</v>
          </cell>
          <cell r="AF300">
            <v>13457976.000000002</v>
          </cell>
        </row>
        <row r="301">
          <cell r="M301" t="str">
            <v>FRANKLIN</v>
          </cell>
          <cell r="N301" t="str">
            <v>LEAL</v>
          </cell>
          <cell r="AF301">
            <v>13457976.000000002</v>
          </cell>
        </row>
        <row r="302">
          <cell r="M302" t="str">
            <v>FRANKLIN</v>
          </cell>
          <cell r="N302" t="str">
            <v>PIÑA</v>
          </cell>
          <cell r="AF302">
            <v>11798923.5</v>
          </cell>
        </row>
        <row r="303">
          <cell r="M303" t="str">
            <v>FRANKLIN</v>
          </cell>
          <cell r="N303" t="str">
            <v>SANCHEZ</v>
          </cell>
          <cell r="AF303">
            <v>11798923.5</v>
          </cell>
        </row>
        <row r="304">
          <cell r="M304" t="str">
            <v>FRANKY</v>
          </cell>
          <cell r="N304" t="str">
            <v>VIVAS</v>
          </cell>
          <cell r="AF304">
            <v>11798923.5</v>
          </cell>
        </row>
        <row r="305">
          <cell r="M305" t="str">
            <v>FRANM</v>
          </cell>
          <cell r="N305" t="str">
            <v>RODRIGUEZ</v>
          </cell>
          <cell r="AF305">
            <v>11798923.5</v>
          </cell>
        </row>
        <row r="306">
          <cell r="M306" t="str">
            <v>FREDDY</v>
          </cell>
          <cell r="N306" t="str">
            <v>DORANTE</v>
          </cell>
          <cell r="AF306">
            <v>11798923.5</v>
          </cell>
        </row>
        <row r="307">
          <cell r="M307" t="str">
            <v>FREDDY</v>
          </cell>
          <cell r="N307" t="str">
            <v>GUTIERREZ</v>
          </cell>
          <cell r="AF307">
            <v>11798923.5</v>
          </cell>
        </row>
        <row r="308">
          <cell r="M308" t="str">
            <v>FREDDY</v>
          </cell>
          <cell r="N308" t="str">
            <v>PEREZ</v>
          </cell>
          <cell r="AF308">
            <v>11798923.5</v>
          </cell>
        </row>
        <row r="309">
          <cell r="M309" t="str">
            <v>FREDERIK</v>
          </cell>
          <cell r="N309" t="str">
            <v>MENDOZA</v>
          </cell>
          <cell r="AF309">
            <v>13457976.000000002</v>
          </cell>
        </row>
        <row r="310">
          <cell r="M310" t="str">
            <v>GABRIEL</v>
          </cell>
          <cell r="N310" t="str">
            <v>VARGAS</v>
          </cell>
          <cell r="AF310">
            <v>12615907.5</v>
          </cell>
        </row>
        <row r="311">
          <cell r="M311" t="str">
            <v>GARY</v>
          </cell>
          <cell r="N311" t="str">
            <v>RODRIGUEZ</v>
          </cell>
          <cell r="AF311">
            <v>11798923.5</v>
          </cell>
        </row>
        <row r="312">
          <cell r="M312" t="str">
            <v>GAUDYS</v>
          </cell>
          <cell r="N312" t="str">
            <v>MENDOZA</v>
          </cell>
          <cell r="AF312">
            <v>13457976.000000002</v>
          </cell>
        </row>
        <row r="313">
          <cell r="M313" t="str">
            <v>GEOVANNY</v>
          </cell>
          <cell r="N313" t="str">
            <v>LOZADA</v>
          </cell>
          <cell r="AF313">
            <v>11798923.5</v>
          </cell>
        </row>
        <row r="314">
          <cell r="M314" t="str">
            <v>GEOVANNY</v>
          </cell>
          <cell r="N314" t="str">
            <v>USECHE</v>
          </cell>
          <cell r="AF314">
            <v>57175263.774450004</v>
          </cell>
        </row>
        <row r="315">
          <cell r="M315" t="str">
            <v>GIANNA</v>
          </cell>
          <cell r="N315" t="str">
            <v>CAROLLA</v>
          </cell>
          <cell r="AF315">
            <v>26617263.526199996</v>
          </cell>
        </row>
        <row r="316">
          <cell r="M316" t="str">
            <v>GIL</v>
          </cell>
          <cell r="N316" t="str">
            <v>MARTINEZ</v>
          </cell>
          <cell r="AF316">
            <v>11798923.5</v>
          </cell>
        </row>
        <row r="317">
          <cell r="M317" t="str">
            <v>GILBERT</v>
          </cell>
          <cell r="N317" t="str">
            <v>ROMERO</v>
          </cell>
          <cell r="AF317">
            <v>11624865</v>
          </cell>
        </row>
        <row r="318">
          <cell r="M318" t="str">
            <v>GILBERTO</v>
          </cell>
          <cell r="N318" t="str">
            <v>PEREIRA</v>
          </cell>
          <cell r="AF318">
            <v>11798923.5</v>
          </cell>
        </row>
        <row r="319">
          <cell r="M319" t="str">
            <v>GILMER</v>
          </cell>
          <cell r="N319" t="str">
            <v>TERAN</v>
          </cell>
          <cell r="AF319">
            <v>11798923.5</v>
          </cell>
        </row>
        <row r="320">
          <cell r="M320" t="str">
            <v>GLADYS</v>
          </cell>
          <cell r="N320" t="str">
            <v>VILLANUEVA</v>
          </cell>
          <cell r="AF320">
            <v>11283825</v>
          </cell>
        </row>
        <row r="321">
          <cell r="M321" t="str">
            <v>GREGORIO</v>
          </cell>
          <cell r="N321" t="str">
            <v>CHIRINOS</v>
          </cell>
          <cell r="AF321">
            <v>13457976.000000002</v>
          </cell>
        </row>
        <row r="322">
          <cell r="M322" t="str">
            <v>GREGORIO</v>
          </cell>
          <cell r="N322" t="str">
            <v>MELENDEZ</v>
          </cell>
          <cell r="AF322">
            <v>13457976.000000002</v>
          </cell>
        </row>
        <row r="323">
          <cell r="M323" t="str">
            <v>GREGORIO</v>
          </cell>
          <cell r="N323" t="str">
            <v>MENDOZA</v>
          </cell>
          <cell r="AF323">
            <v>11798923.5</v>
          </cell>
        </row>
        <row r="324">
          <cell r="M324" t="str">
            <v>GREGORIO</v>
          </cell>
          <cell r="N324" t="str">
            <v>ROMERO</v>
          </cell>
          <cell r="AF324">
            <v>11283825</v>
          </cell>
        </row>
        <row r="325">
          <cell r="M325" t="str">
            <v>GUILLERMO</v>
          </cell>
          <cell r="N325" t="str">
            <v>NIEVES</v>
          </cell>
          <cell r="AF325">
            <v>12615907.5</v>
          </cell>
        </row>
        <row r="326">
          <cell r="M326" t="str">
            <v>GUILLERMO</v>
          </cell>
          <cell r="N326" t="str">
            <v>WENZEL</v>
          </cell>
          <cell r="AF326">
            <v>91549316.724999994</v>
          </cell>
        </row>
        <row r="327">
          <cell r="M327" t="str">
            <v>GUMERCINDO</v>
          </cell>
          <cell r="N327" t="str">
            <v>VELASQUEZ</v>
          </cell>
          <cell r="AF327">
            <v>11283825</v>
          </cell>
        </row>
        <row r="328">
          <cell r="M328" t="str">
            <v>GUSTAVO</v>
          </cell>
          <cell r="N328" t="str">
            <v>RODRIGUEZ</v>
          </cell>
          <cell r="AF328">
            <v>13457976.000000002</v>
          </cell>
        </row>
        <row r="329">
          <cell r="M329" t="str">
            <v>GUSTAVO</v>
          </cell>
          <cell r="N329" t="str">
            <v>VELAZQUEZ</v>
          </cell>
          <cell r="AF329">
            <v>34941947.72445</v>
          </cell>
        </row>
        <row r="330">
          <cell r="M330" t="str">
            <v>HECTOR</v>
          </cell>
          <cell r="N330" t="str">
            <v>ALVAREZ</v>
          </cell>
          <cell r="AF330">
            <v>11798923.5</v>
          </cell>
        </row>
        <row r="331">
          <cell r="M331" t="str">
            <v>HECTOR</v>
          </cell>
          <cell r="N331" t="str">
            <v>CAMPOS</v>
          </cell>
          <cell r="AF331">
            <v>12615907.5</v>
          </cell>
        </row>
        <row r="332">
          <cell r="M332" t="str">
            <v>HECTOR</v>
          </cell>
          <cell r="N332" t="str">
            <v>MELENDEZ</v>
          </cell>
          <cell r="AF332">
            <v>13457976.000000002</v>
          </cell>
        </row>
        <row r="333">
          <cell r="M333" t="str">
            <v>HECTOR</v>
          </cell>
          <cell r="N333" t="str">
            <v>PIÑA</v>
          </cell>
          <cell r="AF333">
            <v>11798923.5</v>
          </cell>
        </row>
        <row r="334">
          <cell r="M334" t="str">
            <v>HECTOR</v>
          </cell>
          <cell r="N334" t="str">
            <v>PORTELES</v>
          </cell>
          <cell r="AF334">
            <v>12615907.5</v>
          </cell>
        </row>
        <row r="335">
          <cell r="M335" t="str">
            <v>HENRY</v>
          </cell>
          <cell r="N335" t="str">
            <v>MARCHAN</v>
          </cell>
          <cell r="AF335">
            <v>11283825</v>
          </cell>
        </row>
        <row r="336">
          <cell r="M336" t="str">
            <v>HENRY</v>
          </cell>
          <cell r="N336" t="str">
            <v>PAEZ</v>
          </cell>
          <cell r="AF336">
            <v>11624865</v>
          </cell>
        </row>
        <row r="337">
          <cell r="M337" t="str">
            <v>HENRY</v>
          </cell>
          <cell r="N337" t="str">
            <v>PEREIRA</v>
          </cell>
          <cell r="AF337">
            <v>11798923.5</v>
          </cell>
        </row>
        <row r="338">
          <cell r="M338" t="str">
            <v>HERGUIS</v>
          </cell>
          <cell r="N338" t="str">
            <v>LEAL</v>
          </cell>
          <cell r="AF338">
            <v>12615907.5</v>
          </cell>
        </row>
        <row r="339">
          <cell r="M339" t="str">
            <v>HERMES</v>
          </cell>
          <cell r="N339" t="str">
            <v>MOSQUERA</v>
          </cell>
          <cell r="AF339">
            <v>11798923.5</v>
          </cell>
        </row>
        <row r="340">
          <cell r="M340" t="str">
            <v>HERNAN</v>
          </cell>
          <cell r="N340" t="str">
            <v>INFANTE</v>
          </cell>
          <cell r="AF340">
            <v>8069250</v>
          </cell>
        </row>
        <row r="341">
          <cell r="M341" t="str">
            <v>HERNAN</v>
          </cell>
          <cell r="N341" t="str">
            <v>MUNELO</v>
          </cell>
          <cell r="AF341">
            <v>11798923.5</v>
          </cell>
        </row>
        <row r="342">
          <cell r="M342" t="str">
            <v>HERNAN</v>
          </cell>
          <cell r="N342" t="str">
            <v>VASQUEZ</v>
          </cell>
          <cell r="AF342">
            <v>23634000</v>
          </cell>
        </row>
        <row r="343">
          <cell r="M343" t="str">
            <v>HERVYS</v>
          </cell>
          <cell r="N343" t="str">
            <v>TUA</v>
          </cell>
          <cell r="AF343">
            <v>13457976.000000002</v>
          </cell>
        </row>
        <row r="344">
          <cell r="M344" t="str">
            <v>HILDEBRANDO</v>
          </cell>
          <cell r="N344" t="str">
            <v>SIABATO</v>
          </cell>
          <cell r="AF344">
            <v>11798923.5</v>
          </cell>
        </row>
        <row r="345">
          <cell r="M345" t="str">
            <v>HILDELMAN</v>
          </cell>
          <cell r="N345" t="str">
            <v>ROMERO</v>
          </cell>
          <cell r="AF345">
            <v>12615907.5</v>
          </cell>
        </row>
        <row r="346">
          <cell r="M346" t="str">
            <v>HONORIO</v>
          </cell>
          <cell r="N346" t="str">
            <v>DORANTE</v>
          </cell>
          <cell r="AF346">
            <v>22802491.416749999</v>
          </cell>
        </row>
        <row r="347">
          <cell r="M347" t="str">
            <v>HONORIO</v>
          </cell>
          <cell r="N347" t="str">
            <v>GONZALEZ</v>
          </cell>
          <cell r="AF347">
            <v>11798923.5</v>
          </cell>
        </row>
        <row r="348">
          <cell r="M348" t="str">
            <v>HONORIO</v>
          </cell>
          <cell r="N348" t="str">
            <v>MONTERO</v>
          </cell>
          <cell r="AF348">
            <v>11798923.5</v>
          </cell>
        </row>
        <row r="349">
          <cell r="M349" t="str">
            <v>HONORIO</v>
          </cell>
          <cell r="N349" t="str">
            <v>PORTELES</v>
          </cell>
          <cell r="AF349">
            <v>11798923.5</v>
          </cell>
        </row>
        <row r="350">
          <cell r="M350" t="str">
            <v>HUGO</v>
          </cell>
          <cell r="N350" t="str">
            <v>COLINA</v>
          </cell>
          <cell r="AF350">
            <v>11798923.5</v>
          </cell>
        </row>
        <row r="351">
          <cell r="M351" t="str">
            <v>IRMAR</v>
          </cell>
          <cell r="N351" t="str">
            <v>TUA</v>
          </cell>
          <cell r="AF351">
            <v>12615907.5</v>
          </cell>
        </row>
        <row r="352">
          <cell r="M352" t="str">
            <v>ISIDRO</v>
          </cell>
          <cell r="N352" t="str">
            <v>DURAN</v>
          </cell>
          <cell r="AF352">
            <v>11798923.5</v>
          </cell>
        </row>
        <row r="353">
          <cell r="M353" t="str">
            <v>ISIDRO</v>
          </cell>
          <cell r="N353" t="str">
            <v>LEAL</v>
          </cell>
          <cell r="AF353">
            <v>13457976.000000002</v>
          </cell>
        </row>
        <row r="354">
          <cell r="M354" t="str">
            <v>ISMAEL</v>
          </cell>
          <cell r="N354" t="str">
            <v>MELENDEZ</v>
          </cell>
          <cell r="AF354">
            <v>13457976.000000002</v>
          </cell>
        </row>
        <row r="355">
          <cell r="M355" t="str">
            <v>ISRAEL</v>
          </cell>
          <cell r="N355" t="str">
            <v>LEAL</v>
          </cell>
          <cell r="AF355">
            <v>11798923.5</v>
          </cell>
        </row>
        <row r="356">
          <cell r="M356" t="str">
            <v>IVAN</v>
          </cell>
          <cell r="N356" t="str">
            <v>CAMACARO</v>
          </cell>
          <cell r="AF356">
            <v>13457976.000000002</v>
          </cell>
        </row>
        <row r="357">
          <cell r="M357" t="str">
            <v>IVO</v>
          </cell>
          <cell r="N357" t="str">
            <v>VILLEGAS</v>
          </cell>
          <cell r="AF357">
            <v>12615907.5</v>
          </cell>
        </row>
        <row r="358">
          <cell r="M358" t="str">
            <v>JACSON</v>
          </cell>
          <cell r="N358" t="str">
            <v>SALAS</v>
          </cell>
          <cell r="AF358">
            <v>11283825</v>
          </cell>
        </row>
        <row r="359">
          <cell r="M359" t="str">
            <v>JAIME</v>
          </cell>
          <cell r="N359" t="str">
            <v>TUA</v>
          </cell>
          <cell r="AF359">
            <v>12615907.5</v>
          </cell>
        </row>
        <row r="360">
          <cell r="M360" t="str">
            <v>JAIRO</v>
          </cell>
          <cell r="N360" t="str">
            <v>MELENDEZ</v>
          </cell>
          <cell r="AF360">
            <v>11624865</v>
          </cell>
        </row>
        <row r="361">
          <cell r="M361" t="str">
            <v>JAIRO</v>
          </cell>
          <cell r="N361" t="str">
            <v>MORA</v>
          </cell>
          <cell r="AF361">
            <v>30020716.126200002</v>
          </cell>
        </row>
        <row r="362">
          <cell r="M362" t="str">
            <v>JAIRO</v>
          </cell>
          <cell r="N362" t="str">
            <v>PEREZ</v>
          </cell>
          <cell r="AF362">
            <v>11624865</v>
          </cell>
        </row>
        <row r="363">
          <cell r="M363" t="str">
            <v>JARRISON</v>
          </cell>
          <cell r="N363" t="str">
            <v>RODRIGUEZ</v>
          </cell>
          <cell r="AF363">
            <v>11624865</v>
          </cell>
        </row>
        <row r="364">
          <cell r="M364" t="str">
            <v>JAVIER</v>
          </cell>
          <cell r="N364" t="str">
            <v>ALVAREZ</v>
          </cell>
          <cell r="AF364">
            <v>13457976.000000002</v>
          </cell>
        </row>
        <row r="365">
          <cell r="M365" t="str">
            <v>JAVIER</v>
          </cell>
          <cell r="N365" t="str">
            <v>ANZOLA</v>
          </cell>
          <cell r="AF365">
            <v>13457976.000000002</v>
          </cell>
        </row>
        <row r="366">
          <cell r="M366" t="str">
            <v>JAVIER</v>
          </cell>
          <cell r="N366" t="str">
            <v>CASTILLO</v>
          </cell>
          <cell r="AF366">
            <v>11798923.5</v>
          </cell>
        </row>
        <row r="367">
          <cell r="M367" t="str">
            <v>JAVIER</v>
          </cell>
          <cell r="N367" t="str">
            <v>MELENDEZ</v>
          </cell>
          <cell r="AF367">
            <v>11798923.5</v>
          </cell>
        </row>
        <row r="368">
          <cell r="M368" t="str">
            <v>JAVIER</v>
          </cell>
          <cell r="N368" t="str">
            <v>PEREZ</v>
          </cell>
          <cell r="AF368">
            <v>11624865</v>
          </cell>
        </row>
        <row r="369">
          <cell r="M369" t="str">
            <v>JAVIER</v>
          </cell>
          <cell r="N369" t="str">
            <v>TERAN</v>
          </cell>
          <cell r="AF369">
            <v>12615907.5</v>
          </cell>
        </row>
        <row r="370">
          <cell r="M370" t="str">
            <v>JAVIER</v>
          </cell>
          <cell r="N370" t="str">
            <v>TUA</v>
          </cell>
          <cell r="AF370">
            <v>11283825</v>
          </cell>
        </row>
        <row r="371">
          <cell r="M371" t="str">
            <v>JAYRO</v>
          </cell>
          <cell r="N371" t="str">
            <v>ROJAS</v>
          </cell>
          <cell r="AF371">
            <v>11624865</v>
          </cell>
        </row>
        <row r="372">
          <cell r="M372" t="str">
            <v>JEAN</v>
          </cell>
          <cell r="N372" t="str">
            <v>CAMPOS</v>
          </cell>
          <cell r="AF372">
            <v>11624865</v>
          </cell>
        </row>
        <row r="373">
          <cell r="M373" t="str">
            <v>JEAN</v>
          </cell>
          <cell r="N373" t="str">
            <v>PERERA</v>
          </cell>
          <cell r="AF373">
            <v>11624865</v>
          </cell>
        </row>
        <row r="374">
          <cell r="M374" t="str">
            <v>JEAN</v>
          </cell>
          <cell r="N374" t="str">
            <v>RODRIGUEZ</v>
          </cell>
          <cell r="AF374">
            <v>12615907.5</v>
          </cell>
        </row>
        <row r="375">
          <cell r="M375" t="str">
            <v>JENNY</v>
          </cell>
          <cell r="N375" t="str">
            <v>HERRERA</v>
          </cell>
          <cell r="AF375">
            <v>30844421.400000002</v>
          </cell>
        </row>
        <row r="376">
          <cell r="M376" t="str">
            <v>JESUS</v>
          </cell>
          <cell r="N376" t="str">
            <v>ALVAREZ</v>
          </cell>
          <cell r="AF376">
            <v>13457976.000000002</v>
          </cell>
        </row>
        <row r="377">
          <cell r="M377" t="str">
            <v>JESUS</v>
          </cell>
          <cell r="N377" t="str">
            <v>ALVAREZ</v>
          </cell>
          <cell r="AF377">
            <v>101515932.62175</v>
          </cell>
        </row>
        <row r="378">
          <cell r="M378" t="str">
            <v>JESUS</v>
          </cell>
          <cell r="N378" t="str">
            <v>ARISPE</v>
          </cell>
          <cell r="AF378">
            <v>11283825</v>
          </cell>
        </row>
        <row r="379">
          <cell r="M379" t="str">
            <v>JESUS</v>
          </cell>
          <cell r="N379" t="str">
            <v>CRESPO</v>
          </cell>
          <cell r="AF379">
            <v>11970000.698249999</v>
          </cell>
        </row>
        <row r="380">
          <cell r="M380" t="str">
            <v>JESUS</v>
          </cell>
          <cell r="N380" t="str">
            <v>FRANCO</v>
          </cell>
          <cell r="AF380">
            <v>13457976.000000002</v>
          </cell>
        </row>
        <row r="381">
          <cell r="M381" t="str">
            <v>JESUS</v>
          </cell>
          <cell r="N381" t="str">
            <v>GONZALEZ</v>
          </cell>
          <cell r="AF381">
            <v>40083482.551200002</v>
          </cell>
        </row>
        <row r="382">
          <cell r="M382" t="str">
            <v>JESUS</v>
          </cell>
          <cell r="N382" t="str">
            <v>MESSA</v>
          </cell>
          <cell r="AF382">
            <v>11798923.5</v>
          </cell>
        </row>
        <row r="383">
          <cell r="M383" t="str">
            <v>JESUS</v>
          </cell>
          <cell r="N383" t="str">
            <v>MONTES DE OCA</v>
          </cell>
          <cell r="AF383">
            <v>11798923.5</v>
          </cell>
        </row>
        <row r="384">
          <cell r="M384" t="str">
            <v>JESUS</v>
          </cell>
          <cell r="N384" t="str">
            <v>NIEVES</v>
          </cell>
          <cell r="AF384">
            <v>11798923.5</v>
          </cell>
        </row>
        <row r="385">
          <cell r="M385" t="str">
            <v>JESUS</v>
          </cell>
          <cell r="N385" t="str">
            <v>NIEVES</v>
          </cell>
          <cell r="AF385">
            <v>11283825</v>
          </cell>
        </row>
        <row r="386">
          <cell r="M386" t="str">
            <v>JESUS</v>
          </cell>
          <cell r="N386" t="str">
            <v>PAEZ</v>
          </cell>
          <cell r="AF386">
            <v>11798923.5</v>
          </cell>
        </row>
        <row r="387">
          <cell r="M387" t="str">
            <v>JESUS</v>
          </cell>
          <cell r="N387" t="str">
            <v>PEROZO</v>
          </cell>
          <cell r="AF387">
            <v>11798923.5</v>
          </cell>
        </row>
        <row r="388">
          <cell r="M388" t="str">
            <v>JESUS</v>
          </cell>
          <cell r="N388" t="str">
            <v>RODRIGUEZ</v>
          </cell>
          <cell r="AF388">
            <v>12615907.5</v>
          </cell>
        </row>
        <row r="389">
          <cell r="M389" t="str">
            <v>JESUS</v>
          </cell>
          <cell r="N389" t="str">
            <v>ROJAS</v>
          </cell>
          <cell r="AF389">
            <v>11798923.5</v>
          </cell>
        </row>
        <row r="390">
          <cell r="M390" t="str">
            <v>JESUS</v>
          </cell>
          <cell r="N390" t="str">
            <v>VASQUEZ</v>
          </cell>
          <cell r="AF390">
            <v>11798923.5</v>
          </cell>
        </row>
        <row r="391">
          <cell r="M391" t="str">
            <v>JESUS</v>
          </cell>
          <cell r="N391" t="str">
            <v>VASQUEZ</v>
          </cell>
          <cell r="AF391">
            <v>11624865</v>
          </cell>
        </row>
        <row r="392">
          <cell r="M392" t="str">
            <v>JESUS</v>
          </cell>
          <cell r="N392" t="str">
            <v>VERDE</v>
          </cell>
          <cell r="AF392">
            <v>13457976.000000002</v>
          </cell>
        </row>
        <row r="393">
          <cell r="M393" t="str">
            <v>JESUS</v>
          </cell>
          <cell r="N393" t="str">
            <v>VILORIA</v>
          </cell>
          <cell r="AF393">
            <v>30932301.936749998</v>
          </cell>
        </row>
        <row r="394">
          <cell r="M394" t="str">
            <v>JESUS</v>
          </cell>
          <cell r="N394" t="str">
            <v>YEPEZ</v>
          </cell>
          <cell r="AF394">
            <v>116214737.99705</v>
          </cell>
        </row>
        <row r="395">
          <cell r="M395" t="str">
            <v>JHONNY</v>
          </cell>
          <cell r="N395" t="str">
            <v>LAMEDA</v>
          </cell>
          <cell r="AF395">
            <v>11798923.5</v>
          </cell>
        </row>
        <row r="396">
          <cell r="M396" t="str">
            <v>JHONNY</v>
          </cell>
          <cell r="N396" t="str">
            <v>MIQUILENA</v>
          </cell>
          <cell r="AF396">
            <v>11798923.5</v>
          </cell>
        </row>
        <row r="397">
          <cell r="M397" t="str">
            <v>JHONNY</v>
          </cell>
          <cell r="N397" t="str">
            <v>SANCHEZ</v>
          </cell>
          <cell r="AF397">
            <v>13457976.000000002</v>
          </cell>
        </row>
        <row r="398">
          <cell r="M398" t="str">
            <v>JOAMBIL</v>
          </cell>
          <cell r="N398" t="str">
            <v>CAMPOS</v>
          </cell>
          <cell r="AF398">
            <v>11798923.5</v>
          </cell>
        </row>
        <row r="399">
          <cell r="M399" t="str">
            <v>JOEL</v>
          </cell>
          <cell r="N399" t="str">
            <v>LUGO</v>
          </cell>
          <cell r="AF399">
            <v>60543174.998249993</v>
          </cell>
        </row>
        <row r="400">
          <cell r="M400" t="str">
            <v>JOEL</v>
          </cell>
          <cell r="N400" t="str">
            <v>SANCHEZ</v>
          </cell>
          <cell r="AF400">
            <v>13457976.000000002</v>
          </cell>
        </row>
        <row r="401">
          <cell r="M401" t="str">
            <v>JOHAN</v>
          </cell>
          <cell r="N401" t="str">
            <v>ALDAZORO</v>
          </cell>
          <cell r="AF401">
            <v>11798923.5</v>
          </cell>
        </row>
        <row r="402">
          <cell r="M402" t="str">
            <v>JOHAN</v>
          </cell>
          <cell r="N402" t="str">
            <v>VILLEGAS</v>
          </cell>
          <cell r="AF402">
            <v>11798923.5</v>
          </cell>
        </row>
        <row r="403">
          <cell r="M403" t="str">
            <v>JOHNNY</v>
          </cell>
          <cell r="N403" t="str">
            <v>CARRASCO</v>
          </cell>
          <cell r="AF403">
            <v>12615907.5</v>
          </cell>
        </row>
        <row r="404">
          <cell r="M404" t="str">
            <v>JONATHAN</v>
          </cell>
          <cell r="N404" t="str">
            <v>RIVERO</v>
          </cell>
          <cell r="AF404">
            <v>23689829.31825</v>
          </cell>
        </row>
        <row r="405">
          <cell r="M405" t="str">
            <v>JONICAR</v>
          </cell>
          <cell r="N405" t="str">
            <v>DIAZ</v>
          </cell>
          <cell r="AF405">
            <v>11624865</v>
          </cell>
        </row>
        <row r="406">
          <cell r="M406" t="str">
            <v>JORGE</v>
          </cell>
          <cell r="N406" t="str">
            <v>ARRIETA</v>
          </cell>
          <cell r="AF406">
            <v>54904895.326199993</v>
          </cell>
        </row>
        <row r="407">
          <cell r="M407" t="str">
            <v>JORGE</v>
          </cell>
          <cell r="N407" t="str">
            <v>CAMACHO</v>
          </cell>
          <cell r="AF407">
            <v>11624865</v>
          </cell>
        </row>
        <row r="408">
          <cell r="M408" t="str">
            <v>JORGE</v>
          </cell>
          <cell r="N408" t="str">
            <v>CAMPOS</v>
          </cell>
          <cell r="AF408">
            <v>11283825</v>
          </cell>
        </row>
        <row r="409">
          <cell r="M409" t="str">
            <v>JORGE</v>
          </cell>
          <cell r="N409" t="str">
            <v>CRESPO</v>
          </cell>
          <cell r="AF409">
            <v>11283825</v>
          </cell>
        </row>
        <row r="410">
          <cell r="M410" t="str">
            <v>JORGE</v>
          </cell>
          <cell r="N410" t="str">
            <v>FERRER</v>
          </cell>
          <cell r="AF410">
            <v>11624865</v>
          </cell>
        </row>
        <row r="411">
          <cell r="M411" t="str">
            <v>JORGE</v>
          </cell>
          <cell r="N411" t="str">
            <v>GOMEZ</v>
          </cell>
          <cell r="AF411">
            <v>11798923.5</v>
          </cell>
        </row>
        <row r="412">
          <cell r="M412" t="str">
            <v>JORGE</v>
          </cell>
          <cell r="N412" t="str">
            <v>GONZALEZ</v>
          </cell>
          <cell r="AF412">
            <v>11798923.5</v>
          </cell>
        </row>
        <row r="413">
          <cell r="M413" t="str">
            <v>JORGE</v>
          </cell>
          <cell r="N413" t="str">
            <v>MELENDEZ</v>
          </cell>
          <cell r="AF413">
            <v>12615907.5</v>
          </cell>
        </row>
        <row r="414">
          <cell r="M414" t="str">
            <v>JORGE</v>
          </cell>
          <cell r="N414" t="str">
            <v>PINEDA</v>
          </cell>
          <cell r="AF414">
            <v>27982031.574450001</v>
          </cell>
        </row>
        <row r="415">
          <cell r="M415" t="str">
            <v>JORGE</v>
          </cell>
          <cell r="N415" t="str">
            <v>RIVERO</v>
          </cell>
          <cell r="AF415">
            <v>12615907.5</v>
          </cell>
        </row>
        <row r="416">
          <cell r="M416" t="str">
            <v>JORGE</v>
          </cell>
          <cell r="N416" t="str">
            <v>RODRIGUEZ</v>
          </cell>
          <cell r="AF416">
            <v>12615907.5</v>
          </cell>
        </row>
        <row r="417">
          <cell r="M417" t="str">
            <v>JOSE</v>
          </cell>
          <cell r="N417" t="str">
            <v>ALMAO</v>
          </cell>
          <cell r="AF417">
            <v>11798923.5</v>
          </cell>
        </row>
        <row r="418">
          <cell r="M418" t="str">
            <v>JOSE</v>
          </cell>
          <cell r="N418" t="str">
            <v>ALVAREZ</v>
          </cell>
          <cell r="AF418">
            <v>12615907.5</v>
          </cell>
        </row>
        <row r="419">
          <cell r="M419" t="str">
            <v>JOSE</v>
          </cell>
          <cell r="N419" t="str">
            <v>ALVAREZ</v>
          </cell>
          <cell r="AF419">
            <v>11283825</v>
          </cell>
        </row>
        <row r="420">
          <cell r="M420" t="str">
            <v>JOSE</v>
          </cell>
          <cell r="N420" t="str">
            <v>APONTE</v>
          </cell>
          <cell r="AF420">
            <v>13457976.000000002</v>
          </cell>
        </row>
        <row r="421">
          <cell r="M421" t="str">
            <v>JOSE</v>
          </cell>
          <cell r="N421" t="str">
            <v>BETANCOURT</v>
          </cell>
          <cell r="AF421">
            <v>24970386.594450001</v>
          </cell>
        </row>
        <row r="422">
          <cell r="M422" t="str">
            <v>JOSE</v>
          </cell>
          <cell r="N422" t="str">
            <v>BORGES</v>
          </cell>
          <cell r="AF422">
            <v>11798923.5</v>
          </cell>
        </row>
        <row r="423">
          <cell r="M423" t="str">
            <v>JOSE</v>
          </cell>
          <cell r="N423" t="str">
            <v>BOZO</v>
          </cell>
          <cell r="AF423">
            <v>11798923.5</v>
          </cell>
        </row>
        <row r="424">
          <cell r="M424" t="str">
            <v>JOSE</v>
          </cell>
          <cell r="N424" t="str">
            <v>CAMACARO</v>
          </cell>
          <cell r="AF424">
            <v>11798923.5</v>
          </cell>
        </row>
        <row r="425">
          <cell r="M425" t="str">
            <v>JOSE</v>
          </cell>
          <cell r="N425" t="str">
            <v>CARRASCO</v>
          </cell>
          <cell r="AF425">
            <v>11283825</v>
          </cell>
        </row>
        <row r="426">
          <cell r="M426" t="str">
            <v>JOSE</v>
          </cell>
          <cell r="N426" t="str">
            <v>CHIRINOS</v>
          </cell>
          <cell r="AF426">
            <v>13457976.000000002</v>
          </cell>
        </row>
        <row r="427">
          <cell r="M427" t="str">
            <v>JOSE</v>
          </cell>
          <cell r="N427" t="str">
            <v>CORDERO</v>
          </cell>
          <cell r="AF427">
            <v>13457976.000000002</v>
          </cell>
        </row>
        <row r="428">
          <cell r="M428" t="str">
            <v>JOSE</v>
          </cell>
          <cell r="N428" t="str">
            <v>CUEVAS</v>
          </cell>
          <cell r="AF428">
            <v>11283825</v>
          </cell>
        </row>
        <row r="429">
          <cell r="M429" t="str">
            <v>JOSE</v>
          </cell>
          <cell r="N429" t="str">
            <v>DORANTE</v>
          </cell>
          <cell r="AF429">
            <v>18748022.24295</v>
          </cell>
        </row>
        <row r="430">
          <cell r="M430" t="str">
            <v>JOSE</v>
          </cell>
          <cell r="N430" t="str">
            <v>ESCALANTE</v>
          </cell>
          <cell r="AF430">
            <v>49266632.098800004</v>
          </cell>
        </row>
        <row r="431">
          <cell r="M431" t="str">
            <v>JOSE</v>
          </cell>
          <cell r="N431" t="str">
            <v>FLORES</v>
          </cell>
          <cell r="AF431">
            <v>12615907.5</v>
          </cell>
        </row>
        <row r="432">
          <cell r="M432" t="str">
            <v>JOSE</v>
          </cell>
          <cell r="N432" t="str">
            <v>GAONA</v>
          </cell>
          <cell r="AF432">
            <v>11798923.5</v>
          </cell>
        </row>
        <row r="433">
          <cell r="M433" t="str">
            <v>JOSE</v>
          </cell>
          <cell r="N433" t="str">
            <v>GIMENEZ</v>
          </cell>
          <cell r="AF433">
            <v>11798923.5</v>
          </cell>
        </row>
        <row r="434">
          <cell r="M434" t="str">
            <v>JOSE</v>
          </cell>
          <cell r="N434" t="str">
            <v>GOMEZ</v>
          </cell>
          <cell r="AF434">
            <v>11624865</v>
          </cell>
        </row>
        <row r="435">
          <cell r="M435" t="str">
            <v>JOSE</v>
          </cell>
          <cell r="N435" t="str">
            <v>GONCALVES</v>
          </cell>
          <cell r="AF435">
            <v>11624865</v>
          </cell>
        </row>
        <row r="436">
          <cell r="M436" t="str">
            <v>JOSE</v>
          </cell>
          <cell r="N436" t="str">
            <v>GONZALEZ</v>
          </cell>
          <cell r="AF436">
            <v>11798923.5</v>
          </cell>
        </row>
        <row r="437">
          <cell r="M437" t="str">
            <v>JOSE</v>
          </cell>
          <cell r="N437" t="str">
            <v>GONZALEZ</v>
          </cell>
          <cell r="AF437">
            <v>11798923.5</v>
          </cell>
        </row>
        <row r="438">
          <cell r="M438" t="str">
            <v>JOSE</v>
          </cell>
          <cell r="N438" t="str">
            <v>GONZALEZ</v>
          </cell>
          <cell r="AF438">
            <v>11798923.5</v>
          </cell>
        </row>
        <row r="439">
          <cell r="M439" t="str">
            <v>JOSE</v>
          </cell>
          <cell r="N439" t="str">
            <v>GOYO</v>
          </cell>
          <cell r="AF439">
            <v>8069250</v>
          </cell>
        </row>
        <row r="440">
          <cell r="M440" t="str">
            <v>JOSE</v>
          </cell>
          <cell r="N440" t="str">
            <v>GUTIERREZ</v>
          </cell>
          <cell r="AF440">
            <v>11283825</v>
          </cell>
        </row>
        <row r="441">
          <cell r="M441" t="str">
            <v>JOSE</v>
          </cell>
          <cell r="N441" t="str">
            <v>LAMEDA</v>
          </cell>
          <cell r="AF441">
            <v>11624865</v>
          </cell>
        </row>
        <row r="442">
          <cell r="M442" t="str">
            <v>JOSE</v>
          </cell>
          <cell r="N442" t="str">
            <v>LOZADA</v>
          </cell>
          <cell r="AF442">
            <v>13457976.000000002</v>
          </cell>
        </row>
        <row r="443">
          <cell r="M443" t="str">
            <v>JOSE</v>
          </cell>
          <cell r="N443" t="str">
            <v>MARTINEZ</v>
          </cell>
          <cell r="AF443">
            <v>11283825</v>
          </cell>
        </row>
        <row r="444">
          <cell r="M444" t="str">
            <v>JOSE</v>
          </cell>
          <cell r="N444" t="str">
            <v>MEDINA</v>
          </cell>
          <cell r="AF444">
            <v>13457976.000000002</v>
          </cell>
        </row>
        <row r="445">
          <cell r="M445" t="str">
            <v>JOSE</v>
          </cell>
          <cell r="N445" t="str">
            <v>MELENDEZ</v>
          </cell>
          <cell r="AF445">
            <v>11624865</v>
          </cell>
        </row>
        <row r="446">
          <cell r="M446" t="str">
            <v>JOSE</v>
          </cell>
          <cell r="N446" t="str">
            <v>MELENDEZ</v>
          </cell>
          <cell r="AF446">
            <v>11798923.5</v>
          </cell>
        </row>
        <row r="447">
          <cell r="M447" t="str">
            <v>JOSE</v>
          </cell>
          <cell r="N447" t="str">
            <v>MENDOZA</v>
          </cell>
          <cell r="AF447">
            <v>12615907.5</v>
          </cell>
        </row>
        <row r="448">
          <cell r="M448" t="str">
            <v>JOSE</v>
          </cell>
          <cell r="N448" t="str">
            <v>MONTE DE OCA</v>
          </cell>
          <cell r="AF448">
            <v>12615907.5</v>
          </cell>
        </row>
        <row r="449">
          <cell r="M449" t="str">
            <v>JOSE</v>
          </cell>
          <cell r="N449" t="str">
            <v>MORILLO</v>
          </cell>
          <cell r="AF449">
            <v>11798923.5</v>
          </cell>
        </row>
        <row r="450">
          <cell r="M450" t="str">
            <v>JOSE</v>
          </cell>
          <cell r="N450" t="str">
            <v>MOSQUERA</v>
          </cell>
          <cell r="AF450">
            <v>13457976.000000002</v>
          </cell>
        </row>
        <row r="451">
          <cell r="M451" t="str">
            <v>JOSE</v>
          </cell>
          <cell r="N451" t="str">
            <v>NIEVES</v>
          </cell>
          <cell r="AF451">
            <v>13457976.000000002</v>
          </cell>
        </row>
        <row r="452">
          <cell r="M452" t="str">
            <v>JOSE</v>
          </cell>
          <cell r="N452" t="str">
            <v>PARRA</v>
          </cell>
          <cell r="AF452">
            <v>13457976.000000002</v>
          </cell>
        </row>
        <row r="453">
          <cell r="M453" t="str">
            <v>JOSE</v>
          </cell>
          <cell r="N453" t="str">
            <v>PEREIRA</v>
          </cell>
          <cell r="AF453">
            <v>11624865</v>
          </cell>
        </row>
        <row r="454">
          <cell r="M454" t="str">
            <v>JOSE</v>
          </cell>
          <cell r="N454" t="str">
            <v>PEREZ</v>
          </cell>
          <cell r="AF454">
            <v>11798923.5</v>
          </cell>
        </row>
        <row r="455">
          <cell r="M455" t="str">
            <v>JOSE</v>
          </cell>
          <cell r="N455" t="str">
            <v>PEREZ</v>
          </cell>
          <cell r="AF455">
            <v>34185158.302949995</v>
          </cell>
        </row>
        <row r="456">
          <cell r="M456" t="str">
            <v>JOSE</v>
          </cell>
          <cell r="N456" t="str">
            <v>PERNALETE</v>
          </cell>
          <cell r="AF456">
            <v>13457976.000000002</v>
          </cell>
        </row>
        <row r="457">
          <cell r="M457" t="str">
            <v>JOSE</v>
          </cell>
          <cell r="N457" t="str">
            <v>PINEDA</v>
          </cell>
          <cell r="AF457">
            <v>12615907.5</v>
          </cell>
        </row>
        <row r="458">
          <cell r="M458" t="str">
            <v>JOSE</v>
          </cell>
          <cell r="N458" t="str">
            <v>PIÑA</v>
          </cell>
          <cell r="AF458">
            <v>11283825</v>
          </cell>
        </row>
        <row r="459">
          <cell r="M459" t="str">
            <v>JOSE</v>
          </cell>
          <cell r="N459" t="str">
            <v>PIÑANGO</v>
          </cell>
          <cell r="AF459">
            <v>11798923.5</v>
          </cell>
        </row>
        <row r="460">
          <cell r="M460" t="str">
            <v>JOSE</v>
          </cell>
          <cell r="N460" t="str">
            <v>RIERA</v>
          </cell>
          <cell r="AF460">
            <v>13457976.000000002</v>
          </cell>
        </row>
        <row r="461">
          <cell r="M461" t="str">
            <v>JOSE</v>
          </cell>
          <cell r="N461" t="str">
            <v>RODRIGUEZ</v>
          </cell>
          <cell r="AF461">
            <v>25844795.000550002</v>
          </cell>
        </row>
        <row r="462">
          <cell r="M462" t="str">
            <v>JOSE</v>
          </cell>
          <cell r="N462" t="str">
            <v>RODRIGUEZ</v>
          </cell>
          <cell r="AF462">
            <v>25844569.912050001</v>
          </cell>
        </row>
        <row r="463">
          <cell r="M463" t="str">
            <v>JOSE</v>
          </cell>
          <cell r="N463" t="str">
            <v>RODRIGUEZ</v>
          </cell>
          <cell r="AF463">
            <v>12615907.5</v>
          </cell>
        </row>
        <row r="464">
          <cell r="M464" t="str">
            <v>JOSE</v>
          </cell>
          <cell r="N464" t="str">
            <v>RODRIGUEZ</v>
          </cell>
          <cell r="AF464">
            <v>11624865</v>
          </cell>
        </row>
        <row r="465">
          <cell r="M465" t="str">
            <v>JOSE</v>
          </cell>
          <cell r="N465" t="str">
            <v>SALAS</v>
          </cell>
          <cell r="AF465">
            <v>11283825</v>
          </cell>
        </row>
        <row r="466">
          <cell r="M466" t="str">
            <v>JOSE</v>
          </cell>
          <cell r="N466" t="str">
            <v>SANCHEZ</v>
          </cell>
          <cell r="AF466">
            <v>13457976.000000002</v>
          </cell>
        </row>
        <row r="467">
          <cell r="M467" t="str">
            <v>JOSE</v>
          </cell>
          <cell r="N467" t="str">
            <v>SERRANO</v>
          </cell>
          <cell r="AF467">
            <v>11283825</v>
          </cell>
        </row>
        <row r="468">
          <cell r="M468" t="str">
            <v>JOSE</v>
          </cell>
          <cell r="N468" t="str">
            <v>SUAREZ</v>
          </cell>
          <cell r="AF468">
            <v>11283825</v>
          </cell>
        </row>
        <row r="469">
          <cell r="M469" t="str">
            <v>JOSE</v>
          </cell>
          <cell r="N469" t="str">
            <v>TORREALBA</v>
          </cell>
          <cell r="AF469">
            <v>11798923.5</v>
          </cell>
        </row>
        <row r="470">
          <cell r="M470" t="str">
            <v>JOSE</v>
          </cell>
          <cell r="N470" t="str">
            <v>VASQUEZ</v>
          </cell>
          <cell r="AF470">
            <v>12615907.5</v>
          </cell>
        </row>
        <row r="471">
          <cell r="M471" t="str">
            <v>JOSMAN</v>
          </cell>
          <cell r="N471" t="str">
            <v>LEAL</v>
          </cell>
          <cell r="AF471">
            <v>11283825</v>
          </cell>
        </row>
        <row r="472">
          <cell r="M472" t="str">
            <v>JUAN</v>
          </cell>
          <cell r="N472" t="str">
            <v>ALDANA</v>
          </cell>
          <cell r="AF472">
            <v>12615907.5</v>
          </cell>
        </row>
        <row r="473">
          <cell r="M473" t="str">
            <v>JUAN</v>
          </cell>
          <cell r="N473" t="str">
            <v>ALVAREZ</v>
          </cell>
          <cell r="AF473">
            <v>11798923.5</v>
          </cell>
        </row>
        <row r="474">
          <cell r="M474" t="str">
            <v>JUAN</v>
          </cell>
          <cell r="N474" t="str">
            <v>ARMAO</v>
          </cell>
          <cell r="AF474">
            <v>18129051.66</v>
          </cell>
        </row>
        <row r="475">
          <cell r="M475" t="str">
            <v>JUAN</v>
          </cell>
          <cell r="N475" t="str">
            <v>CAMPOS</v>
          </cell>
          <cell r="AF475">
            <v>11798923.5</v>
          </cell>
        </row>
        <row r="476">
          <cell r="M476" t="str">
            <v>JUAN</v>
          </cell>
          <cell r="N476" t="str">
            <v>CARRASCO</v>
          </cell>
          <cell r="AF476">
            <v>11798923.5</v>
          </cell>
        </row>
        <row r="477">
          <cell r="M477" t="str">
            <v>JUAN</v>
          </cell>
          <cell r="N477" t="str">
            <v>CASTILLO</v>
          </cell>
          <cell r="AF477">
            <v>11624865</v>
          </cell>
        </row>
        <row r="478">
          <cell r="M478" t="str">
            <v>JUAN</v>
          </cell>
          <cell r="N478" t="str">
            <v>DURAN</v>
          </cell>
          <cell r="AF478">
            <v>12645955.23825</v>
          </cell>
        </row>
        <row r="479">
          <cell r="M479" t="str">
            <v>JUAN</v>
          </cell>
          <cell r="N479" t="str">
            <v>ESCOBAR</v>
          </cell>
          <cell r="AF479">
            <v>11283825</v>
          </cell>
        </row>
        <row r="480">
          <cell r="M480" t="str">
            <v>JUAN</v>
          </cell>
          <cell r="N480" t="str">
            <v>ESPINOZA</v>
          </cell>
          <cell r="AF480">
            <v>11624865</v>
          </cell>
        </row>
        <row r="481">
          <cell r="M481" t="str">
            <v>JUAN</v>
          </cell>
          <cell r="N481" t="str">
            <v>GONZALEZ</v>
          </cell>
          <cell r="AF481">
            <v>13457976.000000002</v>
          </cell>
        </row>
        <row r="482">
          <cell r="M482" t="str">
            <v>JUAN</v>
          </cell>
          <cell r="N482" t="str">
            <v>GUTIERREZ</v>
          </cell>
          <cell r="AF482">
            <v>140000000.00174999</v>
          </cell>
        </row>
        <row r="483">
          <cell r="M483" t="str">
            <v>JUAN</v>
          </cell>
          <cell r="N483" t="str">
            <v>MELENDEZ</v>
          </cell>
          <cell r="AF483">
            <v>12615907.5</v>
          </cell>
        </row>
        <row r="484">
          <cell r="M484" t="str">
            <v>JUAN</v>
          </cell>
          <cell r="N484" t="str">
            <v>MONTES DE OCA</v>
          </cell>
          <cell r="AF484">
            <v>11798923.5</v>
          </cell>
        </row>
        <row r="485">
          <cell r="M485" t="str">
            <v>JUAN</v>
          </cell>
          <cell r="N485" t="str">
            <v>RAMOS</v>
          </cell>
          <cell r="AF485">
            <v>26606044.561200008</v>
          </cell>
        </row>
        <row r="486">
          <cell r="M486" t="str">
            <v>JUAN</v>
          </cell>
          <cell r="N486" t="str">
            <v>ROMERO</v>
          </cell>
          <cell r="AF486">
            <v>11798923.5</v>
          </cell>
        </row>
        <row r="487">
          <cell r="M487" t="str">
            <v>JUAN</v>
          </cell>
          <cell r="N487" t="str">
            <v>SALAS</v>
          </cell>
          <cell r="AF487">
            <v>11798923.5</v>
          </cell>
        </row>
        <row r="488">
          <cell r="M488" t="str">
            <v>JUANA</v>
          </cell>
          <cell r="N488" t="str">
            <v>MORONTA</v>
          </cell>
          <cell r="AF488">
            <v>31317263.524999999</v>
          </cell>
        </row>
        <row r="489">
          <cell r="M489" t="str">
            <v>JULIAN</v>
          </cell>
          <cell r="N489" t="str">
            <v>PICHARDO</v>
          </cell>
          <cell r="AF489">
            <v>11798923.5</v>
          </cell>
        </row>
        <row r="490">
          <cell r="M490" t="str">
            <v>JULIAN</v>
          </cell>
          <cell r="N490" t="str">
            <v>SIRA</v>
          </cell>
          <cell r="AF490">
            <v>13457976.000000002</v>
          </cell>
        </row>
        <row r="491">
          <cell r="M491" t="str">
            <v>JULIANA</v>
          </cell>
          <cell r="N491" t="str">
            <v>ACOSTA</v>
          </cell>
          <cell r="AF491">
            <v>13457976.000000002</v>
          </cell>
        </row>
        <row r="492">
          <cell r="M492" t="str">
            <v>JULIO</v>
          </cell>
          <cell r="N492" t="str">
            <v>CARRASCO</v>
          </cell>
          <cell r="AF492">
            <v>11798923.5</v>
          </cell>
        </row>
        <row r="493">
          <cell r="M493" t="str">
            <v>JULIO</v>
          </cell>
          <cell r="N493" t="str">
            <v>GOMEZ</v>
          </cell>
          <cell r="AF493">
            <v>11798923.5</v>
          </cell>
        </row>
        <row r="494">
          <cell r="M494" t="str">
            <v>JULIO</v>
          </cell>
          <cell r="N494" t="str">
            <v>MORON</v>
          </cell>
          <cell r="AF494">
            <v>18468115.914450001</v>
          </cell>
        </row>
        <row r="495">
          <cell r="M495" t="str">
            <v>JULIO</v>
          </cell>
          <cell r="N495" t="str">
            <v>PEREZ</v>
          </cell>
          <cell r="AF495">
            <v>11624865</v>
          </cell>
        </row>
        <row r="496">
          <cell r="M496" t="str">
            <v>JULIO</v>
          </cell>
          <cell r="N496" t="str">
            <v>PIÑA</v>
          </cell>
          <cell r="AF496">
            <v>20556726.804450002</v>
          </cell>
        </row>
        <row r="497">
          <cell r="M497" t="str">
            <v>JULISSA</v>
          </cell>
          <cell r="N497" t="str">
            <v>GARCIA</v>
          </cell>
          <cell r="AF497">
            <v>13457976.000000002</v>
          </cell>
        </row>
        <row r="498">
          <cell r="M498" t="str">
            <v>JUNIOR</v>
          </cell>
          <cell r="N498" t="str">
            <v>ALVAREZ</v>
          </cell>
          <cell r="AF498">
            <v>8069250</v>
          </cell>
        </row>
        <row r="499">
          <cell r="M499" t="str">
            <v>KEYDDI</v>
          </cell>
          <cell r="N499" t="str">
            <v>GUEDEZ</v>
          </cell>
          <cell r="AF499">
            <v>11994902.498249998</v>
          </cell>
        </row>
        <row r="500">
          <cell r="M500" t="str">
            <v>LAMBERTO</v>
          </cell>
          <cell r="N500" t="str">
            <v>SANCHEZ</v>
          </cell>
          <cell r="AF500">
            <v>31169047.808250003</v>
          </cell>
        </row>
        <row r="501">
          <cell r="M501" t="str">
            <v>LASARO</v>
          </cell>
          <cell r="N501" t="str">
            <v>ALVAREZ</v>
          </cell>
          <cell r="AF501">
            <v>11624865</v>
          </cell>
        </row>
        <row r="502">
          <cell r="M502" t="str">
            <v>LEANNYS</v>
          </cell>
          <cell r="N502" t="str">
            <v>PEREZ</v>
          </cell>
          <cell r="AF502">
            <v>8069250</v>
          </cell>
        </row>
        <row r="503">
          <cell r="M503" t="str">
            <v>LEON</v>
          </cell>
          <cell r="N503" t="str">
            <v>MARTINEZ</v>
          </cell>
          <cell r="AF503">
            <v>11798923.5</v>
          </cell>
        </row>
        <row r="504">
          <cell r="M504" t="str">
            <v>LEONARDO</v>
          </cell>
          <cell r="N504" t="str">
            <v>PIÑANGO</v>
          </cell>
          <cell r="AF504">
            <v>11798923.5</v>
          </cell>
        </row>
        <row r="505">
          <cell r="M505" t="str">
            <v>LEORNARDO</v>
          </cell>
          <cell r="N505" t="str">
            <v>PIÑANGO</v>
          </cell>
          <cell r="AF505">
            <v>11283825</v>
          </cell>
        </row>
        <row r="506">
          <cell r="M506" t="str">
            <v>LILIAN</v>
          </cell>
          <cell r="N506" t="str">
            <v>RIVERO</v>
          </cell>
          <cell r="AF506">
            <v>11798923.5</v>
          </cell>
        </row>
        <row r="507">
          <cell r="M507" t="str">
            <v>LISTER</v>
          </cell>
          <cell r="N507" t="str">
            <v>ESCOBAR</v>
          </cell>
          <cell r="AF507">
            <v>15504070.35825</v>
          </cell>
        </row>
        <row r="508">
          <cell r="M508" t="str">
            <v>LUCAS</v>
          </cell>
          <cell r="N508" t="str">
            <v>ZAMBRANO</v>
          </cell>
          <cell r="AF508">
            <v>13457976.000000002</v>
          </cell>
        </row>
        <row r="509">
          <cell r="M509" t="str">
            <v>LUCIO</v>
          </cell>
          <cell r="N509" t="str">
            <v>SUAREZ</v>
          </cell>
          <cell r="AF509">
            <v>11798923.5</v>
          </cell>
        </row>
        <row r="510">
          <cell r="M510" t="str">
            <v>LUCY</v>
          </cell>
          <cell r="N510" t="str">
            <v>MELENDEZ</v>
          </cell>
          <cell r="AF510">
            <v>48380210.949450001</v>
          </cell>
        </row>
        <row r="511">
          <cell r="M511" t="str">
            <v>LUINAY</v>
          </cell>
          <cell r="N511" t="str">
            <v>GALLARDO</v>
          </cell>
          <cell r="AF511">
            <v>12615907.5</v>
          </cell>
        </row>
        <row r="512">
          <cell r="M512" t="str">
            <v>LUIS</v>
          </cell>
          <cell r="N512" t="str">
            <v>CARRASCO</v>
          </cell>
          <cell r="AF512">
            <v>27374052.952950001</v>
          </cell>
        </row>
        <row r="513">
          <cell r="M513" t="str">
            <v>LUIS</v>
          </cell>
          <cell r="N513" t="str">
            <v>CASTRO</v>
          </cell>
          <cell r="AF513">
            <v>11798923.5</v>
          </cell>
        </row>
        <row r="514">
          <cell r="M514" t="str">
            <v>LUIS</v>
          </cell>
          <cell r="N514" t="str">
            <v>GATICA</v>
          </cell>
          <cell r="AF514">
            <v>41282684.626199998</v>
          </cell>
        </row>
        <row r="515">
          <cell r="M515" t="str">
            <v>LUIS</v>
          </cell>
          <cell r="N515" t="str">
            <v>GUARECUCO</v>
          </cell>
          <cell r="AF515">
            <v>11619090</v>
          </cell>
        </row>
        <row r="516">
          <cell r="M516" t="str">
            <v>LUIS</v>
          </cell>
          <cell r="N516" t="str">
            <v>GUTIERREZ</v>
          </cell>
          <cell r="AF516">
            <v>68167909.763249993</v>
          </cell>
        </row>
        <row r="517">
          <cell r="M517" t="str">
            <v>LUIS</v>
          </cell>
          <cell r="N517" t="str">
            <v>LADINO</v>
          </cell>
          <cell r="AF517">
            <v>13457976.000000002</v>
          </cell>
        </row>
        <row r="518">
          <cell r="M518" t="str">
            <v>LUIS</v>
          </cell>
          <cell r="N518" t="str">
            <v>MOGOLLON</v>
          </cell>
          <cell r="AF518">
            <v>11798923.5</v>
          </cell>
        </row>
        <row r="519">
          <cell r="M519" t="str">
            <v>LUIS</v>
          </cell>
          <cell r="N519" t="str">
            <v>MONTES DE OCA</v>
          </cell>
          <cell r="AF519">
            <v>11624865</v>
          </cell>
        </row>
        <row r="520">
          <cell r="M520" t="str">
            <v>LUIS</v>
          </cell>
          <cell r="N520" t="str">
            <v>MORENO</v>
          </cell>
          <cell r="AF520">
            <v>11283825</v>
          </cell>
        </row>
        <row r="521">
          <cell r="M521" t="str">
            <v>LUIS</v>
          </cell>
          <cell r="N521" t="str">
            <v>MOSQUERA</v>
          </cell>
          <cell r="AF521">
            <v>11283825</v>
          </cell>
        </row>
        <row r="522">
          <cell r="M522" t="str">
            <v>LUIS</v>
          </cell>
          <cell r="N522" t="str">
            <v>MOSQUERA</v>
          </cell>
          <cell r="AF522">
            <v>11798923.5</v>
          </cell>
        </row>
        <row r="523">
          <cell r="M523" t="str">
            <v>LUIS</v>
          </cell>
          <cell r="N523" t="str">
            <v>NAVAS</v>
          </cell>
          <cell r="AF523">
            <v>11283825</v>
          </cell>
        </row>
        <row r="524">
          <cell r="M524" t="str">
            <v>LUIS</v>
          </cell>
          <cell r="N524" t="str">
            <v>RIERA</v>
          </cell>
          <cell r="AF524">
            <v>11798923.5</v>
          </cell>
        </row>
        <row r="525">
          <cell r="M525" t="str">
            <v>LUIS</v>
          </cell>
          <cell r="N525" t="str">
            <v>RIVERO</v>
          </cell>
          <cell r="AF525">
            <v>11798923.5</v>
          </cell>
        </row>
        <row r="526">
          <cell r="M526" t="str">
            <v>LUIS</v>
          </cell>
          <cell r="N526" t="str">
            <v>SUAREZ</v>
          </cell>
          <cell r="AF526">
            <v>11283825</v>
          </cell>
        </row>
        <row r="527">
          <cell r="M527" t="str">
            <v>LUIS</v>
          </cell>
          <cell r="N527" t="str">
            <v>VENTO</v>
          </cell>
          <cell r="AF527">
            <v>12615907.5</v>
          </cell>
        </row>
        <row r="528">
          <cell r="M528" t="str">
            <v>LUIS</v>
          </cell>
          <cell r="N528" t="str">
            <v>YEDRA</v>
          </cell>
          <cell r="AF528">
            <v>11624865</v>
          </cell>
        </row>
        <row r="529">
          <cell r="M529" t="str">
            <v>MAIRA</v>
          </cell>
          <cell r="N529" t="str">
            <v>SALAS</v>
          </cell>
          <cell r="AF529">
            <v>14317450.959450001</v>
          </cell>
        </row>
        <row r="530">
          <cell r="M530" t="str">
            <v>MAIRO</v>
          </cell>
          <cell r="N530" t="str">
            <v>DORANTES</v>
          </cell>
          <cell r="AF530">
            <v>11283825</v>
          </cell>
        </row>
        <row r="531">
          <cell r="M531" t="str">
            <v>MANUEL</v>
          </cell>
          <cell r="N531" t="str">
            <v>ALVAREZ</v>
          </cell>
          <cell r="AF531">
            <v>11798923.5</v>
          </cell>
        </row>
        <row r="532">
          <cell r="M532" t="str">
            <v>MANUEL</v>
          </cell>
          <cell r="N532" t="str">
            <v>CRESPO</v>
          </cell>
          <cell r="AF532">
            <v>11283825</v>
          </cell>
        </row>
        <row r="533">
          <cell r="M533" t="str">
            <v>MANUEL</v>
          </cell>
          <cell r="N533" t="str">
            <v>SANTELIZ</v>
          </cell>
          <cell r="AF533">
            <v>13457976.000000002</v>
          </cell>
        </row>
        <row r="534">
          <cell r="M534" t="str">
            <v>MARCELINA</v>
          </cell>
          <cell r="N534" t="str">
            <v>PIÑA</v>
          </cell>
          <cell r="AF534">
            <v>14026032.560550001</v>
          </cell>
        </row>
        <row r="535">
          <cell r="M535" t="str">
            <v>MARCELINO</v>
          </cell>
          <cell r="N535" t="str">
            <v>MORILLO</v>
          </cell>
          <cell r="AF535">
            <v>11798923.5</v>
          </cell>
        </row>
        <row r="536">
          <cell r="M536" t="str">
            <v>MARCOS</v>
          </cell>
          <cell r="N536" t="str">
            <v>LEAL</v>
          </cell>
          <cell r="AF536">
            <v>11798923.5</v>
          </cell>
        </row>
        <row r="537">
          <cell r="M537" t="str">
            <v>MARCOS</v>
          </cell>
          <cell r="N537" t="str">
            <v>MASCAREÑO</v>
          </cell>
          <cell r="AF537">
            <v>13457976.000000002</v>
          </cell>
        </row>
        <row r="538">
          <cell r="M538" t="str">
            <v>MARCOS</v>
          </cell>
          <cell r="N538" t="str">
            <v>SUAREZ</v>
          </cell>
          <cell r="AF538">
            <v>11798923.5</v>
          </cell>
        </row>
        <row r="539">
          <cell r="M539" t="str">
            <v>MARCOS</v>
          </cell>
          <cell r="N539" t="str">
            <v>TUA</v>
          </cell>
          <cell r="AF539">
            <v>11624865</v>
          </cell>
        </row>
        <row r="540">
          <cell r="M540" t="str">
            <v>MARIA</v>
          </cell>
          <cell r="N540" t="str">
            <v>ACOSTA</v>
          </cell>
          <cell r="AF540">
            <v>25980352.051200002</v>
          </cell>
        </row>
        <row r="541">
          <cell r="M541" t="str">
            <v>MARIA</v>
          </cell>
          <cell r="N541" t="str">
            <v>ARROYO</v>
          </cell>
          <cell r="AF541">
            <v>13626508.44705</v>
          </cell>
        </row>
        <row r="542">
          <cell r="M542" t="str">
            <v>MARIA</v>
          </cell>
          <cell r="N542" t="str">
            <v>GONZALEZ</v>
          </cell>
          <cell r="AF542">
            <v>13983068.842949999</v>
          </cell>
        </row>
        <row r="543">
          <cell r="M543" t="str">
            <v>MARIA</v>
          </cell>
          <cell r="N543" t="str">
            <v>OCANTO</v>
          </cell>
          <cell r="AF543">
            <v>11283825</v>
          </cell>
        </row>
        <row r="544">
          <cell r="M544" t="str">
            <v>MARIA</v>
          </cell>
          <cell r="N544" t="str">
            <v>PEREZ</v>
          </cell>
          <cell r="AF544">
            <v>17661611.60055</v>
          </cell>
        </row>
        <row r="545">
          <cell r="M545" t="str">
            <v>MARIA</v>
          </cell>
          <cell r="N545" t="str">
            <v>RIERA</v>
          </cell>
          <cell r="AF545">
            <v>15345257.961750001</v>
          </cell>
        </row>
        <row r="546">
          <cell r="M546" t="str">
            <v>MARIA</v>
          </cell>
          <cell r="N546" t="str">
            <v>ROJAS</v>
          </cell>
          <cell r="AF546">
            <v>22986600.801750001</v>
          </cell>
        </row>
        <row r="547">
          <cell r="M547" t="str">
            <v>MARIA</v>
          </cell>
          <cell r="N547" t="str">
            <v>SEQUERA</v>
          </cell>
          <cell r="AF547">
            <v>27522321.699450001</v>
          </cell>
        </row>
        <row r="548">
          <cell r="M548" t="str">
            <v>MARILIN</v>
          </cell>
          <cell r="N548" t="str">
            <v>CORDERO</v>
          </cell>
          <cell r="AF548">
            <v>16409495.1588</v>
          </cell>
        </row>
        <row r="549">
          <cell r="M549" t="str">
            <v>MARIO</v>
          </cell>
          <cell r="N549" t="str">
            <v>COLINA</v>
          </cell>
          <cell r="AF549">
            <v>11798923.5</v>
          </cell>
        </row>
        <row r="550">
          <cell r="M550" t="str">
            <v>MARIO</v>
          </cell>
          <cell r="N550" t="str">
            <v>INFANTE</v>
          </cell>
          <cell r="AF550">
            <v>12615907.5</v>
          </cell>
        </row>
        <row r="551">
          <cell r="M551" t="str">
            <v>MARIO</v>
          </cell>
          <cell r="N551" t="str">
            <v>RIVERO</v>
          </cell>
          <cell r="AF551">
            <v>11798923.5</v>
          </cell>
        </row>
        <row r="552">
          <cell r="M552" t="str">
            <v>MARIO</v>
          </cell>
          <cell r="N552" t="str">
            <v>VASQUEZ</v>
          </cell>
          <cell r="AF552">
            <v>11283825</v>
          </cell>
        </row>
        <row r="553">
          <cell r="M553" t="str">
            <v>MARITZA</v>
          </cell>
          <cell r="N553" t="str">
            <v>VASQUEZ</v>
          </cell>
          <cell r="AF553">
            <v>13457976.000000002</v>
          </cell>
        </row>
        <row r="554">
          <cell r="M554" t="str">
            <v>MARTHA</v>
          </cell>
          <cell r="N554" t="str">
            <v>TUA</v>
          </cell>
          <cell r="AF554">
            <v>22409914.074450001</v>
          </cell>
        </row>
        <row r="555">
          <cell r="M555" t="str">
            <v>MAXIMIANO</v>
          </cell>
          <cell r="N555" t="str">
            <v>CAMBERO</v>
          </cell>
          <cell r="AF555">
            <v>11283825</v>
          </cell>
        </row>
        <row r="556">
          <cell r="M556" t="str">
            <v>MICHEL</v>
          </cell>
          <cell r="N556" t="str">
            <v>PIEDRA</v>
          </cell>
          <cell r="AF556">
            <v>11283825</v>
          </cell>
        </row>
        <row r="557">
          <cell r="M557" t="str">
            <v>MIGUEL</v>
          </cell>
          <cell r="N557" t="str">
            <v>CRESPO</v>
          </cell>
          <cell r="AF557">
            <v>12615907.5</v>
          </cell>
        </row>
        <row r="558">
          <cell r="M558" t="str">
            <v>MIGUEL</v>
          </cell>
          <cell r="N558" t="str">
            <v>LOYO</v>
          </cell>
          <cell r="AF558">
            <v>23634000</v>
          </cell>
        </row>
        <row r="559">
          <cell r="M559" t="str">
            <v>MIGUEL</v>
          </cell>
          <cell r="N559" t="str">
            <v>MORENO</v>
          </cell>
          <cell r="AF559">
            <v>11283825</v>
          </cell>
        </row>
        <row r="560">
          <cell r="M560" t="str">
            <v>MIGUEL</v>
          </cell>
          <cell r="N560" t="str">
            <v>OCANTO</v>
          </cell>
          <cell r="AF560">
            <v>11283825</v>
          </cell>
        </row>
        <row r="561">
          <cell r="M561" t="str">
            <v>MIGUEL</v>
          </cell>
          <cell r="N561" t="str">
            <v>PIÑANGO</v>
          </cell>
          <cell r="AF561">
            <v>11283825</v>
          </cell>
        </row>
        <row r="562">
          <cell r="M562" t="str">
            <v>MIGUEL</v>
          </cell>
          <cell r="N562" t="str">
            <v>QUINTERO</v>
          </cell>
          <cell r="AF562">
            <v>11798923.5</v>
          </cell>
        </row>
        <row r="563">
          <cell r="M563" t="str">
            <v>MIGUEL</v>
          </cell>
          <cell r="N563" t="str">
            <v>RAMOS</v>
          </cell>
          <cell r="AF563">
            <v>11798923.5</v>
          </cell>
        </row>
        <row r="564">
          <cell r="M564" t="str">
            <v>MIGUEL</v>
          </cell>
          <cell r="N564" t="str">
            <v>ROJAS</v>
          </cell>
          <cell r="AF564">
            <v>11283825</v>
          </cell>
        </row>
        <row r="565">
          <cell r="M565" t="str">
            <v>MIRINNER</v>
          </cell>
          <cell r="N565" t="str">
            <v>FERRER</v>
          </cell>
          <cell r="AF565">
            <v>12615907.5</v>
          </cell>
        </row>
        <row r="566">
          <cell r="M566" t="str">
            <v>MORELIA</v>
          </cell>
          <cell r="N566" t="str">
            <v>HURTADO</v>
          </cell>
          <cell r="AF566">
            <v>38513337.399450004</v>
          </cell>
        </row>
        <row r="567">
          <cell r="M567" t="str">
            <v>NAGRIELBYS</v>
          </cell>
          <cell r="N567" t="str">
            <v>GONZALEZ</v>
          </cell>
          <cell r="AF567">
            <v>11618326.6788</v>
          </cell>
        </row>
        <row r="568">
          <cell r="M568" t="str">
            <v>NATIVIDAD</v>
          </cell>
          <cell r="N568" t="str">
            <v>SUAREZ</v>
          </cell>
          <cell r="AF568">
            <v>13457976.000000002</v>
          </cell>
        </row>
        <row r="569">
          <cell r="M569" t="str">
            <v>NAUDY</v>
          </cell>
          <cell r="N569" t="str">
            <v>INFANTE</v>
          </cell>
          <cell r="AF569">
            <v>12615907.5</v>
          </cell>
        </row>
        <row r="570">
          <cell r="M570" t="str">
            <v>NAUDYS</v>
          </cell>
          <cell r="N570" t="str">
            <v>CRESPO</v>
          </cell>
          <cell r="AF570">
            <v>13457976.000000002</v>
          </cell>
        </row>
        <row r="571">
          <cell r="M571" t="str">
            <v>NAUDYS</v>
          </cell>
          <cell r="N571" t="str">
            <v>PAEZ</v>
          </cell>
          <cell r="AF571">
            <v>11798923.5</v>
          </cell>
        </row>
        <row r="572">
          <cell r="M572" t="str">
            <v>NECTARIO</v>
          </cell>
          <cell r="N572" t="str">
            <v>ROJAS</v>
          </cell>
          <cell r="AF572">
            <v>11798923.5</v>
          </cell>
        </row>
        <row r="573">
          <cell r="M573" t="str">
            <v>NELIDA</v>
          </cell>
          <cell r="N573" t="str">
            <v>PERDOMO</v>
          </cell>
          <cell r="AF573">
            <v>24324999.998250004</v>
          </cell>
        </row>
        <row r="574">
          <cell r="M574" t="str">
            <v>NELSON</v>
          </cell>
          <cell r="N574" t="str">
            <v>LINARES</v>
          </cell>
          <cell r="AF574">
            <v>29731459.446749996</v>
          </cell>
        </row>
        <row r="575">
          <cell r="M575" t="str">
            <v>NELWUIN</v>
          </cell>
          <cell r="N575" t="str">
            <v>CARRASCO</v>
          </cell>
          <cell r="AF575">
            <v>11798923.5</v>
          </cell>
        </row>
        <row r="576">
          <cell r="M576" t="str">
            <v>NESTOR</v>
          </cell>
          <cell r="N576" t="str">
            <v>PASTRAN</v>
          </cell>
          <cell r="AF576">
            <v>11798923.5</v>
          </cell>
        </row>
        <row r="577">
          <cell r="M577" t="str">
            <v>NIEDFERSON</v>
          </cell>
          <cell r="N577" t="str">
            <v>VARGAS</v>
          </cell>
          <cell r="AF577">
            <v>11283825</v>
          </cell>
        </row>
        <row r="578">
          <cell r="M578" t="str">
            <v>NOLBERTO</v>
          </cell>
          <cell r="N578" t="str">
            <v>MOGOLLON</v>
          </cell>
          <cell r="AF578">
            <v>11798923.5</v>
          </cell>
        </row>
        <row r="579">
          <cell r="M579" t="str">
            <v>NORYS</v>
          </cell>
          <cell r="N579" t="str">
            <v>ORIA</v>
          </cell>
          <cell r="AF579">
            <v>42099999.998249993</v>
          </cell>
        </row>
        <row r="580">
          <cell r="M580" t="str">
            <v>NUMA</v>
          </cell>
          <cell r="N580" t="str">
            <v>QUERALES</v>
          </cell>
          <cell r="AF580">
            <v>11798923.5</v>
          </cell>
        </row>
        <row r="581">
          <cell r="M581" t="str">
            <v>OMAR</v>
          </cell>
          <cell r="N581" t="str">
            <v>CAMACHO</v>
          </cell>
          <cell r="AF581">
            <v>11798923.5</v>
          </cell>
        </row>
        <row r="582">
          <cell r="M582" t="str">
            <v>ORLANDO</v>
          </cell>
          <cell r="N582" t="str">
            <v>BARCO</v>
          </cell>
          <cell r="AF582">
            <v>13457976.000000002</v>
          </cell>
        </row>
        <row r="583">
          <cell r="M583" t="str">
            <v>ORLANDO</v>
          </cell>
          <cell r="N583" t="str">
            <v>GONZALEZ</v>
          </cell>
          <cell r="AF583">
            <v>11798923.5</v>
          </cell>
        </row>
        <row r="584">
          <cell r="M584" t="str">
            <v>ORLANDO</v>
          </cell>
          <cell r="N584" t="str">
            <v>GONZALEZ</v>
          </cell>
          <cell r="AF584">
            <v>11798923.5</v>
          </cell>
        </row>
        <row r="585">
          <cell r="M585" t="str">
            <v>ORLANDO</v>
          </cell>
          <cell r="N585" t="str">
            <v>HERNANDEZ</v>
          </cell>
          <cell r="AF585">
            <v>11798923.5</v>
          </cell>
        </row>
        <row r="586">
          <cell r="M586" t="str">
            <v>ORLANDO</v>
          </cell>
          <cell r="N586" t="str">
            <v>MOSQUERA</v>
          </cell>
          <cell r="AF586">
            <v>11798923.5</v>
          </cell>
        </row>
        <row r="587">
          <cell r="M587" t="str">
            <v>ORLANDO</v>
          </cell>
          <cell r="N587" t="str">
            <v>PALMA</v>
          </cell>
          <cell r="AF587">
            <v>13457976.000000002</v>
          </cell>
        </row>
        <row r="588">
          <cell r="M588" t="str">
            <v>ORLANDO</v>
          </cell>
          <cell r="N588" t="str">
            <v>PIÑA</v>
          </cell>
          <cell r="AF588">
            <v>11283825</v>
          </cell>
        </row>
        <row r="589">
          <cell r="M589" t="str">
            <v>OSCAR</v>
          </cell>
          <cell r="N589" t="str">
            <v>ALVAREZ</v>
          </cell>
          <cell r="AF589">
            <v>11798923.5</v>
          </cell>
        </row>
        <row r="590">
          <cell r="M590" t="str">
            <v>OSCAR</v>
          </cell>
          <cell r="N590" t="str">
            <v>ALVAREZ</v>
          </cell>
          <cell r="AF590">
            <v>13457976.000000002</v>
          </cell>
        </row>
        <row r="591">
          <cell r="M591" t="str">
            <v>OSCAR</v>
          </cell>
          <cell r="N591" t="str">
            <v>ALVAREZ</v>
          </cell>
          <cell r="AF591">
            <v>11798923.5</v>
          </cell>
        </row>
        <row r="592">
          <cell r="M592" t="str">
            <v>OSCAR</v>
          </cell>
          <cell r="N592" t="str">
            <v>CASTILLO</v>
          </cell>
          <cell r="AF592">
            <v>11624865</v>
          </cell>
        </row>
        <row r="593">
          <cell r="M593" t="str">
            <v>OSCAR</v>
          </cell>
          <cell r="N593" t="str">
            <v>CASTRO</v>
          </cell>
          <cell r="AF593">
            <v>13457976.000000002</v>
          </cell>
        </row>
        <row r="594">
          <cell r="M594" t="str">
            <v>OSCAR</v>
          </cell>
          <cell r="N594" t="str">
            <v>CRESPO</v>
          </cell>
          <cell r="AF594">
            <v>11283825</v>
          </cell>
        </row>
        <row r="595">
          <cell r="M595" t="str">
            <v>OSCAR</v>
          </cell>
          <cell r="N595" t="str">
            <v>GONZALEZ</v>
          </cell>
          <cell r="AF595">
            <v>11283825</v>
          </cell>
        </row>
        <row r="596">
          <cell r="M596" t="str">
            <v>OSCAR</v>
          </cell>
          <cell r="N596" t="str">
            <v>MENDOZA</v>
          </cell>
          <cell r="AF596">
            <v>11283825</v>
          </cell>
        </row>
        <row r="597">
          <cell r="M597" t="str">
            <v>OSCAR</v>
          </cell>
          <cell r="N597" t="str">
            <v>PINEDA</v>
          </cell>
          <cell r="AF597">
            <v>11904576.6</v>
          </cell>
        </row>
        <row r="598">
          <cell r="M598" t="str">
            <v>OSCAR</v>
          </cell>
          <cell r="N598" t="str">
            <v>SUAREZ</v>
          </cell>
          <cell r="AF598">
            <v>11283825</v>
          </cell>
        </row>
        <row r="599">
          <cell r="M599" t="str">
            <v>OSCARLY</v>
          </cell>
          <cell r="N599" t="str">
            <v>PINEDA</v>
          </cell>
          <cell r="AF599">
            <v>11283825</v>
          </cell>
        </row>
        <row r="600">
          <cell r="M600" t="str">
            <v>OSNEIDY</v>
          </cell>
          <cell r="N600" t="str">
            <v>ALVAREZ</v>
          </cell>
          <cell r="AF600">
            <v>8069250</v>
          </cell>
        </row>
        <row r="601">
          <cell r="M601" t="str">
            <v>OSWAL</v>
          </cell>
          <cell r="N601" t="str">
            <v>CRESPO</v>
          </cell>
          <cell r="AF601">
            <v>11283825</v>
          </cell>
        </row>
        <row r="602">
          <cell r="M602" t="str">
            <v>OSWALDO</v>
          </cell>
          <cell r="N602" t="str">
            <v>CRESPO</v>
          </cell>
          <cell r="AF602">
            <v>11283825</v>
          </cell>
        </row>
        <row r="603">
          <cell r="M603" t="str">
            <v>OSWALDO</v>
          </cell>
          <cell r="N603" t="str">
            <v>TUA</v>
          </cell>
          <cell r="AF603">
            <v>11798923.5</v>
          </cell>
        </row>
        <row r="604">
          <cell r="M604" t="str">
            <v>OSWALDO</v>
          </cell>
          <cell r="N604" t="str">
            <v>TUA</v>
          </cell>
          <cell r="AF604">
            <v>11624865</v>
          </cell>
        </row>
        <row r="605">
          <cell r="M605" t="str">
            <v>OTTONIEL</v>
          </cell>
          <cell r="N605" t="str">
            <v>FLORES</v>
          </cell>
          <cell r="AF605">
            <v>11624865</v>
          </cell>
        </row>
        <row r="606">
          <cell r="M606" t="str">
            <v>PABLO</v>
          </cell>
          <cell r="N606" t="str">
            <v>MELENDEZ</v>
          </cell>
          <cell r="AF606">
            <v>11798923.5</v>
          </cell>
        </row>
        <row r="607">
          <cell r="M607" t="str">
            <v>PABLO</v>
          </cell>
          <cell r="N607" t="str">
            <v>VILLEGAS</v>
          </cell>
          <cell r="AF607">
            <v>13457976.000000002</v>
          </cell>
        </row>
        <row r="608">
          <cell r="M608" t="str">
            <v>PASCUAL</v>
          </cell>
          <cell r="N608" t="str">
            <v>SANCHEZ</v>
          </cell>
          <cell r="AF608">
            <v>11798923.5</v>
          </cell>
        </row>
        <row r="609">
          <cell r="M609" t="str">
            <v>PASTOR</v>
          </cell>
          <cell r="N609" t="str">
            <v>GALLARDO</v>
          </cell>
          <cell r="AF609">
            <v>11798923.5</v>
          </cell>
        </row>
        <row r="610">
          <cell r="M610" t="str">
            <v>PASTOR</v>
          </cell>
          <cell r="N610" t="str">
            <v>SANCHEZ</v>
          </cell>
          <cell r="AF610">
            <v>13457976.000000002</v>
          </cell>
        </row>
        <row r="611">
          <cell r="M611" t="str">
            <v>PAUSIDE</v>
          </cell>
          <cell r="N611" t="str">
            <v>SIERRA</v>
          </cell>
          <cell r="AF611">
            <v>13457976.000000002</v>
          </cell>
        </row>
        <row r="612">
          <cell r="M612" t="str">
            <v>PEDRO</v>
          </cell>
          <cell r="N612" t="str">
            <v>ALMAO</v>
          </cell>
          <cell r="AF612">
            <v>13457976.000000002</v>
          </cell>
        </row>
        <row r="613">
          <cell r="M613" t="str">
            <v>PEDRO</v>
          </cell>
          <cell r="N613" t="str">
            <v>ALVAREZ</v>
          </cell>
          <cell r="AF613">
            <v>11798923.5</v>
          </cell>
        </row>
        <row r="614">
          <cell r="M614" t="str">
            <v>PEDRO</v>
          </cell>
          <cell r="N614" t="str">
            <v>GARCIA</v>
          </cell>
          <cell r="AF614">
            <v>11624865</v>
          </cell>
        </row>
        <row r="615">
          <cell r="M615" t="str">
            <v>PEDRO</v>
          </cell>
          <cell r="N615" t="str">
            <v>GOMEZ</v>
          </cell>
          <cell r="AF615">
            <v>11798923.5</v>
          </cell>
        </row>
        <row r="616">
          <cell r="M616" t="str">
            <v>PEDRO</v>
          </cell>
          <cell r="N616" t="str">
            <v>MELENDEZ</v>
          </cell>
          <cell r="AF616">
            <v>13457976.000000002</v>
          </cell>
        </row>
        <row r="617">
          <cell r="M617" t="str">
            <v>PEDRO</v>
          </cell>
          <cell r="N617" t="str">
            <v>RAMIREZ</v>
          </cell>
          <cell r="AF617">
            <v>11798923.5</v>
          </cell>
        </row>
        <row r="618">
          <cell r="M618" t="str">
            <v>PEDRO</v>
          </cell>
          <cell r="N618" t="str">
            <v>RAMOS</v>
          </cell>
          <cell r="AF618">
            <v>11798923.5</v>
          </cell>
        </row>
        <row r="619">
          <cell r="M619" t="str">
            <v>PEDRO</v>
          </cell>
          <cell r="N619" t="str">
            <v>RIERA</v>
          </cell>
          <cell r="AF619">
            <v>11283825</v>
          </cell>
        </row>
        <row r="620">
          <cell r="M620" t="str">
            <v>PEDRO</v>
          </cell>
          <cell r="N620" t="str">
            <v>RIERA</v>
          </cell>
          <cell r="AF620">
            <v>11624865</v>
          </cell>
        </row>
        <row r="621">
          <cell r="M621" t="str">
            <v>PEDRO</v>
          </cell>
          <cell r="N621" t="str">
            <v>ROJAS</v>
          </cell>
          <cell r="AF621">
            <v>11283825</v>
          </cell>
        </row>
        <row r="622">
          <cell r="M622" t="str">
            <v>PUBLIO</v>
          </cell>
          <cell r="N622" t="str">
            <v>RODRIGUEZ</v>
          </cell>
          <cell r="AF622">
            <v>13457976.000000002</v>
          </cell>
        </row>
        <row r="623">
          <cell r="M623" t="str">
            <v>PUBLIO</v>
          </cell>
          <cell r="N623" t="str">
            <v>RODRIGUEZ</v>
          </cell>
          <cell r="AF623">
            <v>11283825</v>
          </cell>
        </row>
        <row r="624">
          <cell r="M624" t="str">
            <v>RAFAEL</v>
          </cell>
          <cell r="N624" t="str">
            <v>ANZOLA</v>
          </cell>
          <cell r="AF624">
            <v>11798923.5</v>
          </cell>
        </row>
        <row r="625">
          <cell r="M625" t="str">
            <v>RAFAEL</v>
          </cell>
          <cell r="N625" t="str">
            <v>BARRAEZ</v>
          </cell>
          <cell r="AF625">
            <v>48530382.62325</v>
          </cell>
        </row>
        <row r="626">
          <cell r="M626" t="str">
            <v>RAFAEL</v>
          </cell>
          <cell r="N626" t="str">
            <v>CAMACARO</v>
          </cell>
          <cell r="AF626">
            <v>13457976.000000002</v>
          </cell>
        </row>
        <row r="627">
          <cell r="M627" t="str">
            <v>RAFAEL</v>
          </cell>
          <cell r="N627" t="str">
            <v>CHAVIER</v>
          </cell>
          <cell r="AF627">
            <v>13457976.000000002</v>
          </cell>
        </row>
        <row r="628">
          <cell r="M628" t="str">
            <v>RAFAEL</v>
          </cell>
          <cell r="N628" t="str">
            <v>LOZADA</v>
          </cell>
          <cell r="AF628">
            <v>11798923.5</v>
          </cell>
        </row>
        <row r="629">
          <cell r="M629" t="str">
            <v>RAFAEL</v>
          </cell>
          <cell r="N629" t="str">
            <v>MELENDEZ</v>
          </cell>
          <cell r="AF629">
            <v>12615907.5</v>
          </cell>
        </row>
        <row r="630">
          <cell r="M630" t="str">
            <v>RAFAEL</v>
          </cell>
          <cell r="N630" t="str">
            <v>MELENDEZ</v>
          </cell>
          <cell r="AF630">
            <v>37570059.981749997</v>
          </cell>
        </row>
        <row r="631">
          <cell r="M631" t="str">
            <v>RAFAEL</v>
          </cell>
          <cell r="N631" t="str">
            <v>MENDOZA</v>
          </cell>
          <cell r="AF631">
            <v>11798923.5</v>
          </cell>
        </row>
        <row r="632">
          <cell r="M632" t="str">
            <v>RAFAEL</v>
          </cell>
          <cell r="N632" t="str">
            <v>PAIVA</v>
          </cell>
          <cell r="AF632">
            <v>13457976.000000002</v>
          </cell>
        </row>
        <row r="633">
          <cell r="M633" t="str">
            <v>RAFAEL</v>
          </cell>
          <cell r="N633" t="str">
            <v>PINEDA</v>
          </cell>
          <cell r="AF633">
            <v>11283825</v>
          </cell>
        </row>
        <row r="634">
          <cell r="M634" t="str">
            <v>RAFAEL</v>
          </cell>
          <cell r="N634" t="str">
            <v>RODRIGUEZ</v>
          </cell>
          <cell r="AF634">
            <v>13457976.000000002</v>
          </cell>
        </row>
        <row r="635">
          <cell r="M635" t="str">
            <v>RAFAEL</v>
          </cell>
          <cell r="N635" t="str">
            <v>RODRIGUEZ</v>
          </cell>
          <cell r="AF635">
            <v>11798923.5</v>
          </cell>
        </row>
        <row r="636">
          <cell r="M636" t="str">
            <v>RAFAEL</v>
          </cell>
          <cell r="N636" t="str">
            <v>SABANA</v>
          </cell>
          <cell r="AF636">
            <v>11798923.5</v>
          </cell>
        </row>
        <row r="637">
          <cell r="M637" t="str">
            <v>RAFAEL</v>
          </cell>
          <cell r="N637" t="str">
            <v>VILLEGAS</v>
          </cell>
          <cell r="AF637">
            <v>13457976.000000002</v>
          </cell>
        </row>
        <row r="638">
          <cell r="M638" t="str">
            <v>RAMON</v>
          </cell>
          <cell r="N638" t="str">
            <v>ANZOLA</v>
          </cell>
          <cell r="AF638">
            <v>11798923.5</v>
          </cell>
        </row>
        <row r="639">
          <cell r="M639" t="str">
            <v>RAMON</v>
          </cell>
          <cell r="N639" t="str">
            <v>CUENCA</v>
          </cell>
          <cell r="AF639">
            <v>11798923.5</v>
          </cell>
        </row>
        <row r="640">
          <cell r="M640" t="str">
            <v>RAMON</v>
          </cell>
          <cell r="N640" t="str">
            <v>DORANTES</v>
          </cell>
          <cell r="AF640">
            <v>13457976.000000002</v>
          </cell>
        </row>
        <row r="641">
          <cell r="M641" t="str">
            <v>RAMON</v>
          </cell>
          <cell r="N641" t="str">
            <v>NIEVES</v>
          </cell>
          <cell r="AF641">
            <v>11798923.5</v>
          </cell>
        </row>
        <row r="642">
          <cell r="M642" t="str">
            <v>RAMON</v>
          </cell>
          <cell r="N642" t="str">
            <v>PEREZ</v>
          </cell>
          <cell r="AF642">
            <v>11283825</v>
          </cell>
        </row>
        <row r="643">
          <cell r="M643" t="str">
            <v>RAMON</v>
          </cell>
          <cell r="N643" t="str">
            <v>RIERA</v>
          </cell>
          <cell r="AF643">
            <v>11798923.5</v>
          </cell>
        </row>
        <row r="644">
          <cell r="M644" t="str">
            <v>RAMON</v>
          </cell>
          <cell r="N644" t="str">
            <v>RIERA</v>
          </cell>
          <cell r="AF644">
            <v>12615907.5</v>
          </cell>
        </row>
        <row r="645">
          <cell r="M645" t="str">
            <v>RAMON</v>
          </cell>
          <cell r="N645" t="str">
            <v>RODRIGUEZ</v>
          </cell>
          <cell r="AF645">
            <v>12615907.5</v>
          </cell>
        </row>
        <row r="646">
          <cell r="M646" t="str">
            <v>RAMON</v>
          </cell>
          <cell r="N646" t="str">
            <v>TORRES</v>
          </cell>
          <cell r="AF646">
            <v>11798923.5</v>
          </cell>
        </row>
        <row r="647">
          <cell r="M647" t="str">
            <v>RAUL</v>
          </cell>
          <cell r="N647" t="str">
            <v>PERERA</v>
          </cell>
          <cell r="AF647">
            <v>11283825</v>
          </cell>
        </row>
        <row r="648">
          <cell r="M648" t="str">
            <v>REGULO</v>
          </cell>
          <cell r="N648" t="str">
            <v>RIERA</v>
          </cell>
          <cell r="AF648">
            <v>33324887.72445</v>
          </cell>
        </row>
        <row r="649">
          <cell r="M649" t="str">
            <v>REINALDO</v>
          </cell>
          <cell r="N649" t="str">
            <v>CHIRINOS</v>
          </cell>
          <cell r="AF649">
            <v>14811503.889449999</v>
          </cell>
        </row>
        <row r="650">
          <cell r="M650" t="str">
            <v>REINALDO</v>
          </cell>
          <cell r="N650" t="str">
            <v>MELENDEZ</v>
          </cell>
          <cell r="AF650">
            <v>13457976.000000002</v>
          </cell>
        </row>
        <row r="651">
          <cell r="M651" t="str">
            <v>REINALDO</v>
          </cell>
          <cell r="N651" t="str">
            <v>PEREIRA</v>
          </cell>
          <cell r="AF651">
            <v>12039825</v>
          </cell>
        </row>
        <row r="652">
          <cell r="M652" t="str">
            <v>REISSY</v>
          </cell>
          <cell r="N652" t="str">
            <v>GUTIERREZ</v>
          </cell>
          <cell r="AF652">
            <v>10758825</v>
          </cell>
        </row>
        <row r="653">
          <cell r="M653" t="str">
            <v>RENNY</v>
          </cell>
          <cell r="N653" t="str">
            <v>GOMEZ</v>
          </cell>
          <cell r="AF653">
            <v>12615907.5</v>
          </cell>
        </row>
        <row r="654">
          <cell r="M654" t="str">
            <v>RENY</v>
          </cell>
          <cell r="N654" t="str">
            <v>BERTI</v>
          </cell>
          <cell r="AF654">
            <v>12615907.5</v>
          </cell>
        </row>
        <row r="655">
          <cell r="M655" t="str">
            <v>RICARDO</v>
          </cell>
          <cell r="N655" t="str">
            <v>GATICA</v>
          </cell>
          <cell r="AF655">
            <v>12615907.5</v>
          </cell>
        </row>
        <row r="656">
          <cell r="M656" t="str">
            <v>RICARDO</v>
          </cell>
          <cell r="N656" t="str">
            <v>RIERA</v>
          </cell>
          <cell r="AF656">
            <v>11798923.5</v>
          </cell>
        </row>
        <row r="657">
          <cell r="M657" t="str">
            <v>RICHARD</v>
          </cell>
          <cell r="N657" t="str">
            <v>LEAL</v>
          </cell>
          <cell r="AF657">
            <v>11624865</v>
          </cell>
        </row>
        <row r="658">
          <cell r="M658" t="str">
            <v>RICHARD</v>
          </cell>
          <cell r="N658" t="str">
            <v>PINEDA</v>
          </cell>
          <cell r="AF658">
            <v>11283825</v>
          </cell>
        </row>
        <row r="659">
          <cell r="M659" t="str">
            <v>RICHARD</v>
          </cell>
          <cell r="N659" t="str">
            <v>RODRIGUEZ</v>
          </cell>
          <cell r="AF659">
            <v>11798923.5</v>
          </cell>
        </row>
        <row r="660">
          <cell r="M660" t="str">
            <v>RICHARD</v>
          </cell>
          <cell r="N660" t="str">
            <v>YAJURE</v>
          </cell>
          <cell r="AF660">
            <v>12615907.5</v>
          </cell>
        </row>
        <row r="661">
          <cell r="M661" t="str">
            <v>ROBERT</v>
          </cell>
          <cell r="N661" t="str">
            <v>DIAZ</v>
          </cell>
          <cell r="AF661">
            <v>11798923.5</v>
          </cell>
        </row>
        <row r="662">
          <cell r="M662" t="str">
            <v>ROBERT</v>
          </cell>
          <cell r="N662" t="str">
            <v>MONTES</v>
          </cell>
          <cell r="AF662">
            <v>11283825</v>
          </cell>
        </row>
        <row r="663">
          <cell r="M663" t="str">
            <v>ROBERT</v>
          </cell>
          <cell r="N663" t="str">
            <v>PEREZ</v>
          </cell>
          <cell r="AF663">
            <v>13457976.000000002</v>
          </cell>
        </row>
        <row r="664">
          <cell r="M664" t="str">
            <v>RODRIGO</v>
          </cell>
          <cell r="N664" t="str">
            <v>LEAL</v>
          </cell>
          <cell r="AF664">
            <v>11798923.5</v>
          </cell>
        </row>
        <row r="665">
          <cell r="M665" t="str">
            <v>ROGELIO</v>
          </cell>
          <cell r="N665" t="str">
            <v>LEAL</v>
          </cell>
          <cell r="AF665">
            <v>12615907.5</v>
          </cell>
        </row>
        <row r="666">
          <cell r="M666" t="str">
            <v>ROGER</v>
          </cell>
          <cell r="N666" t="str">
            <v>RODRIGUEZ</v>
          </cell>
          <cell r="AF666">
            <v>11283825</v>
          </cell>
        </row>
        <row r="667">
          <cell r="M667" t="str">
            <v>ROLANDO</v>
          </cell>
          <cell r="N667" t="str">
            <v>MELENDEZ</v>
          </cell>
          <cell r="AF667">
            <v>12615907.5</v>
          </cell>
        </row>
        <row r="668">
          <cell r="M668" t="str">
            <v>ROLANDO</v>
          </cell>
          <cell r="N668" t="str">
            <v>MENDOZA</v>
          </cell>
          <cell r="AF668">
            <v>57775263.772050008</v>
          </cell>
        </row>
        <row r="669">
          <cell r="M669" t="str">
            <v>ROMY</v>
          </cell>
          <cell r="N669" t="str">
            <v>PAEZ</v>
          </cell>
          <cell r="AF669">
            <v>11283825</v>
          </cell>
        </row>
        <row r="670">
          <cell r="M670" t="str">
            <v>ROSA</v>
          </cell>
          <cell r="N670" t="str">
            <v>AGUILAR</v>
          </cell>
          <cell r="AF670">
            <v>33362562.95205</v>
          </cell>
        </row>
        <row r="671">
          <cell r="M671" t="str">
            <v>ROSA</v>
          </cell>
          <cell r="N671" t="str">
            <v>ROJAS</v>
          </cell>
          <cell r="AF671">
            <v>11283825</v>
          </cell>
        </row>
        <row r="672">
          <cell r="M672" t="str">
            <v>ROUSMARIS</v>
          </cell>
          <cell r="N672" t="str">
            <v>PIÑA</v>
          </cell>
          <cell r="AF672">
            <v>8069250</v>
          </cell>
        </row>
        <row r="673">
          <cell r="M673" t="str">
            <v>RUBEN</v>
          </cell>
          <cell r="N673" t="str">
            <v>TUA</v>
          </cell>
          <cell r="AF673">
            <v>23222215.4388</v>
          </cell>
        </row>
        <row r="674">
          <cell r="M674" t="str">
            <v>RUBEN</v>
          </cell>
          <cell r="N674" t="str">
            <v>VASQUEZ</v>
          </cell>
          <cell r="AF674">
            <v>11798923.5</v>
          </cell>
        </row>
        <row r="675">
          <cell r="M675" t="str">
            <v>RUDY</v>
          </cell>
          <cell r="N675" t="str">
            <v>MOSQUERA</v>
          </cell>
          <cell r="AF675">
            <v>11798923.5</v>
          </cell>
        </row>
        <row r="676">
          <cell r="M676" t="str">
            <v>SANDRO</v>
          </cell>
          <cell r="N676" t="str">
            <v>GALLARDO</v>
          </cell>
          <cell r="AF676">
            <v>48066632.100000001</v>
          </cell>
        </row>
        <row r="677">
          <cell r="M677" t="str">
            <v>SATURNINO</v>
          </cell>
          <cell r="N677" t="str">
            <v>ROJAS</v>
          </cell>
          <cell r="AF677">
            <v>11798923.5</v>
          </cell>
        </row>
        <row r="678">
          <cell r="M678" t="str">
            <v>SEGUNDO</v>
          </cell>
          <cell r="N678" t="str">
            <v>PAIVA</v>
          </cell>
          <cell r="AF678">
            <v>11798923.5</v>
          </cell>
        </row>
        <row r="679">
          <cell r="M679" t="str">
            <v>SERGIO</v>
          </cell>
          <cell r="N679" t="str">
            <v>CAMACHO</v>
          </cell>
          <cell r="AF679">
            <v>11798923.5</v>
          </cell>
        </row>
        <row r="680">
          <cell r="M680" t="str">
            <v>SERGIO</v>
          </cell>
          <cell r="N680" t="str">
            <v>ESPINA</v>
          </cell>
          <cell r="AF680">
            <v>40013600.660549998</v>
          </cell>
        </row>
        <row r="681">
          <cell r="M681" t="str">
            <v>SIGDANIA</v>
          </cell>
          <cell r="N681" t="str">
            <v>VARGAS</v>
          </cell>
          <cell r="AF681">
            <v>16934672.2788</v>
          </cell>
        </row>
        <row r="682">
          <cell r="M682" t="str">
            <v>SILVERIO</v>
          </cell>
          <cell r="N682" t="str">
            <v>INFANTE</v>
          </cell>
          <cell r="AF682">
            <v>11798923.5</v>
          </cell>
        </row>
        <row r="683">
          <cell r="M683" t="str">
            <v>SILVIA</v>
          </cell>
          <cell r="N683" t="str">
            <v>LEAL</v>
          </cell>
          <cell r="AF683">
            <v>13457976.000000002</v>
          </cell>
        </row>
        <row r="684">
          <cell r="M684" t="str">
            <v>SIMEON</v>
          </cell>
          <cell r="N684" t="str">
            <v>CRESPO</v>
          </cell>
          <cell r="AF684">
            <v>11624865</v>
          </cell>
        </row>
        <row r="685">
          <cell r="M685" t="str">
            <v>SULIMAR</v>
          </cell>
          <cell r="N685" t="str">
            <v>PEREZ</v>
          </cell>
          <cell r="AF685">
            <v>13991968.640550001</v>
          </cell>
        </row>
        <row r="686">
          <cell r="M686" t="str">
            <v>TEOFILO</v>
          </cell>
          <cell r="N686" t="str">
            <v>ORDAZ</v>
          </cell>
          <cell r="AF686">
            <v>11798923.5</v>
          </cell>
        </row>
        <row r="687">
          <cell r="M687" t="str">
            <v>TITO</v>
          </cell>
          <cell r="N687" t="str">
            <v>NAVAS</v>
          </cell>
          <cell r="AF687">
            <v>11283825</v>
          </cell>
        </row>
        <row r="688">
          <cell r="M688" t="str">
            <v>VACANTE</v>
          </cell>
          <cell r="N688" t="str">
            <v>VACANTE</v>
          </cell>
          <cell r="AF688">
            <v>41283482.550000004</v>
          </cell>
        </row>
        <row r="689">
          <cell r="M689" t="str">
            <v>VALENTIN</v>
          </cell>
          <cell r="N689" t="str">
            <v>MOSQUERA</v>
          </cell>
          <cell r="AF689">
            <v>11283825</v>
          </cell>
        </row>
        <row r="690">
          <cell r="M690" t="str">
            <v>VICENTE</v>
          </cell>
          <cell r="N690" t="str">
            <v>RODRIGUEZ</v>
          </cell>
          <cell r="AF690">
            <v>11624865</v>
          </cell>
        </row>
        <row r="691">
          <cell r="M691" t="str">
            <v>VICTOR</v>
          </cell>
          <cell r="N691" t="str">
            <v>DOMINGUEZ</v>
          </cell>
          <cell r="AF691">
            <v>12615907.5</v>
          </cell>
        </row>
        <row r="692">
          <cell r="M692" t="str">
            <v>VICTOR</v>
          </cell>
          <cell r="N692" t="str">
            <v>GALLARDO</v>
          </cell>
          <cell r="AF692">
            <v>12615907.5</v>
          </cell>
        </row>
        <row r="693">
          <cell r="M693" t="str">
            <v>VICTOR</v>
          </cell>
          <cell r="N693" t="str">
            <v>IBARRA</v>
          </cell>
          <cell r="AF693">
            <v>11798923.5</v>
          </cell>
        </row>
        <row r="694">
          <cell r="M694" t="str">
            <v>VICTOR</v>
          </cell>
          <cell r="N694" t="str">
            <v>MELENDEZ</v>
          </cell>
          <cell r="AF694">
            <v>12615907.5</v>
          </cell>
        </row>
        <row r="695">
          <cell r="M695" t="str">
            <v>VICTOR</v>
          </cell>
          <cell r="N695" t="str">
            <v>RODRIGUEZ</v>
          </cell>
          <cell r="AF695">
            <v>20556726.804450002</v>
          </cell>
        </row>
        <row r="696">
          <cell r="M696" t="str">
            <v>VICTOR</v>
          </cell>
          <cell r="N696" t="str">
            <v>URQUIOLA</v>
          </cell>
          <cell r="AF696">
            <v>11798923.5</v>
          </cell>
        </row>
        <row r="697">
          <cell r="M697" t="str">
            <v>VIRGILIO</v>
          </cell>
          <cell r="N697" t="str">
            <v>SANCHEZ</v>
          </cell>
          <cell r="AF697">
            <v>13457976.000000002</v>
          </cell>
        </row>
        <row r="698">
          <cell r="M698" t="str">
            <v>WENDER</v>
          </cell>
          <cell r="N698" t="str">
            <v>MOSQUERA</v>
          </cell>
          <cell r="AF698">
            <v>11798923.5</v>
          </cell>
        </row>
        <row r="699">
          <cell r="M699" t="str">
            <v>WILFREDO</v>
          </cell>
          <cell r="N699" t="str">
            <v>PERAZA</v>
          </cell>
          <cell r="AF699">
            <v>19249996.148249999</v>
          </cell>
        </row>
        <row r="700">
          <cell r="M700" t="str">
            <v>WILKA</v>
          </cell>
          <cell r="N700" t="str">
            <v>TUA</v>
          </cell>
          <cell r="AF700">
            <v>24335798.496750001</v>
          </cell>
        </row>
        <row r="701">
          <cell r="M701" t="str">
            <v>WILKEEL</v>
          </cell>
          <cell r="N701" t="str">
            <v>ROJAS</v>
          </cell>
          <cell r="AF701">
            <v>14347394.25</v>
          </cell>
        </row>
        <row r="702">
          <cell r="M702" t="str">
            <v>WILLIAM</v>
          </cell>
          <cell r="N702" t="str">
            <v>CHIRINOS</v>
          </cell>
          <cell r="AF702">
            <v>11798923.5</v>
          </cell>
        </row>
        <row r="703">
          <cell r="M703" t="str">
            <v>WILLIAM</v>
          </cell>
          <cell r="N703" t="str">
            <v>PIÑA</v>
          </cell>
          <cell r="AF703">
            <v>29841168.037050001</v>
          </cell>
        </row>
        <row r="704">
          <cell r="M704" t="str">
            <v>WILLIAN</v>
          </cell>
          <cell r="N704" t="str">
            <v>MELENDEZ</v>
          </cell>
          <cell r="AF704">
            <v>11798923.5</v>
          </cell>
        </row>
        <row r="705">
          <cell r="M705" t="str">
            <v>WILLIAN</v>
          </cell>
          <cell r="N705" t="str">
            <v>TORRES</v>
          </cell>
          <cell r="AF705">
            <v>11798923.5</v>
          </cell>
        </row>
        <row r="706">
          <cell r="M706" t="str">
            <v>WILMER</v>
          </cell>
          <cell r="N706" t="str">
            <v>CASTEJON</v>
          </cell>
          <cell r="AF706">
            <v>11624865</v>
          </cell>
        </row>
        <row r="707">
          <cell r="M707" t="str">
            <v>WILMER</v>
          </cell>
          <cell r="N707" t="str">
            <v>LOPEZ</v>
          </cell>
          <cell r="AF707">
            <v>12615907.5</v>
          </cell>
        </row>
        <row r="708">
          <cell r="M708" t="str">
            <v>WILMER</v>
          </cell>
          <cell r="N708" t="str">
            <v>RIVERO</v>
          </cell>
          <cell r="AF708">
            <v>13457976.000000002</v>
          </cell>
        </row>
        <row r="709">
          <cell r="M709" t="str">
            <v>WILMER</v>
          </cell>
          <cell r="N709" t="str">
            <v>SANCHEZ</v>
          </cell>
          <cell r="AF709">
            <v>11283825</v>
          </cell>
        </row>
        <row r="710">
          <cell r="M710" t="str">
            <v>WUILIAM</v>
          </cell>
          <cell r="N710" t="str">
            <v>SUAREZ</v>
          </cell>
          <cell r="AF710">
            <v>11624865</v>
          </cell>
        </row>
        <row r="711">
          <cell r="M711" t="str">
            <v>YAIBELYS</v>
          </cell>
          <cell r="N711" t="str">
            <v>NIEVES</v>
          </cell>
          <cell r="AF711">
            <v>12615907.5</v>
          </cell>
        </row>
        <row r="712">
          <cell r="M712" t="str">
            <v>YAKELIN</v>
          </cell>
          <cell r="N712" t="str">
            <v>CARRASCO</v>
          </cell>
          <cell r="AF712">
            <v>10758825</v>
          </cell>
        </row>
        <row r="713">
          <cell r="M713" t="str">
            <v>YASMIL</v>
          </cell>
          <cell r="N713" t="str">
            <v>SUAREZ</v>
          </cell>
          <cell r="AF713">
            <v>11798923.5</v>
          </cell>
        </row>
        <row r="714">
          <cell r="M714" t="str">
            <v>YAURI</v>
          </cell>
          <cell r="N714" t="str">
            <v>NOGUERA</v>
          </cell>
          <cell r="AF714">
            <v>61333743.177049994</v>
          </cell>
        </row>
        <row r="715">
          <cell r="M715" t="str">
            <v>YEANCARLOS</v>
          </cell>
          <cell r="N715" t="str">
            <v>GONZALEZ</v>
          </cell>
          <cell r="AF715">
            <v>11798923.5</v>
          </cell>
        </row>
        <row r="716">
          <cell r="M716" t="str">
            <v>YIBEISY</v>
          </cell>
          <cell r="N716" t="str">
            <v>ROJAS</v>
          </cell>
          <cell r="AF716">
            <v>27937249.125</v>
          </cell>
        </row>
        <row r="717">
          <cell r="M717" t="str">
            <v>YOENDY</v>
          </cell>
          <cell r="N717" t="str">
            <v>SUAREZ</v>
          </cell>
          <cell r="AF717">
            <v>11283825</v>
          </cell>
        </row>
        <row r="718">
          <cell r="M718" t="str">
            <v>YOHAN</v>
          </cell>
          <cell r="N718" t="str">
            <v>ALVAREZ</v>
          </cell>
          <cell r="AF718">
            <v>13457976.000000002</v>
          </cell>
        </row>
        <row r="719">
          <cell r="M719" t="str">
            <v>YOHN</v>
          </cell>
          <cell r="N719" t="str">
            <v>MOYEJA</v>
          </cell>
          <cell r="AF719">
            <v>13457976.000000002</v>
          </cell>
        </row>
        <row r="720">
          <cell r="M720" t="str">
            <v>YONI</v>
          </cell>
          <cell r="N720" t="str">
            <v>ROJAS</v>
          </cell>
          <cell r="AF720">
            <v>13457976.000000002</v>
          </cell>
        </row>
        <row r="721">
          <cell r="M721" t="str">
            <v>YONNYS</v>
          </cell>
          <cell r="N721" t="str">
            <v>QUINTERO</v>
          </cell>
          <cell r="AF721">
            <v>11624865</v>
          </cell>
        </row>
        <row r="722">
          <cell r="M722" t="str">
            <v>YORWIN</v>
          </cell>
          <cell r="N722" t="str">
            <v>REYES</v>
          </cell>
          <cell r="AF722">
            <v>8069250</v>
          </cell>
        </row>
        <row r="723">
          <cell r="M723" t="str">
            <v>YSMAYALEE</v>
          </cell>
          <cell r="N723" t="str">
            <v>PEREZ</v>
          </cell>
          <cell r="AF723">
            <v>18841741.275000002</v>
          </cell>
        </row>
        <row r="724">
          <cell r="M724" t="str">
            <v>YULEYMI</v>
          </cell>
          <cell r="N724" t="str">
            <v>SANCHEZ</v>
          </cell>
          <cell r="AF724">
            <v>12551962.5</v>
          </cell>
        </row>
        <row r="725">
          <cell r="M725" t="str">
            <v>YURY</v>
          </cell>
          <cell r="N725" t="str">
            <v>OROPEZA</v>
          </cell>
          <cell r="AF725">
            <v>12615907.5</v>
          </cell>
        </row>
        <row r="726">
          <cell r="M726" t="str">
            <v>Abraham</v>
          </cell>
          <cell r="N726" t="str">
            <v>Suarez</v>
          </cell>
          <cell r="AF726">
            <v>14740509.731579999</v>
          </cell>
        </row>
        <row r="727">
          <cell r="M727" t="str">
            <v>Adelkis</v>
          </cell>
          <cell r="N727" t="str">
            <v>Blanco</v>
          </cell>
          <cell r="AF727">
            <v>14740509.731579999</v>
          </cell>
        </row>
        <row r="728">
          <cell r="M728" t="str">
            <v>Adelso</v>
          </cell>
          <cell r="N728" t="str">
            <v>Piña</v>
          </cell>
          <cell r="AF728">
            <v>41937675.102719992</v>
          </cell>
        </row>
        <row r="729">
          <cell r="M729" t="str">
            <v>Ademir</v>
          </cell>
          <cell r="N729" t="str">
            <v>Moreno</v>
          </cell>
          <cell r="AF729">
            <v>16650706.650119999</v>
          </cell>
        </row>
        <row r="730">
          <cell r="M730" t="str">
            <v>Adolfo</v>
          </cell>
          <cell r="N730" t="str">
            <v>Gomez</v>
          </cell>
          <cell r="AF730">
            <v>15493296.695220001</v>
          </cell>
        </row>
        <row r="731">
          <cell r="M731" t="str">
            <v>Adolfo</v>
          </cell>
          <cell r="N731" t="str">
            <v>Rangel</v>
          </cell>
          <cell r="AF731">
            <v>14740509.731579999</v>
          </cell>
        </row>
        <row r="732">
          <cell r="M732" t="str">
            <v>Agustin</v>
          </cell>
          <cell r="N732" t="str">
            <v>D´Enjoy</v>
          </cell>
          <cell r="AF732">
            <v>18925195.25826</v>
          </cell>
        </row>
        <row r="733">
          <cell r="M733" t="str">
            <v>Agustin</v>
          </cell>
          <cell r="N733" t="str">
            <v>Vargas</v>
          </cell>
          <cell r="AF733">
            <v>15493296.695220001</v>
          </cell>
        </row>
        <row r="734">
          <cell r="M734" t="str">
            <v>Aixa</v>
          </cell>
          <cell r="N734" t="str">
            <v>Borges</v>
          </cell>
          <cell r="AF734">
            <v>29025759.287700001</v>
          </cell>
        </row>
        <row r="735">
          <cell r="M735" t="str">
            <v>Albanella</v>
          </cell>
          <cell r="N735" t="str">
            <v>Cortez</v>
          </cell>
          <cell r="AF735">
            <v>14894401.74174</v>
          </cell>
        </row>
        <row r="736">
          <cell r="M736" t="str">
            <v>Alcy</v>
          </cell>
          <cell r="N736" t="str">
            <v>Rodriguez</v>
          </cell>
          <cell r="AF736">
            <v>14740509.731579999</v>
          </cell>
        </row>
        <row r="737">
          <cell r="M737" t="str">
            <v>Alejandro</v>
          </cell>
          <cell r="N737" t="str">
            <v>Leidenz</v>
          </cell>
          <cell r="AF737">
            <v>25557857.758260004</v>
          </cell>
        </row>
        <row r="738">
          <cell r="M738" t="str">
            <v>Alex</v>
          </cell>
          <cell r="N738" t="str">
            <v>Oropeza</v>
          </cell>
          <cell r="AF738">
            <v>62732247.839999996</v>
          </cell>
        </row>
        <row r="739">
          <cell r="M739" t="str">
            <v>Alex</v>
          </cell>
          <cell r="N739" t="str">
            <v>Pinango</v>
          </cell>
          <cell r="AF739">
            <v>14740509.731579999</v>
          </cell>
        </row>
        <row r="740">
          <cell r="M740" t="str">
            <v>Alex</v>
          </cell>
          <cell r="N740" t="str">
            <v>Ramirez</v>
          </cell>
          <cell r="AF740">
            <v>19906466.95152</v>
          </cell>
        </row>
        <row r="741">
          <cell r="M741" t="str">
            <v>Alexander</v>
          </cell>
          <cell r="N741" t="str">
            <v>Bravo</v>
          </cell>
          <cell r="AF741">
            <v>14050768.675139997</v>
          </cell>
        </row>
        <row r="742">
          <cell r="M742" t="str">
            <v>Alexander</v>
          </cell>
          <cell r="N742" t="str">
            <v>Calanche</v>
          </cell>
          <cell r="AF742">
            <v>8584759.8000000007</v>
          </cell>
        </row>
        <row r="743">
          <cell r="M743" t="str">
            <v>Alexander</v>
          </cell>
          <cell r="N743" t="str">
            <v>Henriquez</v>
          </cell>
          <cell r="AF743">
            <v>74816761.870140001</v>
          </cell>
        </row>
        <row r="744">
          <cell r="M744" t="str">
            <v>Alexander</v>
          </cell>
          <cell r="N744" t="str">
            <v>Lara</v>
          </cell>
          <cell r="AF744">
            <v>15493296.695220001</v>
          </cell>
        </row>
        <row r="745">
          <cell r="M745" t="str">
            <v>Alexander</v>
          </cell>
          <cell r="N745" t="str">
            <v>Merecuana</v>
          </cell>
          <cell r="AF745">
            <v>24893108.939519998</v>
          </cell>
        </row>
        <row r="746">
          <cell r="M746" t="str">
            <v>Alexander</v>
          </cell>
          <cell r="N746" t="str">
            <v>Rivero</v>
          </cell>
          <cell r="AF746">
            <v>75321410.228399992</v>
          </cell>
        </row>
        <row r="747">
          <cell r="M747" t="str">
            <v>Alexander</v>
          </cell>
          <cell r="N747" t="str">
            <v>Rojas</v>
          </cell>
          <cell r="AF747">
            <v>14740509.731579999</v>
          </cell>
        </row>
        <row r="748">
          <cell r="M748" t="str">
            <v>Alexander</v>
          </cell>
          <cell r="N748" t="str">
            <v>Salas</v>
          </cell>
          <cell r="AF748">
            <v>14740509.731579999</v>
          </cell>
        </row>
        <row r="749">
          <cell r="M749" t="str">
            <v>Alexander</v>
          </cell>
          <cell r="N749" t="str">
            <v>Salguera</v>
          </cell>
          <cell r="AF749">
            <v>26846340.159240004</v>
          </cell>
        </row>
        <row r="750">
          <cell r="M750" t="str">
            <v>Alexander</v>
          </cell>
          <cell r="N750" t="str">
            <v>Stefanovich</v>
          </cell>
          <cell r="AF750">
            <v>16650706.650119999</v>
          </cell>
        </row>
        <row r="751">
          <cell r="M751" t="str">
            <v>Alexander</v>
          </cell>
          <cell r="N751" t="str">
            <v>Tesorero</v>
          </cell>
          <cell r="AF751">
            <v>14050768.675139997</v>
          </cell>
        </row>
        <row r="752">
          <cell r="M752" t="str">
            <v>Alexandry</v>
          </cell>
          <cell r="N752" t="str">
            <v>Navarro</v>
          </cell>
          <cell r="AF752">
            <v>15493296.695220001</v>
          </cell>
        </row>
        <row r="753">
          <cell r="M753" t="str">
            <v>Alexis</v>
          </cell>
          <cell r="N753" t="str">
            <v>Cortez</v>
          </cell>
          <cell r="AF753">
            <v>80208478</v>
          </cell>
        </row>
        <row r="754">
          <cell r="M754" t="str">
            <v>Alexis</v>
          </cell>
          <cell r="N754" t="str">
            <v>Garcia</v>
          </cell>
          <cell r="AF754">
            <v>15493296.695220001</v>
          </cell>
        </row>
        <row r="755">
          <cell r="M755" t="str">
            <v>Alexis</v>
          </cell>
          <cell r="N755" t="str">
            <v>Gutierrez</v>
          </cell>
          <cell r="AF755">
            <v>14740509.731579999</v>
          </cell>
        </row>
        <row r="756">
          <cell r="M756" t="str">
            <v>Alexis</v>
          </cell>
          <cell r="N756" t="str">
            <v>Oropeza</v>
          </cell>
          <cell r="AF756">
            <v>19597034.486519996</v>
          </cell>
        </row>
        <row r="757">
          <cell r="M757" t="str">
            <v>Alexis</v>
          </cell>
          <cell r="N757" t="str">
            <v>Ramirez</v>
          </cell>
          <cell r="AF757">
            <v>30864920.399999999</v>
          </cell>
        </row>
        <row r="758">
          <cell r="M758" t="str">
            <v>Alfonso</v>
          </cell>
          <cell r="N758" t="str">
            <v>Chacon</v>
          </cell>
          <cell r="AF758">
            <v>18325459.890000001</v>
          </cell>
        </row>
        <row r="759">
          <cell r="M759" t="str">
            <v>Alfonzo</v>
          </cell>
          <cell r="N759" t="str">
            <v>Guate</v>
          </cell>
          <cell r="AF759">
            <v>14740509.731579999</v>
          </cell>
        </row>
        <row r="760">
          <cell r="M760" t="str">
            <v>Alfredo</v>
          </cell>
          <cell r="N760" t="str">
            <v>Mendoza</v>
          </cell>
          <cell r="AF760">
            <v>16650706.650119999</v>
          </cell>
        </row>
        <row r="761">
          <cell r="M761" t="str">
            <v>Aliria</v>
          </cell>
          <cell r="N761" t="str">
            <v>Roman</v>
          </cell>
          <cell r="AF761">
            <v>22323025.533059999</v>
          </cell>
        </row>
        <row r="762">
          <cell r="M762" t="str">
            <v>Alkimides</v>
          </cell>
          <cell r="N762" t="str">
            <v>Mejias</v>
          </cell>
          <cell r="AF762">
            <v>13457951.539919998</v>
          </cell>
        </row>
        <row r="763">
          <cell r="M763" t="str">
            <v>Alvaro</v>
          </cell>
          <cell r="N763" t="str">
            <v>Alvarez</v>
          </cell>
          <cell r="AF763">
            <v>27531688.643100005</v>
          </cell>
        </row>
        <row r="764">
          <cell r="M764" t="str">
            <v>Alvaro</v>
          </cell>
          <cell r="N764" t="str">
            <v>La Cruz</v>
          </cell>
          <cell r="AF764">
            <v>14740509.731579999</v>
          </cell>
        </row>
        <row r="765">
          <cell r="M765" t="str">
            <v>Alvaro</v>
          </cell>
          <cell r="N765" t="str">
            <v>Puentes</v>
          </cell>
          <cell r="AF765">
            <v>14740509.731579999</v>
          </cell>
        </row>
        <row r="766">
          <cell r="M766" t="str">
            <v>Alvin</v>
          </cell>
          <cell r="N766" t="str">
            <v>Gamez</v>
          </cell>
          <cell r="AF766">
            <v>16650706.650119999</v>
          </cell>
        </row>
        <row r="767">
          <cell r="M767" t="str">
            <v>Ana</v>
          </cell>
          <cell r="N767" t="str">
            <v>Calanche</v>
          </cell>
          <cell r="AF767">
            <v>114605204.43984</v>
          </cell>
        </row>
        <row r="768">
          <cell r="M768" t="str">
            <v>Ana</v>
          </cell>
          <cell r="N768" t="str">
            <v>Marrero</v>
          </cell>
          <cell r="AF768">
            <v>112491681.3536</v>
          </cell>
        </row>
        <row r="769">
          <cell r="M769" t="str">
            <v>Ana</v>
          </cell>
          <cell r="N769" t="str">
            <v>Nuñez</v>
          </cell>
          <cell r="AF769">
            <v>15311999.998259999</v>
          </cell>
        </row>
        <row r="770">
          <cell r="M770" t="str">
            <v>Ana</v>
          </cell>
          <cell r="N770" t="str">
            <v>Sotolongo</v>
          </cell>
          <cell r="AF770">
            <v>115188864.86949998</v>
          </cell>
        </row>
        <row r="771">
          <cell r="M771" t="str">
            <v>Andres</v>
          </cell>
          <cell r="N771" t="str">
            <v>Mota</v>
          </cell>
          <cell r="AF771">
            <v>14740509.731579999</v>
          </cell>
        </row>
        <row r="772">
          <cell r="M772" t="str">
            <v>Andres</v>
          </cell>
          <cell r="N772" t="str">
            <v>Mota</v>
          </cell>
          <cell r="AF772">
            <v>15493296.695220001</v>
          </cell>
        </row>
        <row r="773">
          <cell r="M773" t="str">
            <v>Andres</v>
          </cell>
          <cell r="N773" t="str">
            <v>Silva</v>
          </cell>
          <cell r="AF773">
            <v>15493296.695220001</v>
          </cell>
        </row>
        <row r="774">
          <cell r="M774" t="str">
            <v>Angel</v>
          </cell>
          <cell r="N774" t="str">
            <v>Blanco</v>
          </cell>
          <cell r="AF774">
            <v>25785574.234379999</v>
          </cell>
        </row>
        <row r="775">
          <cell r="M775" t="str">
            <v>Angel</v>
          </cell>
          <cell r="N775" t="str">
            <v>Garcia</v>
          </cell>
          <cell r="AF775">
            <v>15493296.695220001</v>
          </cell>
        </row>
        <row r="776">
          <cell r="M776" t="str">
            <v>Angel</v>
          </cell>
          <cell r="N776" t="str">
            <v>Gonzalez</v>
          </cell>
          <cell r="AF776">
            <v>15493296.695220001</v>
          </cell>
        </row>
        <row r="777">
          <cell r="M777" t="str">
            <v>Angel</v>
          </cell>
          <cell r="N777" t="str">
            <v>Gonzalez</v>
          </cell>
          <cell r="AF777">
            <v>15493296.695220001</v>
          </cell>
        </row>
        <row r="778">
          <cell r="M778" t="str">
            <v>Angel</v>
          </cell>
          <cell r="N778" t="str">
            <v>Naranjo</v>
          </cell>
          <cell r="AF778">
            <v>16650706.650119999</v>
          </cell>
        </row>
        <row r="779">
          <cell r="M779" t="str">
            <v>Angel</v>
          </cell>
          <cell r="N779" t="str">
            <v>Oropeza</v>
          </cell>
          <cell r="AF779">
            <v>16650706.650119999</v>
          </cell>
        </row>
        <row r="780">
          <cell r="M780" t="str">
            <v>Angel</v>
          </cell>
          <cell r="N780" t="str">
            <v>Rojas</v>
          </cell>
          <cell r="AF780">
            <v>16885443.373739999</v>
          </cell>
        </row>
        <row r="781">
          <cell r="M781" t="str">
            <v>Angel</v>
          </cell>
          <cell r="N781" t="str">
            <v>Tovar</v>
          </cell>
          <cell r="AF781">
            <v>14050766.06514</v>
          </cell>
        </row>
        <row r="782">
          <cell r="M782" t="str">
            <v>Angelica</v>
          </cell>
          <cell r="N782" t="str">
            <v>Aponte</v>
          </cell>
          <cell r="AF782">
            <v>32667237.562139999</v>
          </cell>
        </row>
        <row r="783">
          <cell r="M783" t="str">
            <v>Angelica</v>
          </cell>
          <cell r="N783" t="str">
            <v>Hurtado</v>
          </cell>
          <cell r="AF783">
            <v>19257450.001740001</v>
          </cell>
        </row>
        <row r="784">
          <cell r="M784" t="str">
            <v>Annys</v>
          </cell>
          <cell r="N784" t="str">
            <v>Alvarado</v>
          </cell>
          <cell r="AF784">
            <v>24089034.150000002</v>
          </cell>
        </row>
        <row r="785">
          <cell r="M785" t="str">
            <v>Antonio</v>
          </cell>
          <cell r="N785" t="str">
            <v>Arteaga</v>
          </cell>
          <cell r="AF785">
            <v>16650706.650119999</v>
          </cell>
        </row>
        <row r="786">
          <cell r="M786" t="str">
            <v>Antonio</v>
          </cell>
          <cell r="N786" t="str">
            <v>Brito</v>
          </cell>
          <cell r="AF786">
            <v>16650706.650119999</v>
          </cell>
        </row>
        <row r="787">
          <cell r="M787" t="str">
            <v>Antonio</v>
          </cell>
          <cell r="N787" t="str">
            <v>Delgado</v>
          </cell>
          <cell r="AF787">
            <v>8584759.8000000007</v>
          </cell>
        </row>
        <row r="788">
          <cell r="M788" t="str">
            <v>Antonio</v>
          </cell>
          <cell r="N788" t="str">
            <v>Flores</v>
          </cell>
          <cell r="AF788">
            <v>15493296.695220001</v>
          </cell>
        </row>
        <row r="789">
          <cell r="M789" t="str">
            <v>Antonio</v>
          </cell>
          <cell r="N789" t="str">
            <v>Gomez</v>
          </cell>
          <cell r="AF789">
            <v>15493296.695220001</v>
          </cell>
        </row>
        <row r="790">
          <cell r="M790" t="str">
            <v>Antonio</v>
          </cell>
          <cell r="N790" t="str">
            <v>Lastres</v>
          </cell>
          <cell r="AF790">
            <v>21206831.158259999</v>
          </cell>
        </row>
        <row r="791">
          <cell r="M791" t="str">
            <v>Antonio</v>
          </cell>
          <cell r="N791" t="str">
            <v>Perez</v>
          </cell>
          <cell r="AF791">
            <v>14050768.675139997</v>
          </cell>
        </row>
        <row r="792">
          <cell r="M792" t="str">
            <v>Antonio</v>
          </cell>
          <cell r="N792" t="str">
            <v>Suyama</v>
          </cell>
          <cell r="AF792">
            <v>18659888.75826</v>
          </cell>
        </row>
        <row r="793">
          <cell r="M793" t="str">
            <v>Aquiles</v>
          </cell>
          <cell r="N793" t="str">
            <v>Barrios</v>
          </cell>
          <cell r="AF793">
            <v>14740509.731579999</v>
          </cell>
        </row>
        <row r="794">
          <cell r="M794" t="str">
            <v>Arcangel</v>
          </cell>
          <cell r="N794" t="str">
            <v>Rodas</v>
          </cell>
          <cell r="AF794">
            <v>61905155.564879999</v>
          </cell>
        </row>
        <row r="795">
          <cell r="M795" t="str">
            <v>Arcide</v>
          </cell>
          <cell r="N795" t="str">
            <v>Naranjo</v>
          </cell>
          <cell r="AF795">
            <v>21081945.142980002</v>
          </cell>
        </row>
        <row r="796">
          <cell r="M796" t="str">
            <v>Arelis</v>
          </cell>
          <cell r="N796" t="str">
            <v>Ramos</v>
          </cell>
          <cell r="AF796">
            <v>17878691.3913</v>
          </cell>
        </row>
        <row r="797">
          <cell r="M797" t="str">
            <v>Argenis</v>
          </cell>
          <cell r="N797" t="str">
            <v>Belis</v>
          </cell>
          <cell r="AF797">
            <v>17012507.439239997</v>
          </cell>
        </row>
        <row r="798">
          <cell r="M798" t="str">
            <v>Argenis</v>
          </cell>
          <cell r="N798" t="str">
            <v>Diaz</v>
          </cell>
          <cell r="AF798">
            <v>13457948.94036</v>
          </cell>
        </row>
        <row r="799">
          <cell r="M799" t="str">
            <v>Aristalco</v>
          </cell>
          <cell r="N799" t="str">
            <v>D Rosa</v>
          </cell>
          <cell r="AF799">
            <v>16650706.650119999</v>
          </cell>
        </row>
        <row r="800">
          <cell r="M800" t="str">
            <v>Armando</v>
          </cell>
          <cell r="N800" t="str">
            <v>Briceño</v>
          </cell>
          <cell r="AF800">
            <v>10697346</v>
          </cell>
        </row>
        <row r="801">
          <cell r="M801" t="str">
            <v>Armando</v>
          </cell>
          <cell r="N801" t="str">
            <v>Freitez</v>
          </cell>
          <cell r="AF801">
            <v>16650706.650119999</v>
          </cell>
        </row>
        <row r="802">
          <cell r="M802" t="str">
            <v>Armando</v>
          </cell>
          <cell r="N802" t="str">
            <v>Lanza</v>
          </cell>
          <cell r="AF802">
            <v>13457948.94036</v>
          </cell>
        </row>
        <row r="803">
          <cell r="M803" t="str">
            <v>Armando</v>
          </cell>
          <cell r="N803" t="str">
            <v>Perez</v>
          </cell>
          <cell r="AF803">
            <v>29272148.758260004</v>
          </cell>
        </row>
        <row r="804">
          <cell r="M804" t="str">
            <v>Arnaldo</v>
          </cell>
          <cell r="N804" t="str">
            <v>Calvisi</v>
          </cell>
          <cell r="AF804">
            <v>15493296.695220001</v>
          </cell>
        </row>
        <row r="805">
          <cell r="M805" t="str">
            <v>Arquimedes</v>
          </cell>
          <cell r="N805" t="str">
            <v>Martinez</v>
          </cell>
          <cell r="AF805">
            <v>17312538.188339997</v>
          </cell>
        </row>
        <row r="806">
          <cell r="M806" t="str">
            <v>Arturo</v>
          </cell>
          <cell r="N806" t="str">
            <v>Villavicencio</v>
          </cell>
          <cell r="AF806">
            <v>16650706.650119999</v>
          </cell>
        </row>
        <row r="807">
          <cell r="M807" t="str">
            <v>Asdrubal</v>
          </cell>
          <cell r="N807" t="str">
            <v>Benavides</v>
          </cell>
          <cell r="AF807">
            <v>14740509.731579999</v>
          </cell>
        </row>
        <row r="808">
          <cell r="M808" t="str">
            <v>Benigna</v>
          </cell>
          <cell r="N808" t="str">
            <v>Mier y Teran</v>
          </cell>
          <cell r="AF808">
            <v>21671958.903299998</v>
          </cell>
        </row>
        <row r="809">
          <cell r="M809" t="str">
            <v>Benjamin</v>
          </cell>
          <cell r="N809" t="str">
            <v>Santafe</v>
          </cell>
          <cell r="AF809">
            <v>16650706.650119999</v>
          </cell>
        </row>
        <row r="810">
          <cell r="M810" t="str">
            <v>Bernardo</v>
          </cell>
          <cell r="N810" t="str">
            <v>Azuaje</v>
          </cell>
          <cell r="AF810">
            <v>14740509.731579999</v>
          </cell>
        </row>
        <row r="811">
          <cell r="M811" t="str">
            <v>Bernardo</v>
          </cell>
          <cell r="N811" t="str">
            <v>Soscun</v>
          </cell>
          <cell r="AF811">
            <v>33197805.221219998</v>
          </cell>
        </row>
        <row r="812">
          <cell r="M812" t="str">
            <v>Bernardo</v>
          </cell>
          <cell r="N812" t="str">
            <v>Torrealba</v>
          </cell>
          <cell r="AF812">
            <v>63842842.663779989</v>
          </cell>
        </row>
        <row r="813">
          <cell r="M813" t="str">
            <v>Bethsabe</v>
          </cell>
          <cell r="N813" t="str">
            <v>Mora</v>
          </cell>
          <cell r="AF813">
            <v>33005544.963479999</v>
          </cell>
        </row>
        <row r="814">
          <cell r="M814" t="str">
            <v>Bolívar</v>
          </cell>
          <cell r="N814" t="str">
            <v>Paredes</v>
          </cell>
          <cell r="AF814">
            <v>38455479</v>
          </cell>
        </row>
        <row r="815">
          <cell r="M815" t="str">
            <v>Braixon</v>
          </cell>
          <cell r="N815" t="str">
            <v>Quevedo</v>
          </cell>
          <cell r="AF815">
            <v>13457948.94036</v>
          </cell>
        </row>
        <row r="816">
          <cell r="M816" t="str">
            <v>Bruno</v>
          </cell>
          <cell r="N816" t="str">
            <v>Landaeta</v>
          </cell>
          <cell r="AF816">
            <v>15493296.695220001</v>
          </cell>
        </row>
        <row r="817">
          <cell r="M817" t="str">
            <v>Buanerje</v>
          </cell>
          <cell r="N817" t="str">
            <v>Obando</v>
          </cell>
          <cell r="AF817">
            <v>16650706.650119999</v>
          </cell>
        </row>
        <row r="818">
          <cell r="M818" t="str">
            <v>Carily</v>
          </cell>
          <cell r="N818" t="str">
            <v>Piñero</v>
          </cell>
          <cell r="AF818">
            <v>14149678.25826</v>
          </cell>
        </row>
        <row r="819">
          <cell r="M819" t="str">
            <v>Carla</v>
          </cell>
          <cell r="N819" t="str">
            <v>Perez</v>
          </cell>
          <cell r="AF819">
            <v>18999088.649099998</v>
          </cell>
        </row>
        <row r="820">
          <cell r="M820" t="str">
            <v>Carlos</v>
          </cell>
          <cell r="N820" t="str">
            <v>Alvarado</v>
          </cell>
          <cell r="AF820">
            <v>14050768.675139997</v>
          </cell>
        </row>
        <row r="821">
          <cell r="M821" t="str">
            <v>Carlos</v>
          </cell>
          <cell r="N821" t="str">
            <v>Annunziata</v>
          </cell>
          <cell r="AF821">
            <v>20880000</v>
          </cell>
        </row>
        <row r="822">
          <cell r="M822" t="str">
            <v>Carlos</v>
          </cell>
          <cell r="N822" t="str">
            <v>Aponte</v>
          </cell>
          <cell r="AF822">
            <v>26462827.150740001</v>
          </cell>
        </row>
        <row r="823">
          <cell r="M823" t="str">
            <v>Carlos</v>
          </cell>
          <cell r="N823" t="str">
            <v>Arrieta</v>
          </cell>
          <cell r="AF823">
            <v>13457951.539919998</v>
          </cell>
        </row>
        <row r="824">
          <cell r="M824" t="str">
            <v>Carlos</v>
          </cell>
          <cell r="N824" t="str">
            <v>Brito</v>
          </cell>
          <cell r="AF824">
            <v>16650706.650119999</v>
          </cell>
        </row>
        <row r="825">
          <cell r="M825" t="str">
            <v>Carlos</v>
          </cell>
          <cell r="N825" t="str">
            <v>Calpavide</v>
          </cell>
          <cell r="AF825">
            <v>16650706.650119999</v>
          </cell>
        </row>
        <row r="826">
          <cell r="M826" t="str">
            <v>Carlos</v>
          </cell>
          <cell r="N826" t="str">
            <v>Carrizales</v>
          </cell>
          <cell r="AF826">
            <v>15493296.695220001</v>
          </cell>
        </row>
        <row r="827">
          <cell r="M827" t="str">
            <v>Carlos</v>
          </cell>
          <cell r="N827" t="str">
            <v>Cordoves</v>
          </cell>
          <cell r="AF827">
            <v>17399999.998259999</v>
          </cell>
        </row>
        <row r="828">
          <cell r="M828" t="str">
            <v>Carlos</v>
          </cell>
          <cell r="N828" t="str">
            <v>Delgado</v>
          </cell>
          <cell r="AF828">
            <v>15493296.695220001</v>
          </cell>
        </row>
        <row r="829">
          <cell r="M829" t="str">
            <v>Carlos</v>
          </cell>
          <cell r="N829" t="str">
            <v>Flores</v>
          </cell>
          <cell r="AF829">
            <v>11446160.219999997</v>
          </cell>
        </row>
        <row r="830">
          <cell r="M830" t="str">
            <v>Carlos</v>
          </cell>
          <cell r="N830" t="str">
            <v>Gallardo</v>
          </cell>
          <cell r="AF830">
            <v>24203398.25826</v>
          </cell>
        </row>
        <row r="831">
          <cell r="M831" t="str">
            <v>Carlos</v>
          </cell>
          <cell r="N831" t="str">
            <v>Gonzalez</v>
          </cell>
          <cell r="AF831">
            <v>16650706.650119999</v>
          </cell>
        </row>
        <row r="832">
          <cell r="M832" t="str">
            <v>Carlos</v>
          </cell>
          <cell r="N832" t="str">
            <v>Lovera</v>
          </cell>
          <cell r="AF832">
            <v>21189287.609999996</v>
          </cell>
        </row>
        <row r="833">
          <cell r="M833" t="str">
            <v>Carlos</v>
          </cell>
          <cell r="N833" t="str">
            <v>Marquez</v>
          </cell>
          <cell r="AF833">
            <v>13457948.94036</v>
          </cell>
        </row>
        <row r="834">
          <cell r="M834" t="str">
            <v>Carlos</v>
          </cell>
          <cell r="N834" t="str">
            <v>Martinez</v>
          </cell>
          <cell r="AF834">
            <v>15493296.695220001</v>
          </cell>
        </row>
        <row r="835">
          <cell r="M835" t="str">
            <v>Carlos</v>
          </cell>
          <cell r="N835" t="str">
            <v>Martinez</v>
          </cell>
          <cell r="AF835">
            <v>16650706.650119999</v>
          </cell>
        </row>
        <row r="836">
          <cell r="M836" t="str">
            <v>Carlos</v>
          </cell>
          <cell r="N836" t="str">
            <v>Martinez</v>
          </cell>
          <cell r="AF836">
            <v>14050768.675139997</v>
          </cell>
        </row>
        <row r="837">
          <cell r="M837" t="str">
            <v>Carlos</v>
          </cell>
          <cell r="N837" t="str">
            <v>Matos</v>
          </cell>
          <cell r="AF837">
            <v>14740509.731579999</v>
          </cell>
        </row>
        <row r="838">
          <cell r="M838" t="str">
            <v>Carlos</v>
          </cell>
          <cell r="N838" t="str">
            <v>Mota</v>
          </cell>
          <cell r="AF838">
            <v>25698391.558739997</v>
          </cell>
        </row>
        <row r="839">
          <cell r="M839" t="str">
            <v>Carlos</v>
          </cell>
          <cell r="N839" t="str">
            <v>Ojeda</v>
          </cell>
          <cell r="AF839">
            <v>14740509.731579999</v>
          </cell>
        </row>
        <row r="840">
          <cell r="M840" t="str">
            <v>Carlos</v>
          </cell>
          <cell r="N840" t="str">
            <v>Pachano</v>
          </cell>
          <cell r="AF840">
            <v>14740509.731579999</v>
          </cell>
        </row>
        <row r="841">
          <cell r="M841" t="str">
            <v>Carlos</v>
          </cell>
          <cell r="N841" t="str">
            <v>Padrino</v>
          </cell>
          <cell r="AF841">
            <v>16650706.650119999</v>
          </cell>
        </row>
        <row r="842">
          <cell r="M842" t="str">
            <v>Carlos</v>
          </cell>
          <cell r="N842" t="str">
            <v>Perez</v>
          </cell>
          <cell r="AF842">
            <v>13457948.94036</v>
          </cell>
        </row>
        <row r="843">
          <cell r="M843" t="str">
            <v>Carlos</v>
          </cell>
          <cell r="N843" t="str">
            <v>Reveron</v>
          </cell>
          <cell r="AF843">
            <v>8584759.8000000007</v>
          </cell>
        </row>
        <row r="844">
          <cell r="M844" t="str">
            <v>Carlos</v>
          </cell>
          <cell r="N844" t="str">
            <v>Romero</v>
          </cell>
          <cell r="AF844">
            <v>16650706.650119999</v>
          </cell>
        </row>
        <row r="845">
          <cell r="M845" t="str">
            <v>Carlos</v>
          </cell>
          <cell r="N845" t="str">
            <v>Sarmiento</v>
          </cell>
          <cell r="AF845">
            <v>17534193.148259997</v>
          </cell>
        </row>
        <row r="846">
          <cell r="M846" t="str">
            <v>Carlos</v>
          </cell>
          <cell r="N846" t="str">
            <v>Seijas</v>
          </cell>
          <cell r="AF846">
            <v>32738073.364080001</v>
          </cell>
        </row>
        <row r="847">
          <cell r="M847" t="str">
            <v>Carlos</v>
          </cell>
          <cell r="N847" t="str">
            <v>Solorzano</v>
          </cell>
          <cell r="AF847">
            <v>14740509.731579999</v>
          </cell>
        </row>
        <row r="848">
          <cell r="M848" t="str">
            <v>Carlos</v>
          </cell>
          <cell r="N848" t="str">
            <v>Torrealba</v>
          </cell>
          <cell r="AF848">
            <v>16650706.650119999</v>
          </cell>
        </row>
        <row r="849">
          <cell r="M849" t="str">
            <v>Carlos</v>
          </cell>
          <cell r="N849" t="str">
            <v>Urbina</v>
          </cell>
          <cell r="AF849">
            <v>16885443.373739999</v>
          </cell>
        </row>
        <row r="850">
          <cell r="M850" t="str">
            <v>Carlos</v>
          </cell>
          <cell r="N850" t="str">
            <v>Valentiner</v>
          </cell>
          <cell r="AF850">
            <v>15493296.695220001</v>
          </cell>
        </row>
        <row r="851">
          <cell r="M851" t="str">
            <v>Carlos</v>
          </cell>
          <cell r="N851" t="str">
            <v>Zambrano</v>
          </cell>
          <cell r="AF851">
            <v>16650706.650119999</v>
          </cell>
        </row>
        <row r="852">
          <cell r="M852" t="str">
            <v>Carmen</v>
          </cell>
          <cell r="N852" t="str">
            <v>Gonzalez</v>
          </cell>
          <cell r="AF852">
            <v>34743026.196899995</v>
          </cell>
        </row>
        <row r="853">
          <cell r="M853" t="str">
            <v>Carmen</v>
          </cell>
          <cell r="N853" t="str">
            <v>Mejias</v>
          </cell>
          <cell r="AF853">
            <v>21811599.995039996</v>
          </cell>
        </row>
        <row r="854">
          <cell r="M854" t="str">
            <v>Carmilef</v>
          </cell>
          <cell r="N854" t="str">
            <v>Guirola</v>
          </cell>
          <cell r="AF854">
            <v>26818048.542239998</v>
          </cell>
        </row>
        <row r="855">
          <cell r="M855" t="str">
            <v>Carolina</v>
          </cell>
          <cell r="N855" t="str">
            <v>Delgado</v>
          </cell>
          <cell r="AF855">
            <v>111896069.42185998</v>
          </cell>
        </row>
        <row r="856">
          <cell r="M856" t="str">
            <v>Celis</v>
          </cell>
          <cell r="N856" t="str">
            <v>Edgar</v>
          </cell>
          <cell r="AF856">
            <v>20643953.275619995</v>
          </cell>
        </row>
        <row r="857">
          <cell r="M857" t="str">
            <v>Cesar</v>
          </cell>
          <cell r="N857" t="str">
            <v>Araujo</v>
          </cell>
          <cell r="AF857">
            <v>62732247.839999996</v>
          </cell>
        </row>
        <row r="858">
          <cell r="M858" t="str">
            <v>Cesar</v>
          </cell>
          <cell r="N858" t="str">
            <v>Linares</v>
          </cell>
          <cell r="AF858">
            <v>13457948.94036</v>
          </cell>
        </row>
        <row r="859">
          <cell r="M859" t="str">
            <v>Cesar</v>
          </cell>
          <cell r="N859" t="str">
            <v>Lopez</v>
          </cell>
          <cell r="AF859">
            <v>14050768.675139997</v>
          </cell>
        </row>
        <row r="860">
          <cell r="M860" t="str">
            <v>Cesar</v>
          </cell>
          <cell r="N860" t="str">
            <v>Moyetones</v>
          </cell>
          <cell r="AF860">
            <v>24848551.066499997</v>
          </cell>
        </row>
        <row r="861">
          <cell r="M861" t="str">
            <v>Cesar</v>
          </cell>
          <cell r="N861" t="str">
            <v>Portales</v>
          </cell>
          <cell r="AF861">
            <v>14740509.731579999</v>
          </cell>
        </row>
        <row r="862">
          <cell r="M862" t="str">
            <v>Cesar</v>
          </cell>
          <cell r="N862" t="str">
            <v>Quintero</v>
          </cell>
          <cell r="AF862">
            <v>79553628.851520002</v>
          </cell>
        </row>
        <row r="863">
          <cell r="M863" t="str">
            <v>Claudio</v>
          </cell>
          <cell r="N863" t="str">
            <v>Gonzalez</v>
          </cell>
          <cell r="AF863">
            <v>18748327.741739996</v>
          </cell>
        </row>
        <row r="864">
          <cell r="M864" t="str">
            <v>Cleiderman</v>
          </cell>
          <cell r="N864" t="str">
            <v>Perez</v>
          </cell>
          <cell r="AF864">
            <v>13457948.219999997</v>
          </cell>
        </row>
        <row r="865">
          <cell r="M865" t="str">
            <v>Cristian</v>
          </cell>
          <cell r="N865" t="str">
            <v>Ascanio</v>
          </cell>
          <cell r="AF865">
            <v>14050768.675139997</v>
          </cell>
        </row>
        <row r="866">
          <cell r="M866" t="str">
            <v>Cristobal</v>
          </cell>
          <cell r="N866" t="str">
            <v>Barrios</v>
          </cell>
          <cell r="AF866">
            <v>14740509.731579999</v>
          </cell>
        </row>
        <row r="867">
          <cell r="M867" t="str">
            <v>Cruz</v>
          </cell>
          <cell r="N867" t="str">
            <v>Bermudez</v>
          </cell>
          <cell r="AF867">
            <v>27890771.341679998</v>
          </cell>
        </row>
        <row r="868">
          <cell r="M868" t="str">
            <v>Cruz</v>
          </cell>
          <cell r="N868" t="str">
            <v>Garcia</v>
          </cell>
          <cell r="AF868">
            <v>16650706.650119999</v>
          </cell>
        </row>
        <row r="869">
          <cell r="M869" t="str">
            <v>Dairy</v>
          </cell>
          <cell r="N869" t="str">
            <v>Rivas</v>
          </cell>
          <cell r="AF869">
            <v>13457951.539919998</v>
          </cell>
        </row>
        <row r="870">
          <cell r="M870" t="str">
            <v>Damaris</v>
          </cell>
          <cell r="N870" t="str">
            <v>Hernandez</v>
          </cell>
          <cell r="AF870">
            <v>24690894.512399998</v>
          </cell>
        </row>
        <row r="871">
          <cell r="M871" t="str">
            <v>Damary</v>
          </cell>
          <cell r="N871" t="str">
            <v>Sanchez</v>
          </cell>
          <cell r="AF871">
            <v>13032598.25826</v>
          </cell>
        </row>
        <row r="872">
          <cell r="M872" t="str">
            <v>Damian</v>
          </cell>
          <cell r="N872" t="str">
            <v>Hernandez</v>
          </cell>
          <cell r="AF872">
            <v>14740509.731579999</v>
          </cell>
        </row>
        <row r="873">
          <cell r="M873" t="str">
            <v>Daniel</v>
          </cell>
          <cell r="N873" t="str">
            <v>Carapaica</v>
          </cell>
          <cell r="AF873">
            <v>16650706.650119999</v>
          </cell>
        </row>
        <row r="874">
          <cell r="M874" t="str">
            <v>Daniel</v>
          </cell>
          <cell r="N874" t="str">
            <v>Irumbe</v>
          </cell>
          <cell r="AF874">
            <v>15493296.695220001</v>
          </cell>
        </row>
        <row r="875">
          <cell r="M875" t="str">
            <v>Daniel</v>
          </cell>
          <cell r="N875" t="str">
            <v>Mendoza</v>
          </cell>
          <cell r="AF875">
            <v>16650706.650119999</v>
          </cell>
        </row>
        <row r="876">
          <cell r="M876" t="str">
            <v>Daniel</v>
          </cell>
          <cell r="N876" t="str">
            <v>Parra</v>
          </cell>
          <cell r="AF876">
            <v>40494531.634199999</v>
          </cell>
        </row>
        <row r="877">
          <cell r="M877" t="str">
            <v>Daniel</v>
          </cell>
          <cell r="N877" t="str">
            <v>Reidtler</v>
          </cell>
          <cell r="AF877">
            <v>63408618.55026</v>
          </cell>
        </row>
        <row r="878">
          <cell r="M878" t="str">
            <v>Daniel</v>
          </cell>
          <cell r="N878" t="str">
            <v>Requena</v>
          </cell>
          <cell r="AF878">
            <v>16650706.650119999</v>
          </cell>
        </row>
        <row r="879">
          <cell r="M879" t="str">
            <v>Daniel</v>
          </cell>
          <cell r="N879" t="str">
            <v>Scott</v>
          </cell>
          <cell r="AF879">
            <v>14740509.731579999</v>
          </cell>
        </row>
        <row r="880">
          <cell r="M880" t="str">
            <v>Danny</v>
          </cell>
          <cell r="N880" t="str">
            <v>Gongora</v>
          </cell>
          <cell r="AF880">
            <v>14615999.999999998</v>
          </cell>
        </row>
        <row r="881">
          <cell r="M881" t="str">
            <v>Danyer</v>
          </cell>
          <cell r="N881" t="str">
            <v>Sanabria</v>
          </cell>
          <cell r="AF881">
            <v>14740509.731579999</v>
          </cell>
        </row>
        <row r="882">
          <cell r="M882" t="str">
            <v>Darwin</v>
          </cell>
          <cell r="N882" t="str">
            <v>Herrera</v>
          </cell>
          <cell r="AF882">
            <v>14740509.731579999</v>
          </cell>
        </row>
        <row r="883">
          <cell r="M883" t="str">
            <v>Darwin</v>
          </cell>
          <cell r="N883" t="str">
            <v>Salas</v>
          </cell>
          <cell r="AF883">
            <v>16650706.650119999</v>
          </cell>
        </row>
        <row r="884">
          <cell r="M884" t="str">
            <v>David</v>
          </cell>
          <cell r="N884" t="str">
            <v>Flores</v>
          </cell>
          <cell r="AF884">
            <v>16650706.650119999</v>
          </cell>
        </row>
        <row r="885">
          <cell r="M885" t="str">
            <v>David</v>
          </cell>
          <cell r="N885" t="str">
            <v>Rivas</v>
          </cell>
          <cell r="AF885">
            <v>21206831.158259999</v>
          </cell>
        </row>
        <row r="886">
          <cell r="M886" t="str">
            <v>Deivis</v>
          </cell>
          <cell r="N886" t="str">
            <v>Moran</v>
          </cell>
          <cell r="AF886">
            <v>14740509.731579999</v>
          </cell>
        </row>
        <row r="887">
          <cell r="M887" t="str">
            <v>Deivis</v>
          </cell>
          <cell r="N887" t="str">
            <v>Quevedo</v>
          </cell>
          <cell r="AF887">
            <v>15493296.695220001</v>
          </cell>
        </row>
        <row r="888">
          <cell r="M888" t="str">
            <v>Deivys</v>
          </cell>
          <cell r="N888" t="str">
            <v>Meza</v>
          </cell>
          <cell r="AF888">
            <v>15493296.695220001</v>
          </cell>
        </row>
        <row r="889">
          <cell r="M889" t="str">
            <v>Denis</v>
          </cell>
          <cell r="N889" t="str">
            <v>Aguilar</v>
          </cell>
          <cell r="AF889">
            <v>14050768.675139997</v>
          </cell>
        </row>
        <row r="890">
          <cell r="M890" t="str">
            <v>Dennys</v>
          </cell>
          <cell r="N890" t="str">
            <v>Galviz</v>
          </cell>
          <cell r="AF890">
            <v>18836761.5</v>
          </cell>
        </row>
        <row r="891">
          <cell r="M891" t="str">
            <v>Dewis</v>
          </cell>
          <cell r="N891" t="str">
            <v>Madriz</v>
          </cell>
          <cell r="AF891">
            <v>16650706.650119999</v>
          </cell>
        </row>
        <row r="892">
          <cell r="M892" t="str">
            <v>Deyvids</v>
          </cell>
          <cell r="N892" t="str">
            <v>Martinez</v>
          </cell>
          <cell r="AF892">
            <v>15493295.066579999</v>
          </cell>
        </row>
        <row r="893">
          <cell r="M893" t="str">
            <v>Diana</v>
          </cell>
          <cell r="N893" t="str">
            <v>Villalaz</v>
          </cell>
          <cell r="AF893">
            <v>48856892.759999998</v>
          </cell>
        </row>
        <row r="894">
          <cell r="M894" t="str">
            <v>Diego</v>
          </cell>
          <cell r="N894" t="str">
            <v>Perez</v>
          </cell>
          <cell r="AF894">
            <v>18411387.181739997</v>
          </cell>
        </row>
        <row r="895">
          <cell r="M895" t="str">
            <v>Dione</v>
          </cell>
          <cell r="N895" t="str">
            <v>Castellanos</v>
          </cell>
          <cell r="AF895">
            <v>14740509.731579999</v>
          </cell>
        </row>
        <row r="896">
          <cell r="M896" t="str">
            <v>Dionicio</v>
          </cell>
          <cell r="N896" t="str">
            <v>Buitrago</v>
          </cell>
          <cell r="AF896">
            <v>67651200</v>
          </cell>
        </row>
        <row r="897">
          <cell r="M897" t="str">
            <v>Domingo</v>
          </cell>
          <cell r="N897" t="str">
            <v>Carmeza</v>
          </cell>
          <cell r="AF897">
            <v>14740509.731579999</v>
          </cell>
        </row>
        <row r="898">
          <cell r="M898" t="str">
            <v>Domingo</v>
          </cell>
          <cell r="N898" t="str">
            <v>Molina</v>
          </cell>
          <cell r="AF898">
            <v>14050768.675139997</v>
          </cell>
        </row>
        <row r="899">
          <cell r="M899" t="str">
            <v>Doris</v>
          </cell>
          <cell r="N899" t="str">
            <v>Garcia</v>
          </cell>
          <cell r="AF899">
            <v>43103454.868259996</v>
          </cell>
        </row>
        <row r="900">
          <cell r="M900" t="str">
            <v>Douglas</v>
          </cell>
          <cell r="N900" t="str">
            <v>Brito</v>
          </cell>
          <cell r="AF900">
            <v>16756199.999999998</v>
          </cell>
        </row>
        <row r="901">
          <cell r="M901" t="str">
            <v>Douglas</v>
          </cell>
          <cell r="N901" t="str">
            <v>Contreras</v>
          </cell>
          <cell r="AF901">
            <v>17687101.741739996</v>
          </cell>
        </row>
        <row r="902">
          <cell r="M902" t="str">
            <v>Douglas</v>
          </cell>
          <cell r="N902" t="str">
            <v>Garcia</v>
          </cell>
          <cell r="AF902">
            <v>24915144.563999996</v>
          </cell>
        </row>
        <row r="903">
          <cell r="M903" t="str">
            <v>Douglas</v>
          </cell>
          <cell r="N903" t="str">
            <v>Mier</v>
          </cell>
          <cell r="AF903">
            <v>15493296.695220001</v>
          </cell>
        </row>
        <row r="904">
          <cell r="M904" t="str">
            <v>Douglas</v>
          </cell>
          <cell r="N904" t="str">
            <v>Ramirez</v>
          </cell>
          <cell r="AF904">
            <v>13457948.94036</v>
          </cell>
        </row>
        <row r="905">
          <cell r="M905" t="str">
            <v>Douglas</v>
          </cell>
          <cell r="N905" t="str">
            <v>Rangel</v>
          </cell>
          <cell r="AF905">
            <v>8584759.8000000007</v>
          </cell>
        </row>
        <row r="906">
          <cell r="M906" t="str">
            <v>Douglas</v>
          </cell>
          <cell r="N906" t="str">
            <v>Salazar</v>
          </cell>
          <cell r="AF906">
            <v>14050768.675139997</v>
          </cell>
        </row>
        <row r="907">
          <cell r="M907" t="str">
            <v>Duhamel</v>
          </cell>
          <cell r="N907" t="str">
            <v>Astudillo</v>
          </cell>
          <cell r="AF907">
            <v>15299343.24174</v>
          </cell>
        </row>
        <row r="908">
          <cell r="M908" t="str">
            <v>Duvosky</v>
          </cell>
          <cell r="N908" t="str">
            <v>Quevedo</v>
          </cell>
          <cell r="AF908">
            <v>15493296.695220001</v>
          </cell>
        </row>
        <row r="909">
          <cell r="M909" t="str">
            <v>Eddy</v>
          </cell>
          <cell r="N909" t="str">
            <v>Liendo</v>
          </cell>
          <cell r="AF909">
            <v>13457951.539919998</v>
          </cell>
        </row>
        <row r="910">
          <cell r="M910" t="str">
            <v>Eder</v>
          </cell>
          <cell r="N910" t="str">
            <v>Martinez</v>
          </cell>
          <cell r="AF910">
            <v>19865210.337000001</v>
          </cell>
        </row>
        <row r="911">
          <cell r="M911" t="str">
            <v>Edgar</v>
          </cell>
          <cell r="N911" t="str">
            <v>Agraz</v>
          </cell>
          <cell r="AF911">
            <v>16650706.650119999</v>
          </cell>
        </row>
        <row r="912">
          <cell r="M912" t="str">
            <v>Edgar</v>
          </cell>
          <cell r="N912" t="str">
            <v>Altuve</v>
          </cell>
          <cell r="AF912">
            <v>14050768.675139997</v>
          </cell>
        </row>
        <row r="913">
          <cell r="M913" t="str">
            <v>Edgar</v>
          </cell>
          <cell r="N913" t="str">
            <v>Azuaje</v>
          </cell>
          <cell r="AF913">
            <v>14740509.731579999</v>
          </cell>
        </row>
        <row r="914">
          <cell r="M914" t="str">
            <v>Edgar</v>
          </cell>
          <cell r="N914" t="str">
            <v>Hernandez</v>
          </cell>
          <cell r="AF914">
            <v>16650706.650119999</v>
          </cell>
        </row>
        <row r="915">
          <cell r="M915" t="str">
            <v>Edgar</v>
          </cell>
          <cell r="N915" t="str">
            <v>Lopez</v>
          </cell>
          <cell r="AF915">
            <v>19997314.578719996</v>
          </cell>
        </row>
        <row r="916">
          <cell r="M916" t="str">
            <v>Edgar</v>
          </cell>
          <cell r="N916" t="str">
            <v>Sanchez</v>
          </cell>
          <cell r="AF916">
            <v>13455717.379919998</v>
          </cell>
        </row>
        <row r="917">
          <cell r="M917" t="str">
            <v>Edgar</v>
          </cell>
          <cell r="N917" t="str">
            <v>Segovia</v>
          </cell>
          <cell r="AF917">
            <v>13457948.219999997</v>
          </cell>
        </row>
        <row r="918">
          <cell r="M918" t="str">
            <v>Edgardo</v>
          </cell>
          <cell r="N918" t="str">
            <v>Roa</v>
          </cell>
          <cell r="AF918">
            <v>42821401.741739996</v>
          </cell>
        </row>
        <row r="919">
          <cell r="M919" t="str">
            <v>Ednell</v>
          </cell>
          <cell r="N919" t="str">
            <v>Aguilera</v>
          </cell>
          <cell r="AF919">
            <v>14740507.3356</v>
          </cell>
        </row>
        <row r="920">
          <cell r="M920" t="str">
            <v>Eduar</v>
          </cell>
          <cell r="N920" t="str">
            <v>Brito</v>
          </cell>
          <cell r="AF920">
            <v>14740509.731579999</v>
          </cell>
        </row>
        <row r="921">
          <cell r="M921" t="str">
            <v>Eduar</v>
          </cell>
          <cell r="N921" t="str">
            <v>Gonzalez</v>
          </cell>
          <cell r="AF921">
            <v>17534193.153479997</v>
          </cell>
        </row>
        <row r="922">
          <cell r="M922" t="str">
            <v>Eduardo</v>
          </cell>
          <cell r="N922" t="str">
            <v>Brizuela</v>
          </cell>
          <cell r="AF922">
            <v>90094481.80625999</v>
          </cell>
        </row>
        <row r="923">
          <cell r="M923" t="str">
            <v>Eduardo</v>
          </cell>
          <cell r="N923" t="str">
            <v>Carrillo</v>
          </cell>
          <cell r="AF923">
            <v>39730441.381739996</v>
          </cell>
        </row>
        <row r="924">
          <cell r="M924" t="str">
            <v>Eduardo</v>
          </cell>
          <cell r="N924" t="str">
            <v>Flores</v>
          </cell>
          <cell r="AF924">
            <v>13457948.94036</v>
          </cell>
        </row>
        <row r="925">
          <cell r="M925" t="str">
            <v>Eduardo</v>
          </cell>
          <cell r="N925" t="str">
            <v>Marquez</v>
          </cell>
          <cell r="AF925">
            <v>14740509.731579999</v>
          </cell>
        </row>
        <row r="926">
          <cell r="M926" t="str">
            <v>Eduardo</v>
          </cell>
          <cell r="N926" t="str">
            <v>Rojas</v>
          </cell>
          <cell r="AF926">
            <v>22709084.518259998</v>
          </cell>
        </row>
        <row r="927">
          <cell r="M927" t="str">
            <v>Eduardo Alexis</v>
          </cell>
          <cell r="N927" t="str">
            <v>Romero</v>
          </cell>
          <cell r="AF927">
            <v>19009500.001740001</v>
          </cell>
        </row>
        <row r="928">
          <cell r="M928" t="str">
            <v>Eduvigis</v>
          </cell>
          <cell r="N928" t="str">
            <v>Kolanowska</v>
          </cell>
          <cell r="AF928">
            <v>35374198.258259997</v>
          </cell>
        </row>
        <row r="929">
          <cell r="M929" t="str">
            <v>Edy</v>
          </cell>
          <cell r="N929" t="str">
            <v>Mendoza</v>
          </cell>
          <cell r="AF929">
            <v>15493295.066579999</v>
          </cell>
        </row>
        <row r="930">
          <cell r="M930" t="str">
            <v>Efrain</v>
          </cell>
          <cell r="N930" t="str">
            <v>Alvarado</v>
          </cell>
          <cell r="AF930">
            <v>14050768.675139997</v>
          </cell>
        </row>
        <row r="931">
          <cell r="M931" t="str">
            <v>Efrain</v>
          </cell>
          <cell r="N931" t="str">
            <v>Traviezo</v>
          </cell>
          <cell r="AF931">
            <v>14740509.731579999</v>
          </cell>
        </row>
        <row r="932">
          <cell r="M932" t="str">
            <v>Eladio</v>
          </cell>
          <cell r="N932" t="str">
            <v>Correa</v>
          </cell>
          <cell r="AF932">
            <v>14740508.102940001</v>
          </cell>
        </row>
        <row r="933">
          <cell r="M933" t="str">
            <v>Elba</v>
          </cell>
          <cell r="N933" t="str">
            <v>Rangel</v>
          </cell>
          <cell r="AF933">
            <v>20599242.18516</v>
          </cell>
        </row>
        <row r="934">
          <cell r="M934" t="str">
            <v>Elbha</v>
          </cell>
          <cell r="N934" t="str">
            <v>Rios</v>
          </cell>
          <cell r="AF934">
            <v>18651221.741699997</v>
          </cell>
        </row>
        <row r="935">
          <cell r="M935" t="str">
            <v>Elbio</v>
          </cell>
          <cell r="N935" t="str">
            <v>Fernandes</v>
          </cell>
          <cell r="AF935">
            <v>31865978.158740003</v>
          </cell>
        </row>
        <row r="936">
          <cell r="M936" t="str">
            <v>Eleazar</v>
          </cell>
          <cell r="N936" t="str">
            <v>Natera</v>
          </cell>
          <cell r="AF936">
            <v>14740509.731579999</v>
          </cell>
        </row>
        <row r="937">
          <cell r="M937" t="str">
            <v>Elias</v>
          </cell>
          <cell r="N937" t="str">
            <v>Buznego</v>
          </cell>
          <cell r="AF937">
            <v>14740508.102940001</v>
          </cell>
        </row>
        <row r="938">
          <cell r="M938" t="str">
            <v>Eliazer</v>
          </cell>
          <cell r="N938" t="str">
            <v>Villegas</v>
          </cell>
          <cell r="AF938">
            <v>14740509.731579999</v>
          </cell>
        </row>
        <row r="939">
          <cell r="M939" t="str">
            <v>Elio</v>
          </cell>
          <cell r="N939" t="str">
            <v>Micale</v>
          </cell>
          <cell r="AF939">
            <v>81759785.254199997</v>
          </cell>
        </row>
        <row r="940">
          <cell r="M940" t="str">
            <v>Elkyn</v>
          </cell>
          <cell r="N940" t="str">
            <v>Fortes</v>
          </cell>
          <cell r="AF940">
            <v>16196771.989259999</v>
          </cell>
        </row>
        <row r="941">
          <cell r="M941" t="str">
            <v>Emilio</v>
          </cell>
          <cell r="N941" t="str">
            <v>Cabezas</v>
          </cell>
          <cell r="AF941">
            <v>14740507.3356</v>
          </cell>
        </row>
        <row r="942">
          <cell r="M942" t="str">
            <v>Emilio</v>
          </cell>
          <cell r="N942" t="str">
            <v>Carrasquel</v>
          </cell>
          <cell r="AF942">
            <v>18325459.890000001</v>
          </cell>
        </row>
        <row r="943">
          <cell r="M943" t="str">
            <v>Emilio</v>
          </cell>
          <cell r="N943" t="str">
            <v>Carrasquel</v>
          </cell>
          <cell r="AF943">
            <v>13457951.539919998</v>
          </cell>
        </row>
        <row r="944">
          <cell r="M944" t="str">
            <v>Emilio</v>
          </cell>
          <cell r="N944" t="str">
            <v>Gonzalez</v>
          </cell>
          <cell r="AF944">
            <v>15493296.695220001</v>
          </cell>
        </row>
        <row r="945">
          <cell r="M945" t="str">
            <v>Engelbert</v>
          </cell>
          <cell r="N945" t="str">
            <v>Mattey</v>
          </cell>
          <cell r="AF945">
            <v>16650706.650119999</v>
          </cell>
        </row>
        <row r="946">
          <cell r="M946" t="str">
            <v>Enmanuel</v>
          </cell>
          <cell r="N946" t="str">
            <v>Arroyo</v>
          </cell>
          <cell r="AF946">
            <v>16650706.650119999</v>
          </cell>
        </row>
        <row r="947">
          <cell r="M947" t="str">
            <v>Erika</v>
          </cell>
          <cell r="N947" t="str">
            <v>Useche</v>
          </cell>
          <cell r="AF947">
            <v>36419546.093579993</v>
          </cell>
        </row>
        <row r="948">
          <cell r="M948" t="str">
            <v>Erwin</v>
          </cell>
          <cell r="N948" t="str">
            <v>Rojas</v>
          </cell>
          <cell r="AF948">
            <v>14740509.731579999</v>
          </cell>
        </row>
        <row r="949">
          <cell r="M949" t="str">
            <v>Esteban</v>
          </cell>
          <cell r="N949" t="str">
            <v>Aponte</v>
          </cell>
          <cell r="AF949">
            <v>40539002.15574</v>
          </cell>
        </row>
        <row r="950">
          <cell r="M950" t="str">
            <v>Esteban</v>
          </cell>
          <cell r="N950" t="str">
            <v>Cabrera</v>
          </cell>
          <cell r="AF950">
            <v>43158312.104039997</v>
          </cell>
        </row>
        <row r="951">
          <cell r="M951" t="str">
            <v>Eugenio</v>
          </cell>
          <cell r="N951" t="str">
            <v>Urueta</v>
          </cell>
          <cell r="AF951">
            <v>16650706.650119999</v>
          </cell>
        </row>
        <row r="952">
          <cell r="M952" t="str">
            <v>Eusebio</v>
          </cell>
          <cell r="N952" t="str">
            <v>Sanchez</v>
          </cell>
          <cell r="AF952">
            <v>16650706.650119999</v>
          </cell>
        </row>
        <row r="953">
          <cell r="M953" t="str">
            <v>Everth</v>
          </cell>
          <cell r="N953" t="str">
            <v>Matos</v>
          </cell>
          <cell r="AF953">
            <v>30901459.4604</v>
          </cell>
        </row>
        <row r="954">
          <cell r="M954" t="str">
            <v>Eylyn</v>
          </cell>
          <cell r="N954" t="str">
            <v>Camacaro</v>
          </cell>
          <cell r="AF954">
            <v>20479801.741739996</v>
          </cell>
        </row>
        <row r="955">
          <cell r="M955" t="str">
            <v>Federico</v>
          </cell>
          <cell r="N955" t="str">
            <v>Tovar</v>
          </cell>
          <cell r="AF955">
            <v>21167322.72174</v>
          </cell>
        </row>
        <row r="956">
          <cell r="M956" t="str">
            <v>Felix</v>
          </cell>
          <cell r="N956" t="str">
            <v>Meneses</v>
          </cell>
          <cell r="AF956">
            <v>41492805.650459997</v>
          </cell>
        </row>
        <row r="957">
          <cell r="M957" t="str">
            <v>Felix</v>
          </cell>
          <cell r="N957" t="str">
            <v>Padrino</v>
          </cell>
          <cell r="AF957">
            <v>14740509.731579999</v>
          </cell>
        </row>
        <row r="958">
          <cell r="M958" t="str">
            <v>Felix</v>
          </cell>
          <cell r="N958" t="str">
            <v>Rodriguez</v>
          </cell>
          <cell r="AF958">
            <v>14050768.675139997</v>
          </cell>
        </row>
        <row r="959">
          <cell r="M959" t="str">
            <v>Fernando</v>
          </cell>
          <cell r="N959" t="str">
            <v>Guerrero</v>
          </cell>
          <cell r="AF959">
            <v>14050768.675139997</v>
          </cell>
        </row>
        <row r="960">
          <cell r="M960" t="str">
            <v>Fernando</v>
          </cell>
          <cell r="N960" t="str">
            <v>Salinas</v>
          </cell>
          <cell r="AF960">
            <v>16650706.650119999</v>
          </cell>
        </row>
        <row r="961">
          <cell r="M961" t="str">
            <v>Flor</v>
          </cell>
          <cell r="N961" t="str">
            <v>Misle</v>
          </cell>
          <cell r="AF961">
            <v>32777610.599339996</v>
          </cell>
        </row>
        <row r="962">
          <cell r="M962" t="str">
            <v>Florencio</v>
          </cell>
          <cell r="N962" t="str">
            <v>Linares</v>
          </cell>
          <cell r="AF962">
            <v>14740509.731579999</v>
          </cell>
        </row>
        <row r="963">
          <cell r="M963" t="str">
            <v>Florencio</v>
          </cell>
          <cell r="N963" t="str">
            <v>Tovar</v>
          </cell>
          <cell r="AF963">
            <v>16650706.650119999</v>
          </cell>
        </row>
        <row r="964">
          <cell r="M964" t="str">
            <v>Floripe</v>
          </cell>
          <cell r="N964" t="str">
            <v>Linares</v>
          </cell>
          <cell r="AF964">
            <v>15493296.695220001</v>
          </cell>
        </row>
        <row r="965">
          <cell r="M965" t="str">
            <v>Francia</v>
          </cell>
          <cell r="N965" t="str">
            <v>Tovar</v>
          </cell>
          <cell r="AF965">
            <v>23167992.518459998</v>
          </cell>
        </row>
        <row r="966">
          <cell r="M966" t="str">
            <v>Francis</v>
          </cell>
          <cell r="N966" t="str">
            <v>Lucambio</v>
          </cell>
          <cell r="AF966">
            <v>44144915.338259995</v>
          </cell>
        </row>
        <row r="967">
          <cell r="M967" t="str">
            <v>Francisco</v>
          </cell>
          <cell r="N967" t="str">
            <v>Alvarado</v>
          </cell>
          <cell r="AF967">
            <v>14740508.102940001</v>
          </cell>
        </row>
        <row r="968">
          <cell r="M968" t="str">
            <v>Francisco</v>
          </cell>
          <cell r="N968" t="str">
            <v>Atencio</v>
          </cell>
          <cell r="AF968">
            <v>22348383.447420001</v>
          </cell>
        </row>
        <row r="969">
          <cell r="M969" t="str">
            <v>Francisco</v>
          </cell>
          <cell r="N969" t="str">
            <v>Bolívar</v>
          </cell>
          <cell r="AF969">
            <v>14740509.731579999</v>
          </cell>
        </row>
        <row r="970">
          <cell r="M970" t="str">
            <v>Francisco</v>
          </cell>
          <cell r="N970" t="str">
            <v>Bravo</v>
          </cell>
          <cell r="AF970">
            <v>14740509.731579999</v>
          </cell>
        </row>
        <row r="971">
          <cell r="M971" t="str">
            <v>Francisco</v>
          </cell>
          <cell r="N971" t="str">
            <v>Cedeño</v>
          </cell>
          <cell r="AF971">
            <v>14740509.731579999</v>
          </cell>
        </row>
        <row r="972">
          <cell r="M972" t="str">
            <v>Francisco</v>
          </cell>
          <cell r="N972" t="str">
            <v>Limpio</v>
          </cell>
          <cell r="AF972">
            <v>15493296.695220001</v>
          </cell>
        </row>
        <row r="973">
          <cell r="M973" t="str">
            <v>Francisco</v>
          </cell>
          <cell r="N973" t="str">
            <v>Montesinos</v>
          </cell>
          <cell r="AF973">
            <v>13457948.94036</v>
          </cell>
        </row>
        <row r="974">
          <cell r="M974" t="str">
            <v>Francisco</v>
          </cell>
          <cell r="N974" t="str">
            <v>Puerta</v>
          </cell>
          <cell r="AF974">
            <v>16650706.650119999</v>
          </cell>
        </row>
        <row r="975">
          <cell r="M975" t="str">
            <v>Francisco</v>
          </cell>
          <cell r="N975" t="str">
            <v>Rodriguez</v>
          </cell>
          <cell r="AF975">
            <v>22619999.998260003</v>
          </cell>
        </row>
        <row r="976">
          <cell r="M976" t="str">
            <v>Franklin</v>
          </cell>
          <cell r="N976" t="str">
            <v>Aquino</v>
          </cell>
          <cell r="AF976">
            <v>16650706.650119999</v>
          </cell>
        </row>
        <row r="977">
          <cell r="M977" t="str">
            <v>Franklin</v>
          </cell>
          <cell r="N977" t="str">
            <v>Arroyo</v>
          </cell>
          <cell r="AF977">
            <v>10697346</v>
          </cell>
        </row>
        <row r="978">
          <cell r="M978" t="str">
            <v>Franklin</v>
          </cell>
          <cell r="N978" t="str">
            <v>Campero</v>
          </cell>
          <cell r="AF978">
            <v>21489826.5</v>
          </cell>
        </row>
        <row r="979">
          <cell r="M979" t="str">
            <v>Franklin</v>
          </cell>
          <cell r="N979" t="str">
            <v>Sanchez</v>
          </cell>
          <cell r="AF979">
            <v>30728742.887879997</v>
          </cell>
        </row>
        <row r="980">
          <cell r="M980" t="str">
            <v>Freddy</v>
          </cell>
          <cell r="N980" t="str">
            <v>Baldovino</v>
          </cell>
          <cell r="AF980">
            <v>24837254.939519998</v>
          </cell>
        </row>
        <row r="981">
          <cell r="M981" t="str">
            <v>Freddy</v>
          </cell>
          <cell r="N981" t="str">
            <v>Moreno</v>
          </cell>
          <cell r="AF981">
            <v>16650706.650119999</v>
          </cell>
        </row>
        <row r="982">
          <cell r="M982" t="str">
            <v>Freddy</v>
          </cell>
          <cell r="N982" t="str">
            <v>Vegas</v>
          </cell>
          <cell r="AF982">
            <v>15493296.695220001</v>
          </cell>
        </row>
        <row r="983">
          <cell r="M983" t="str">
            <v>Freddy</v>
          </cell>
          <cell r="N983" t="str">
            <v>Villanueva</v>
          </cell>
          <cell r="AF983">
            <v>14050768.675139997</v>
          </cell>
        </row>
        <row r="984">
          <cell r="M984" t="str">
            <v>Freddy</v>
          </cell>
          <cell r="N984" t="str">
            <v>Zapata</v>
          </cell>
          <cell r="AF984">
            <v>16650706.650119999</v>
          </cell>
        </row>
        <row r="985">
          <cell r="M985" t="str">
            <v>Fredery</v>
          </cell>
          <cell r="N985" t="str">
            <v>Reyes</v>
          </cell>
          <cell r="AF985">
            <v>13457951.539919998</v>
          </cell>
        </row>
        <row r="986">
          <cell r="M986" t="str">
            <v>Fredis</v>
          </cell>
          <cell r="N986" t="str">
            <v>Olivera</v>
          </cell>
          <cell r="AF986">
            <v>13457948.94036</v>
          </cell>
        </row>
        <row r="987">
          <cell r="M987" t="str">
            <v>Fredy</v>
          </cell>
          <cell r="N987" t="str">
            <v>Fernandez</v>
          </cell>
          <cell r="AF987">
            <v>13457948.94036</v>
          </cell>
        </row>
        <row r="988">
          <cell r="M988" t="str">
            <v>Gabriel</v>
          </cell>
          <cell r="N988" t="str">
            <v>Boadas</v>
          </cell>
          <cell r="AF988">
            <v>30728742.887879997</v>
          </cell>
        </row>
        <row r="989">
          <cell r="M989" t="str">
            <v>Gerardo</v>
          </cell>
          <cell r="N989" t="str">
            <v>Bautista</v>
          </cell>
          <cell r="AF989">
            <v>19597031.87652</v>
          </cell>
        </row>
        <row r="990">
          <cell r="M990" t="str">
            <v>German</v>
          </cell>
          <cell r="N990" t="str">
            <v>Gonzalez</v>
          </cell>
          <cell r="AF990">
            <v>65707292.091780007</v>
          </cell>
        </row>
        <row r="991">
          <cell r="M991" t="str">
            <v>Gilberto</v>
          </cell>
          <cell r="N991" t="str">
            <v>España</v>
          </cell>
          <cell r="AF991">
            <v>16650706.650119999</v>
          </cell>
        </row>
        <row r="992">
          <cell r="M992" t="str">
            <v>Gilberto</v>
          </cell>
          <cell r="N992" t="str">
            <v>Garrido</v>
          </cell>
          <cell r="AF992">
            <v>14740509.731579999</v>
          </cell>
        </row>
        <row r="993">
          <cell r="M993" t="str">
            <v>Glaneyda</v>
          </cell>
          <cell r="N993" t="str">
            <v>Praderes</v>
          </cell>
          <cell r="AF993">
            <v>19257450.001740001</v>
          </cell>
        </row>
        <row r="994">
          <cell r="M994" t="str">
            <v>Glexy</v>
          </cell>
          <cell r="N994" t="str">
            <v>Carrero</v>
          </cell>
          <cell r="AF994">
            <v>16625875.74174</v>
          </cell>
        </row>
        <row r="995">
          <cell r="M995" t="str">
            <v>Gonzalo</v>
          </cell>
          <cell r="N995" t="str">
            <v>Arana</v>
          </cell>
          <cell r="AF995">
            <v>14740509.731579999</v>
          </cell>
        </row>
        <row r="996">
          <cell r="M996" t="str">
            <v>Grecia</v>
          </cell>
          <cell r="N996" t="str">
            <v>Ruíz</v>
          </cell>
          <cell r="AF996">
            <v>14894401.74174</v>
          </cell>
        </row>
        <row r="997">
          <cell r="M997" t="str">
            <v>Gregorio</v>
          </cell>
          <cell r="N997" t="str">
            <v>Alonzo</v>
          </cell>
          <cell r="AF997">
            <v>24158931.29676</v>
          </cell>
        </row>
        <row r="998">
          <cell r="M998" t="str">
            <v>Gregorio</v>
          </cell>
          <cell r="N998" t="str">
            <v>Tovar</v>
          </cell>
          <cell r="AF998">
            <v>15493295.066579999</v>
          </cell>
        </row>
        <row r="999">
          <cell r="M999" t="str">
            <v>Gregory</v>
          </cell>
          <cell r="N999" t="str">
            <v>Amador</v>
          </cell>
          <cell r="AF999">
            <v>14740509.731579999</v>
          </cell>
        </row>
        <row r="1000">
          <cell r="M1000" t="str">
            <v>Gregory</v>
          </cell>
          <cell r="N1000" t="str">
            <v>Cisneros</v>
          </cell>
          <cell r="AF1000">
            <v>14740508.102940001</v>
          </cell>
        </row>
        <row r="1001">
          <cell r="M1001" t="str">
            <v>Guadalupe</v>
          </cell>
          <cell r="N1001" t="str">
            <v>Perez</v>
          </cell>
          <cell r="AF1001">
            <v>28809001.904039994</v>
          </cell>
        </row>
        <row r="1002">
          <cell r="M1002" t="str">
            <v>Guillermo</v>
          </cell>
          <cell r="N1002" t="str">
            <v>Palma</v>
          </cell>
          <cell r="AF1002">
            <v>16650706.650119999</v>
          </cell>
        </row>
        <row r="1003">
          <cell r="M1003" t="str">
            <v>Gustavo</v>
          </cell>
          <cell r="N1003" t="str">
            <v>Castillo</v>
          </cell>
          <cell r="AF1003">
            <v>16650706.650119999</v>
          </cell>
        </row>
        <row r="1004">
          <cell r="M1004" t="str">
            <v>Gustavo</v>
          </cell>
          <cell r="N1004" t="str">
            <v>Martinez</v>
          </cell>
          <cell r="AF1004">
            <v>16650706.650119999</v>
          </cell>
        </row>
        <row r="1005">
          <cell r="M1005" t="str">
            <v>Harry</v>
          </cell>
          <cell r="N1005" t="str">
            <v>Zambrano</v>
          </cell>
          <cell r="AF1005">
            <v>30863987.758260004</v>
          </cell>
        </row>
        <row r="1006">
          <cell r="M1006" t="str">
            <v>Hector</v>
          </cell>
          <cell r="N1006" t="str">
            <v>Burgoa</v>
          </cell>
          <cell r="AF1006">
            <v>37912948.740000002</v>
          </cell>
        </row>
        <row r="1007">
          <cell r="M1007" t="str">
            <v>Hector</v>
          </cell>
          <cell r="N1007" t="str">
            <v>Gonzalez</v>
          </cell>
          <cell r="AF1007">
            <v>15493294.079999998</v>
          </cell>
        </row>
        <row r="1008">
          <cell r="M1008" t="str">
            <v>Hector</v>
          </cell>
          <cell r="N1008" t="str">
            <v>Gutierrez</v>
          </cell>
          <cell r="AF1008">
            <v>16650706.650119999</v>
          </cell>
        </row>
        <row r="1009">
          <cell r="M1009" t="str">
            <v>Hector</v>
          </cell>
          <cell r="N1009" t="str">
            <v>La Cruz</v>
          </cell>
          <cell r="AF1009">
            <v>14050768.675139997</v>
          </cell>
        </row>
        <row r="1010">
          <cell r="M1010" t="str">
            <v>Hector</v>
          </cell>
          <cell r="N1010" t="str">
            <v>Montesino</v>
          </cell>
          <cell r="AF1010">
            <v>25092898.092000004</v>
          </cell>
        </row>
        <row r="1011">
          <cell r="M1011" t="str">
            <v>Hector</v>
          </cell>
          <cell r="N1011" t="str">
            <v>Seijas</v>
          </cell>
          <cell r="AF1011">
            <v>16650706.650119999</v>
          </cell>
        </row>
        <row r="1012">
          <cell r="M1012" t="str">
            <v>Hector</v>
          </cell>
          <cell r="N1012" t="str">
            <v>Sosa</v>
          </cell>
          <cell r="AF1012">
            <v>15493296.695220001</v>
          </cell>
        </row>
        <row r="1013">
          <cell r="M1013" t="str">
            <v>Hector</v>
          </cell>
          <cell r="N1013" t="str">
            <v>Veliz</v>
          </cell>
          <cell r="AF1013">
            <v>67014160.734859996</v>
          </cell>
        </row>
        <row r="1014">
          <cell r="M1014" t="str">
            <v>Hector</v>
          </cell>
          <cell r="N1014" t="str">
            <v>Veliz</v>
          </cell>
          <cell r="AF1014">
            <v>14740509.731579999</v>
          </cell>
        </row>
        <row r="1015">
          <cell r="M1015" t="str">
            <v>Heiser</v>
          </cell>
          <cell r="N1015" t="str">
            <v>Chacon</v>
          </cell>
          <cell r="AF1015">
            <v>14050768.675139997</v>
          </cell>
        </row>
        <row r="1016">
          <cell r="M1016" t="str">
            <v>Hendrys</v>
          </cell>
          <cell r="N1016" t="str">
            <v>Orozco</v>
          </cell>
          <cell r="AF1016">
            <v>13457948.94036</v>
          </cell>
        </row>
        <row r="1017">
          <cell r="M1017" t="str">
            <v>Henry</v>
          </cell>
          <cell r="N1017" t="str">
            <v>Armas</v>
          </cell>
          <cell r="AF1017">
            <v>33197805.221219998</v>
          </cell>
        </row>
        <row r="1018">
          <cell r="M1018" t="str">
            <v>Henry</v>
          </cell>
          <cell r="N1018" t="str">
            <v>Garcia</v>
          </cell>
          <cell r="AF1018">
            <v>14740509.731579999</v>
          </cell>
        </row>
        <row r="1019">
          <cell r="M1019" t="str">
            <v>Henry</v>
          </cell>
          <cell r="N1019" t="str">
            <v>Reyes</v>
          </cell>
          <cell r="AF1019">
            <v>13457948.94036</v>
          </cell>
        </row>
        <row r="1020">
          <cell r="M1020" t="str">
            <v>Hermen</v>
          </cell>
          <cell r="N1020" t="str">
            <v>Matos</v>
          </cell>
          <cell r="AF1020">
            <v>14050768.675139997</v>
          </cell>
        </row>
        <row r="1021">
          <cell r="M1021" t="str">
            <v>Hermes</v>
          </cell>
          <cell r="N1021" t="str">
            <v>Castillo</v>
          </cell>
          <cell r="AF1021">
            <v>16885451.203740001</v>
          </cell>
        </row>
        <row r="1022">
          <cell r="M1022" t="str">
            <v>Hermes</v>
          </cell>
          <cell r="N1022" t="str">
            <v>Troconis</v>
          </cell>
          <cell r="AF1022">
            <v>16650706.650119999</v>
          </cell>
        </row>
        <row r="1023">
          <cell r="M1023" t="str">
            <v>Hernan</v>
          </cell>
          <cell r="N1023" t="str">
            <v>Martinez</v>
          </cell>
          <cell r="AF1023">
            <v>16650706.650119999</v>
          </cell>
        </row>
        <row r="1024">
          <cell r="M1024" t="str">
            <v>Hernan</v>
          </cell>
          <cell r="N1024" t="str">
            <v>Martinez</v>
          </cell>
          <cell r="AF1024">
            <v>15493296.695220001</v>
          </cell>
        </row>
        <row r="1025">
          <cell r="M1025" t="str">
            <v>Hetcen</v>
          </cell>
          <cell r="N1025" t="str">
            <v>Noce</v>
          </cell>
          <cell r="AF1025">
            <v>10697346</v>
          </cell>
        </row>
        <row r="1026">
          <cell r="M1026" t="str">
            <v>Hildegar</v>
          </cell>
          <cell r="N1026" t="str">
            <v>Reyes</v>
          </cell>
          <cell r="AF1026">
            <v>16650706.650119999</v>
          </cell>
        </row>
        <row r="1027">
          <cell r="M1027" t="str">
            <v>Horacio</v>
          </cell>
          <cell r="N1027" t="str">
            <v>Trujillo</v>
          </cell>
          <cell r="AF1027">
            <v>79063155.453140005</v>
          </cell>
        </row>
        <row r="1028">
          <cell r="M1028" t="str">
            <v>Hugo</v>
          </cell>
          <cell r="N1028" t="str">
            <v>Perez</v>
          </cell>
          <cell r="AF1028">
            <v>14740509.731579999</v>
          </cell>
        </row>
        <row r="1029">
          <cell r="M1029" t="str">
            <v>Humberto</v>
          </cell>
          <cell r="N1029" t="str">
            <v>Blanco</v>
          </cell>
          <cell r="AF1029">
            <v>15493296.695220001</v>
          </cell>
        </row>
        <row r="1030">
          <cell r="M1030" t="str">
            <v>Humberto</v>
          </cell>
          <cell r="N1030" t="str">
            <v>Hernandez</v>
          </cell>
          <cell r="AF1030">
            <v>15493296.695220001</v>
          </cell>
        </row>
        <row r="1031">
          <cell r="M1031" t="str">
            <v>Humberto</v>
          </cell>
          <cell r="N1031" t="str">
            <v>Mier y teran</v>
          </cell>
          <cell r="AF1031">
            <v>15493296.695220001</v>
          </cell>
        </row>
        <row r="1032">
          <cell r="M1032" t="str">
            <v>Humberto</v>
          </cell>
          <cell r="N1032" t="str">
            <v>Rangel</v>
          </cell>
          <cell r="AF1032">
            <v>16650706.650119999</v>
          </cell>
        </row>
        <row r="1033">
          <cell r="M1033" t="str">
            <v>Ines</v>
          </cell>
          <cell r="N1033" t="str">
            <v>Blanco</v>
          </cell>
          <cell r="AF1033">
            <v>16650706.650119999</v>
          </cell>
        </row>
        <row r="1034">
          <cell r="M1034" t="str">
            <v>Irbel</v>
          </cell>
          <cell r="N1034" t="str">
            <v>Angulo</v>
          </cell>
          <cell r="AF1034">
            <v>13457948.94036</v>
          </cell>
        </row>
        <row r="1035">
          <cell r="M1035" t="str">
            <v>Irwin</v>
          </cell>
          <cell r="N1035" t="str">
            <v>Zerpa</v>
          </cell>
          <cell r="AF1035">
            <v>8584759.8000000007</v>
          </cell>
        </row>
        <row r="1036">
          <cell r="M1036" t="str">
            <v>Isabel</v>
          </cell>
          <cell r="N1036" t="str">
            <v>Guerrero</v>
          </cell>
          <cell r="AF1036">
            <v>29874950.829540003</v>
          </cell>
        </row>
        <row r="1037">
          <cell r="M1037" t="str">
            <v>Isaias</v>
          </cell>
          <cell r="N1037" t="str">
            <v>Carmona</v>
          </cell>
          <cell r="AF1037">
            <v>24493884.44616</v>
          </cell>
        </row>
        <row r="1038">
          <cell r="M1038" t="str">
            <v>Isbel</v>
          </cell>
          <cell r="N1038" t="str">
            <v>Tovar</v>
          </cell>
          <cell r="AF1038">
            <v>22091189.641739998</v>
          </cell>
        </row>
        <row r="1039">
          <cell r="M1039" t="str">
            <v>Ismael</v>
          </cell>
          <cell r="N1039" t="str">
            <v>Alarcon</v>
          </cell>
          <cell r="AF1039">
            <v>17221648.25826</v>
          </cell>
        </row>
        <row r="1040">
          <cell r="M1040" t="str">
            <v>Ismael</v>
          </cell>
          <cell r="N1040" t="str">
            <v>Garcia</v>
          </cell>
          <cell r="AF1040">
            <v>13457948.94036</v>
          </cell>
        </row>
        <row r="1041">
          <cell r="M1041" t="str">
            <v>Ismael</v>
          </cell>
          <cell r="N1041" t="str">
            <v>Pacheco</v>
          </cell>
          <cell r="AF1041">
            <v>16650706.650119999</v>
          </cell>
        </row>
        <row r="1042">
          <cell r="M1042" t="str">
            <v>Ismely</v>
          </cell>
          <cell r="N1042" t="str">
            <v>Tovar</v>
          </cell>
          <cell r="AF1042">
            <v>13457948.94036</v>
          </cell>
        </row>
        <row r="1043">
          <cell r="M1043" t="str">
            <v>Israel</v>
          </cell>
          <cell r="N1043" t="str">
            <v>Velasco</v>
          </cell>
          <cell r="AF1043">
            <v>13457948.219999997</v>
          </cell>
        </row>
        <row r="1044">
          <cell r="M1044" t="str">
            <v>Ivan</v>
          </cell>
          <cell r="N1044" t="str">
            <v>Bowell</v>
          </cell>
          <cell r="AF1044">
            <v>16650706.650119999</v>
          </cell>
        </row>
        <row r="1045">
          <cell r="M1045" t="str">
            <v>Jackson</v>
          </cell>
          <cell r="N1045" t="str">
            <v>Peña</v>
          </cell>
          <cell r="AF1045">
            <v>16650706.650119999</v>
          </cell>
        </row>
        <row r="1046">
          <cell r="M1046" t="str">
            <v>Jackson</v>
          </cell>
          <cell r="N1046" t="str">
            <v>Rondon</v>
          </cell>
          <cell r="AF1046">
            <v>23697051.258239999</v>
          </cell>
        </row>
        <row r="1047">
          <cell r="M1047" t="str">
            <v>Jacqueline</v>
          </cell>
          <cell r="N1047" t="str">
            <v>Majar</v>
          </cell>
          <cell r="AF1047">
            <v>97753486.191219985</v>
          </cell>
        </row>
        <row r="1048">
          <cell r="M1048" t="str">
            <v>Jacymar</v>
          </cell>
          <cell r="N1048" t="str">
            <v>Vargas</v>
          </cell>
          <cell r="AF1048">
            <v>8584759.8000000007</v>
          </cell>
        </row>
        <row r="1049">
          <cell r="M1049" t="str">
            <v>Jaime</v>
          </cell>
          <cell r="N1049" t="str">
            <v>Contreras</v>
          </cell>
          <cell r="AF1049">
            <v>14050768.675139997</v>
          </cell>
        </row>
        <row r="1050">
          <cell r="M1050" t="str">
            <v>Jaime</v>
          </cell>
          <cell r="N1050" t="str">
            <v>Tortolero</v>
          </cell>
          <cell r="AF1050">
            <v>15493296.695220001</v>
          </cell>
        </row>
        <row r="1051">
          <cell r="M1051" t="str">
            <v>Jairo</v>
          </cell>
          <cell r="N1051" t="str">
            <v>Torres</v>
          </cell>
          <cell r="AF1051">
            <v>15493295.066579999</v>
          </cell>
        </row>
        <row r="1052">
          <cell r="M1052" t="str">
            <v>Jaqueline</v>
          </cell>
          <cell r="N1052" t="str">
            <v>Sanchez</v>
          </cell>
          <cell r="AF1052">
            <v>111179102.11186001</v>
          </cell>
        </row>
        <row r="1053">
          <cell r="M1053" t="str">
            <v>Javier</v>
          </cell>
          <cell r="N1053" t="str">
            <v>Ayala</v>
          </cell>
          <cell r="AF1053">
            <v>14740509.731579999</v>
          </cell>
        </row>
        <row r="1054">
          <cell r="M1054" t="str">
            <v>Javier</v>
          </cell>
          <cell r="N1054" t="str">
            <v>Caraballo</v>
          </cell>
          <cell r="AF1054">
            <v>14740509.731579999</v>
          </cell>
        </row>
        <row r="1055">
          <cell r="M1055" t="str">
            <v>Javier</v>
          </cell>
          <cell r="N1055" t="str">
            <v>Garcia</v>
          </cell>
          <cell r="AF1055">
            <v>16650706.650119999</v>
          </cell>
        </row>
        <row r="1056">
          <cell r="M1056" t="str">
            <v>Javier</v>
          </cell>
          <cell r="N1056" t="str">
            <v>Landaeta</v>
          </cell>
          <cell r="AF1056">
            <v>15493296.695220001</v>
          </cell>
        </row>
        <row r="1057">
          <cell r="M1057" t="str">
            <v>Jean</v>
          </cell>
          <cell r="N1057" t="str">
            <v>Aponte</v>
          </cell>
          <cell r="AF1057">
            <v>14050766.738520002</v>
          </cell>
        </row>
        <row r="1058">
          <cell r="M1058" t="str">
            <v>Jean</v>
          </cell>
          <cell r="N1058" t="str">
            <v>Bolivar</v>
          </cell>
          <cell r="AF1058">
            <v>14740507.3356</v>
          </cell>
        </row>
        <row r="1059">
          <cell r="M1059" t="str">
            <v>Jean</v>
          </cell>
          <cell r="N1059" t="str">
            <v>Diaz</v>
          </cell>
          <cell r="AF1059">
            <v>29449021.499999996</v>
          </cell>
        </row>
        <row r="1060">
          <cell r="M1060" t="str">
            <v>Jean</v>
          </cell>
          <cell r="N1060" t="str">
            <v>Gonzalez</v>
          </cell>
          <cell r="AF1060">
            <v>14740507.3356</v>
          </cell>
        </row>
        <row r="1061">
          <cell r="M1061" t="str">
            <v>Jean</v>
          </cell>
          <cell r="N1061" t="str">
            <v>Morales</v>
          </cell>
          <cell r="AF1061">
            <v>14740507.3356</v>
          </cell>
        </row>
        <row r="1062">
          <cell r="M1062" t="str">
            <v>Jean</v>
          </cell>
          <cell r="N1062" t="str">
            <v>Rodriguez</v>
          </cell>
          <cell r="AF1062">
            <v>8584759.8000000007</v>
          </cell>
        </row>
        <row r="1063">
          <cell r="M1063" t="str">
            <v>Jeason</v>
          </cell>
          <cell r="N1063" t="str">
            <v>Marin</v>
          </cell>
          <cell r="AF1063">
            <v>8584759.8000000007</v>
          </cell>
        </row>
        <row r="1064">
          <cell r="M1064" t="str">
            <v>Jeilyn</v>
          </cell>
          <cell r="N1064" t="str">
            <v>Araujo</v>
          </cell>
          <cell r="AF1064">
            <v>36634952.087100007</v>
          </cell>
        </row>
        <row r="1065">
          <cell r="M1065" t="str">
            <v>Jelsson</v>
          </cell>
          <cell r="N1065" t="str">
            <v>Medina</v>
          </cell>
          <cell r="AF1065">
            <v>14050768.675139997</v>
          </cell>
        </row>
        <row r="1066">
          <cell r="M1066" t="str">
            <v>Jennifer</v>
          </cell>
          <cell r="N1066" t="str">
            <v>Vinci</v>
          </cell>
          <cell r="AF1066">
            <v>21700488.301739998</v>
          </cell>
        </row>
        <row r="1067">
          <cell r="M1067" t="str">
            <v>Jenny</v>
          </cell>
          <cell r="N1067" t="str">
            <v>Guevara</v>
          </cell>
          <cell r="AF1067">
            <v>31217733.241739996</v>
          </cell>
        </row>
        <row r="1068">
          <cell r="M1068" t="str">
            <v>Jerlin</v>
          </cell>
          <cell r="N1068" t="str">
            <v>Leòn</v>
          </cell>
          <cell r="AF1068">
            <v>15493296.695220001</v>
          </cell>
        </row>
        <row r="1069">
          <cell r="M1069" t="str">
            <v>Jesus</v>
          </cell>
          <cell r="N1069" t="str">
            <v>Bolivar</v>
          </cell>
          <cell r="AF1069">
            <v>14740509.731579999</v>
          </cell>
        </row>
        <row r="1070">
          <cell r="M1070" t="str">
            <v>Jesus</v>
          </cell>
          <cell r="N1070" t="str">
            <v>Camacho</v>
          </cell>
          <cell r="AF1070">
            <v>14740508.102940001</v>
          </cell>
        </row>
        <row r="1071">
          <cell r="M1071" t="str">
            <v>Jesus</v>
          </cell>
          <cell r="N1071" t="str">
            <v>Castejon</v>
          </cell>
          <cell r="AF1071">
            <v>16530000.001739997</v>
          </cell>
        </row>
        <row r="1072">
          <cell r="M1072" t="str">
            <v>Jesus</v>
          </cell>
          <cell r="N1072" t="str">
            <v>Chacon</v>
          </cell>
          <cell r="AF1072">
            <v>16650706.650119999</v>
          </cell>
        </row>
        <row r="1073">
          <cell r="M1073" t="str">
            <v>Jesus</v>
          </cell>
          <cell r="N1073" t="str">
            <v>Cocho</v>
          </cell>
          <cell r="AF1073">
            <v>14740509.731579999</v>
          </cell>
        </row>
        <row r="1074">
          <cell r="M1074" t="str">
            <v>Jesus</v>
          </cell>
          <cell r="N1074" t="str">
            <v>Contreras</v>
          </cell>
          <cell r="AF1074">
            <v>16885451.203740001</v>
          </cell>
        </row>
        <row r="1075">
          <cell r="M1075" t="str">
            <v>Jesus</v>
          </cell>
          <cell r="N1075" t="str">
            <v>Gomez</v>
          </cell>
          <cell r="AF1075">
            <v>14050768.675139997</v>
          </cell>
        </row>
        <row r="1076">
          <cell r="M1076" t="str">
            <v>Jesus</v>
          </cell>
          <cell r="N1076" t="str">
            <v>Ladera</v>
          </cell>
          <cell r="AF1076">
            <v>16650706.650119999</v>
          </cell>
        </row>
        <row r="1077">
          <cell r="M1077" t="str">
            <v>Jesus</v>
          </cell>
          <cell r="N1077" t="str">
            <v>Machin</v>
          </cell>
          <cell r="AF1077">
            <v>13457951.539919998</v>
          </cell>
        </row>
        <row r="1078">
          <cell r="M1078" t="str">
            <v>Jesus</v>
          </cell>
          <cell r="N1078" t="str">
            <v>Marquez</v>
          </cell>
          <cell r="AF1078">
            <v>15493296.695220001</v>
          </cell>
        </row>
        <row r="1079">
          <cell r="M1079" t="str">
            <v>Jesus</v>
          </cell>
          <cell r="N1079" t="str">
            <v>Mendoza</v>
          </cell>
          <cell r="AF1079">
            <v>127155750.87977999</v>
          </cell>
        </row>
        <row r="1080">
          <cell r="M1080" t="str">
            <v>Jesus</v>
          </cell>
          <cell r="N1080" t="str">
            <v>Mezzavilla</v>
          </cell>
          <cell r="AF1080">
            <v>23176078.726499997</v>
          </cell>
        </row>
        <row r="1081">
          <cell r="M1081" t="str">
            <v>Jesus</v>
          </cell>
          <cell r="N1081" t="str">
            <v>Moreno</v>
          </cell>
          <cell r="AF1081">
            <v>14050768.675139997</v>
          </cell>
        </row>
        <row r="1082">
          <cell r="M1082" t="str">
            <v>Jesus</v>
          </cell>
          <cell r="N1082" t="str">
            <v>Moreno</v>
          </cell>
          <cell r="AF1082">
            <v>16885451.167199999</v>
          </cell>
        </row>
        <row r="1083">
          <cell r="M1083" t="str">
            <v>Jesus</v>
          </cell>
          <cell r="N1083" t="str">
            <v>Parra</v>
          </cell>
          <cell r="AF1083">
            <v>14740509.731579999</v>
          </cell>
        </row>
        <row r="1084">
          <cell r="M1084" t="str">
            <v>Jesus</v>
          </cell>
          <cell r="N1084" t="str">
            <v>Parra</v>
          </cell>
          <cell r="AF1084">
            <v>8584759.8000000007</v>
          </cell>
        </row>
        <row r="1085">
          <cell r="M1085" t="str">
            <v>Jesus</v>
          </cell>
          <cell r="N1085" t="str">
            <v>Prieto</v>
          </cell>
          <cell r="AF1085">
            <v>14740509.731579999</v>
          </cell>
        </row>
        <row r="1086">
          <cell r="M1086" t="str">
            <v>Jesus</v>
          </cell>
          <cell r="N1086" t="str">
            <v>Rivas</v>
          </cell>
          <cell r="AF1086">
            <v>15493296.695220001</v>
          </cell>
        </row>
        <row r="1087">
          <cell r="M1087" t="str">
            <v>Jesus</v>
          </cell>
          <cell r="N1087" t="str">
            <v>Rodriguez</v>
          </cell>
          <cell r="AF1087">
            <v>15493295.066579999</v>
          </cell>
        </row>
        <row r="1088">
          <cell r="M1088" t="str">
            <v>Jesus</v>
          </cell>
          <cell r="N1088" t="str">
            <v>Romero</v>
          </cell>
          <cell r="AF1088">
            <v>16120646.693459997</v>
          </cell>
        </row>
        <row r="1089">
          <cell r="M1089" t="str">
            <v>Jesus</v>
          </cell>
          <cell r="N1089" t="str">
            <v>Romero</v>
          </cell>
          <cell r="AF1089">
            <v>14740509.731579999</v>
          </cell>
        </row>
        <row r="1090">
          <cell r="M1090" t="str">
            <v>Jesus</v>
          </cell>
          <cell r="N1090" t="str">
            <v>Ruiz</v>
          </cell>
          <cell r="AF1090">
            <v>15493296.695220001</v>
          </cell>
        </row>
        <row r="1091">
          <cell r="M1091" t="str">
            <v>Jesus</v>
          </cell>
          <cell r="N1091" t="str">
            <v>Saavedra</v>
          </cell>
          <cell r="AF1091">
            <v>16001520.238260001</v>
          </cell>
        </row>
        <row r="1092">
          <cell r="M1092" t="str">
            <v>Jesus</v>
          </cell>
          <cell r="N1092" t="str">
            <v>Sanchez</v>
          </cell>
          <cell r="AF1092">
            <v>15247591.718039999</v>
          </cell>
        </row>
        <row r="1093">
          <cell r="M1093" t="str">
            <v>Jesus</v>
          </cell>
          <cell r="N1093" t="str">
            <v>Tovar</v>
          </cell>
          <cell r="AF1093">
            <v>13457948.94036</v>
          </cell>
        </row>
        <row r="1094">
          <cell r="M1094" t="str">
            <v>Jesus</v>
          </cell>
          <cell r="N1094" t="str">
            <v>Tovar</v>
          </cell>
          <cell r="AF1094">
            <v>14050768.675139997</v>
          </cell>
        </row>
        <row r="1095">
          <cell r="M1095" t="str">
            <v>Jesus</v>
          </cell>
          <cell r="N1095" t="str">
            <v>Tovar</v>
          </cell>
          <cell r="AF1095">
            <v>31176663.518879995</v>
          </cell>
        </row>
        <row r="1096">
          <cell r="M1096" t="str">
            <v>Jesus</v>
          </cell>
          <cell r="N1096" t="str">
            <v>Vasquez</v>
          </cell>
          <cell r="AF1096">
            <v>27114475.377240002</v>
          </cell>
        </row>
        <row r="1097">
          <cell r="M1097" t="str">
            <v>Jesús</v>
          </cell>
          <cell r="N1097" t="str">
            <v>Pino</v>
          </cell>
          <cell r="AF1097">
            <v>30764486.905739993</v>
          </cell>
        </row>
        <row r="1098">
          <cell r="M1098" t="str">
            <v>Jhonny</v>
          </cell>
          <cell r="N1098" t="str">
            <v>Sanchez</v>
          </cell>
          <cell r="AF1098">
            <v>13457951.539919998</v>
          </cell>
        </row>
        <row r="1099">
          <cell r="M1099" t="str">
            <v>Jim</v>
          </cell>
          <cell r="N1099" t="str">
            <v>Blanco</v>
          </cell>
          <cell r="AF1099">
            <v>41937675.102719992</v>
          </cell>
        </row>
        <row r="1100">
          <cell r="M1100" t="str">
            <v>Joan</v>
          </cell>
          <cell r="N1100" t="str">
            <v>Carrasquel</v>
          </cell>
          <cell r="AF1100">
            <v>16650706.650119999</v>
          </cell>
        </row>
        <row r="1101">
          <cell r="M1101" t="str">
            <v>Joan</v>
          </cell>
          <cell r="N1101" t="str">
            <v>Fragoza</v>
          </cell>
          <cell r="AF1101">
            <v>16650706.650119999</v>
          </cell>
        </row>
        <row r="1102">
          <cell r="M1102" t="str">
            <v>Joan</v>
          </cell>
          <cell r="N1102" t="str">
            <v>Garrido</v>
          </cell>
          <cell r="AF1102">
            <v>14740509.731579999</v>
          </cell>
        </row>
        <row r="1103">
          <cell r="M1103" t="str">
            <v>Joan</v>
          </cell>
          <cell r="N1103" t="str">
            <v>Villegas</v>
          </cell>
          <cell r="AF1103">
            <v>14740509.731579999</v>
          </cell>
        </row>
        <row r="1104">
          <cell r="M1104" t="str">
            <v>Joel</v>
          </cell>
          <cell r="N1104" t="str">
            <v>Garcia</v>
          </cell>
          <cell r="AF1104">
            <v>14740509.731579999</v>
          </cell>
        </row>
        <row r="1105">
          <cell r="M1105" t="str">
            <v>Joel</v>
          </cell>
          <cell r="N1105" t="str">
            <v>Hernandez</v>
          </cell>
          <cell r="AF1105">
            <v>16650706.650119999</v>
          </cell>
        </row>
        <row r="1106">
          <cell r="M1106" t="str">
            <v>Joel</v>
          </cell>
          <cell r="N1106" t="str">
            <v>Rojas</v>
          </cell>
          <cell r="AF1106">
            <v>14740509.731579999</v>
          </cell>
        </row>
        <row r="1107">
          <cell r="M1107" t="str">
            <v>Joel</v>
          </cell>
          <cell r="N1107" t="str">
            <v>Yusti</v>
          </cell>
          <cell r="AF1107">
            <v>13457948.94036</v>
          </cell>
        </row>
        <row r="1108">
          <cell r="M1108" t="str">
            <v>Johan</v>
          </cell>
          <cell r="N1108" t="str">
            <v>Prieto</v>
          </cell>
          <cell r="AF1108">
            <v>14740509.731579999</v>
          </cell>
        </row>
        <row r="1109">
          <cell r="M1109" t="str">
            <v>Johann</v>
          </cell>
          <cell r="N1109" t="str">
            <v>Hernandez</v>
          </cell>
          <cell r="AF1109">
            <v>15493296.695220001</v>
          </cell>
        </row>
        <row r="1110">
          <cell r="M1110" t="str">
            <v>John</v>
          </cell>
          <cell r="N1110" t="str">
            <v>Alvarez</v>
          </cell>
          <cell r="AF1110">
            <v>16650706.650119999</v>
          </cell>
        </row>
        <row r="1111">
          <cell r="M1111" t="str">
            <v>John</v>
          </cell>
          <cell r="N1111" t="str">
            <v>Belmonte</v>
          </cell>
          <cell r="AF1111">
            <v>14740509.731579999</v>
          </cell>
        </row>
        <row r="1112">
          <cell r="M1112" t="str">
            <v>Johnny</v>
          </cell>
          <cell r="N1112" t="str">
            <v>Ron</v>
          </cell>
          <cell r="AF1112">
            <v>13457948.94036</v>
          </cell>
        </row>
        <row r="1113">
          <cell r="M1113" t="str">
            <v>Jolmar</v>
          </cell>
          <cell r="N1113" t="str">
            <v>Melendez</v>
          </cell>
          <cell r="AF1113">
            <v>30239269.809299998</v>
          </cell>
        </row>
        <row r="1114">
          <cell r="M1114" t="str">
            <v>Jonathan</v>
          </cell>
          <cell r="N1114" t="str">
            <v>Ascanio</v>
          </cell>
          <cell r="AF1114">
            <v>8584759.8000000007</v>
          </cell>
        </row>
        <row r="1115">
          <cell r="M1115" t="str">
            <v>Jonathan</v>
          </cell>
          <cell r="N1115" t="str">
            <v>Pacheco</v>
          </cell>
          <cell r="AF1115">
            <v>26518571.791739997</v>
          </cell>
        </row>
        <row r="1116">
          <cell r="M1116" t="str">
            <v>Jorber</v>
          </cell>
          <cell r="N1116" t="str">
            <v>Hernandez</v>
          </cell>
          <cell r="AF1116">
            <v>8584759.8000000007</v>
          </cell>
        </row>
        <row r="1117">
          <cell r="M1117" t="str">
            <v>Jordan</v>
          </cell>
          <cell r="N1117" t="str">
            <v>Araujo</v>
          </cell>
          <cell r="AF1117">
            <v>14740509.731579999</v>
          </cell>
        </row>
        <row r="1118">
          <cell r="M1118" t="str">
            <v>Jorge</v>
          </cell>
          <cell r="N1118" t="str">
            <v>Acero</v>
          </cell>
          <cell r="AF1118">
            <v>14741065.875599999</v>
          </cell>
        </row>
        <row r="1119">
          <cell r="M1119" t="str">
            <v>Jorge</v>
          </cell>
          <cell r="N1119" t="str">
            <v>Carvajal</v>
          </cell>
          <cell r="AF1119">
            <v>13457948.94036</v>
          </cell>
        </row>
        <row r="1120">
          <cell r="M1120" t="str">
            <v>Jorge</v>
          </cell>
          <cell r="N1120" t="str">
            <v>Gil</v>
          </cell>
          <cell r="AF1120">
            <v>83870501.389200002</v>
          </cell>
        </row>
        <row r="1121">
          <cell r="M1121" t="str">
            <v>Jorge</v>
          </cell>
          <cell r="N1121" t="str">
            <v>Gonzalez</v>
          </cell>
          <cell r="AF1121">
            <v>14050768.675139997</v>
          </cell>
        </row>
        <row r="1122">
          <cell r="M1122" t="str">
            <v>Jorge</v>
          </cell>
          <cell r="N1122" t="str">
            <v>Guerra</v>
          </cell>
          <cell r="AF1122">
            <v>14050768.675139997</v>
          </cell>
        </row>
        <row r="1123">
          <cell r="M1123" t="str">
            <v>Jorge</v>
          </cell>
          <cell r="N1123" t="str">
            <v>Herrera</v>
          </cell>
          <cell r="AF1123">
            <v>37054476.241739996</v>
          </cell>
        </row>
        <row r="1124">
          <cell r="M1124" t="str">
            <v>Jorge</v>
          </cell>
          <cell r="N1124" t="str">
            <v>Lopez</v>
          </cell>
          <cell r="AF1124">
            <v>14740509.731579999</v>
          </cell>
        </row>
        <row r="1125">
          <cell r="M1125" t="str">
            <v>Jorge</v>
          </cell>
          <cell r="N1125" t="str">
            <v>Nieves</v>
          </cell>
          <cell r="AF1125">
            <v>8584759.8000000007</v>
          </cell>
        </row>
        <row r="1126">
          <cell r="M1126" t="str">
            <v>Jorge</v>
          </cell>
          <cell r="N1126" t="str">
            <v>Oropeza</v>
          </cell>
          <cell r="AF1126">
            <v>14050768.675139997</v>
          </cell>
        </row>
        <row r="1127">
          <cell r="M1127" t="str">
            <v>Jorge</v>
          </cell>
          <cell r="N1127" t="str">
            <v>Rivas</v>
          </cell>
          <cell r="AF1127">
            <v>13457948.219999997</v>
          </cell>
        </row>
        <row r="1128">
          <cell r="M1128" t="str">
            <v>Jorge</v>
          </cell>
          <cell r="N1128" t="str">
            <v>Rodriguez</v>
          </cell>
          <cell r="AF1128">
            <v>13457951.539919998</v>
          </cell>
        </row>
        <row r="1129">
          <cell r="M1129" t="str">
            <v>Jorge</v>
          </cell>
          <cell r="N1129" t="str">
            <v>Tovar</v>
          </cell>
          <cell r="AF1129">
            <v>13457951.539919998</v>
          </cell>
        </row>
        <row r="1130">
          <cell r="M1130" t="str">
            <v>Jose</v>
          </cell>
          <cell r="N1130" t="str">
            <v>Abreu</v>
          </cell>
          <cell r="AF1130">
            <v>15493296.695220001</v>
          </cell>
        </row>
        <row r="1131">
          <cell r="M1131" t="str">
            <v>Jose</v>
          </cell>
          <cell r="N1131" t="str">
            <v>Alfonzo</v>
          </cell>
          <cell r="AF1131">
            <v>13457951.539919998</v>
          </cell>
        </row>
        <row r="1132">
          <cell r="M1132" t="str">
            <v>Jose</v>
          </cell>
          <cell r="N1132" t="str">
            <v>Altuve</v>
          </cell>
          <cell r="AF1132">
            <v>16650706.650119999</v>
          </cell>
        </row>
        <row r="1133">
          <cell r="M1133" t="str">
            <v>Jose</v>
          </cell>
          <cell r="N1133" t="str">
            <v>Barazarte</v>
          </cell>
          <cell r="AF1133">
            <v>16650706.650119999</v>
          </cell>
        </row>
        <row r="1134">
          <cell r="M1134" t="str">
            <v>Jose</v>
          </cell>
          <cell r="N1134" t="str">
            <v>Betancourt</v>
          </cell>
          <cell r="AF1134">
            <v>24142891.499999996</v>
          </cell>
        </row>
        <row r="1135">
          <cell r="M1135" t="str">
            <v>Jose</v>
          </cell>
          <cell r="N1135" t="str">
            <v>Calanche</v>
          </cell>
          <cell r="AF1135">
            <v>20643953.275619995</v>
          </cell>
        </row>
        <row r="1136">
          <cell r="M1136" t="str">
            <v>Jose</v>
          </cell>
          <cell r="N1136" t="str">
            <v>Campos</v>
          </cell>
          <cell r="AF1136">
            <v>37951470.58608</v>
          </cell>
        </row>
        <row r="1137">
          <cell r="M1137" t="str">
            <v>Jose</v>
          </cell>
          <cell r="N1137" t="str">
            <v>Campos</v>
          </cell>
          <cell r="AF1137">
            <v>14050768.675139997</v>
          </cell>
        </row>
        <row r="1138">
          <cell r="M1138" t="str">
            <v>Jose</v>
          </cell>
          <cell r="N1138" t="str">
            <v>Cañas</v>
          </cell>
          <cell r="AF1138">
            <v>14740509.731579999</v>
          </cell>
        </row>
        <row r="1139">
          <cell r="M1139" t="str">
            <v>Jose</v>
          </cell>
          <cell r="N1139" t="str">
            <v>Carballo</v>
          </cell>
          <cell r="AF1139">
            <v>16650706.650119999</v>
          </cell>
        </row>
        <row r="1140">
          <cell r="M1140" t="str">
            <v>Jose</v>
          </cell>
          <cell r="N1140" t="str">
            <v>Carrillo</v>
          </cell>
          <cell r="AF1140">
            <v>16885443.373739999</v>
          </cell>
        </row>
        <row r="1141">
          <cell r="M1141" t="str">
            <v>Jose</v>
          </cell>
          <cell r="N1141" t="str">
            <v>Castillo</v>
          </cell>
          <cell r="AF1141">
            <v>16650706.650119999</v>
          </cell>
        </row>
        <row r="1142">
          <cell r="M1142" t="str">
            <v>Jose</v>
          </cell>
          <cell r="N1142" t="str">
            <v>Cedeño</v>
          </cell>
          <cell r="AF1142">
            <v>15493296.695220001</v>
          </cell>
        </row>
        <row r="1143">
          <cell r="M1143" t="str">
            <v>Jose</v>
          </cell>
          <cell r="N1143" t="str">
            <v>Curvelo</v>
          </cell>
          <cell r="AF1143">
            <v>14740509.731579999</v>
          </cell>
        </row>
        <row r="1144">
          <cell r="M1144" t="str">
            <v>Jose</v>
          </cell>
          <cell r="N1144" t="str">
            <v>Delgado</v>
          </cell>
          <cell r="AF1144">
            <v>16650706.650119999</v>
          </cell>
        </row>
        <row r="1145">
          <cell r="M1145" t="str">
            <v>Jose</v>
          </cell>
          <cell r="N1145" t="str">
            <v>Esaa</v>
          </cell>
          <cell r="AF1145">
            <v>17534193.153479997</v>
          </cell>
        </row>
        <row r="1146">
          <cell r="M1146" t="str">
            <v>Jose</v>
          </cell>
          <cell r="N1146" t="str">
            <v>Espinoza</v>
          </cell>
          <cell r="AF1146">
            <v>15493296.695220001</v>
          </cell>
        </row>
        <row r="1147">
          <cell r="M1147" t="str">
            <v>Jose</v>
          </cell>
          <cell r="N1147" t="str">
            <v>Garcia</v>
          </cell>
          <cell r="AF1147">
            <v>18325459.890000001</v>
          </cell>
        </row>
        <row r="1148">
          <cell r="M1148" t="str">
            <v>Jose</v>
          </cell>
          <cell r="N1148" t="str">
            <v>Gil</v>
          </cell>
          <cell r="AF1148">
            <v>15493296.695220001</v>
          </cell>
        </row>
        <row r="1149">
          <cell r="M1149" t="str">
            <v>Jose</v>
          </cell>
          <cell r="N1149" t="str">
            <v>Gomez</v>
          </cell>
          <cell r="AF1149">
            <v>16650706.650119999</v>
          </cell>
        </row>
        <row r="1150">
          <cell r="M1150" t="str">
            <v>Jose</v>
          </cell>
          <cell r="N1150" t="str">
            <v>Gomez</v>
          </cell>
          <cell r="AF1150">
            <v>14740509.731579999</v>
          </cell>
        </row>
        <row r="1151">
          <cell r="M1151" t="str">
            <v>Jose</v>
          </cell>
          <cell r="N1151" t="str">
            <v>Gomez</v>
          </cell>
          <cell r="AF1151">
            <v>14740509.731579999</v>
          </cell>
        </row>
        <row r="1152">
          <cell r="M1152" t="str">
            <v>Jose</v>
          </cell>
          <cell r="N1152" t="str">
            <v>Gonzalez</v>
          </cell>
          <cell r="AF1152">
            <v>15493296.695220001</v>
          </cell>
        </row>
        <row r="1153">
          <cell r="M1153" t="str">
            <v>Jose</v>
          </cell>
          <cell r="N1153" t="str">
            <v>Gonzalez</v>
          </cell>
          <cell r="AF1153">
            <v>109059660.50107999</v>
          </cell>
        </row>
        <row r="1154">
          <cell r="M1154" t="str">
            <v>Jose</v>
          </cell>
          <cell r="N1154" t="str">
            <v>Gonzalez</v>
          </cell>
          <cell r="AF1154">
            <v>16650706.650119999</v>
          </cell>
        </row>
        <row r="1155">
          <cell r="M1155" t="str">
            <v>Jose</v>
          </cell>
          <cell r="N1155" t="str">
            <v>Gonzalez</v>
          </cell>
          <cell r="AF1155">
            <v>16650706.650119999</v>
          </cell>
        </row>
        <row r="1156">
          <cell r="M1156" t="str">
            <v>Jose</v>
          </cell>
          <cell r="N1156" t="str">
            <v>Gonzalez</v>
          </cell>
          <cell r="AF1156">
            <v>15493296.695220001</v>
          </cell>
        </row>
        <row r="1157">
          <cell r="M1157" t="str">
            <v>Jose</v>
          </cell>
          <cell r="N1157" t="str">
            <v>Gonzalez</v>
          </cell>
          <cell r="AF1157">
            <v>61367906.879999988</v>
          </cell>
        </row>
        <row r="1158">
          <cell r="M1158" t="str">
            <v>Jose</v>
          </cell>
          <cell r="N1158" t="str">
            <v>Gutierrez</v>
          </cell>
          <cell r="AF1158">
            <v>16650706.650119999</v>
          </cell>
        </row>
        <row r="1159">
          <cell r="M1159" t="str">
            <v>Jose</v>
          </cell>
          <cell r="N1159" t="str">
            <v>Inojosa</v>
          </cell>
          <cell r="AF1159">
            <v>18776357.972459998</v>
          </cell>
        </row>
        <row r="1160">
          <cell r="M1160" t="str">
            <v>Jose</v>
          </cell>
          <cell r="N1160" t="str">
            <v>Lares</v>
          </cell>
          <cell r="AF1160">
            <v>40382442</v>
          </cell>
        </row>
        <row r="1161">
          <cell r="M1161" t="str">
            <v>Jose</v>
          </cell>
          <cell r="N1161" t="str">
            <v>Mansilla</v>
          </cell>
          <cell r="AF1161">
            <v>24493881.836159993</v>
          </cell>
        </row>
        <row r="1162">
          <cell r="M1162" t="str">
            <v>Jose</v>
          </cell>
          <cell r="N1162" t="str">
            <v>Marcano</v>
          </cell>
          <cell r="AF1162">
            <v>13457951.539919998</v>
          </cell>
        </row>
        <row r="1163">
          <cell r="M1163" t="str">
            <v>Jose</v>
          </cell>
          <cell r="N1163" t="str">
            <v>Martinez</v>
          </cell>
          <cell r="AF1163">
            <v>14050766.06514</v>
          </cell>
        </row>
        <row r="1164">
          <cell r="M1164" t="str">
            <v>Jose</v>
          </cell>
          <cell r="N1164" t="str">
            <v>Matos</v>
          </cell>
          <cell r="AF1164">
            <v>20479801.741739996</v>
          </cell>
        </row>
        <row r="1165">
          <cell r="M1165" t="str">
            <v>Jose</v>
          </cell>
          <cell r="N1165" t="str">
            <v>Mejias</v>
          </cell>
          <cell r="AF1165">
            <v>15493296.695220001</v>
          </cell>
        </row>
        <row r="1166">
          <cell r="M1166" t="str">
            <v>Jose</v>
          </cell>
          <cell r="N1166" t="str">
            <v>Mendoza</v>
          </cell>
          <cell r="AF1166">
            <v>14050768.675139997</v>
          </cell>
        </row>
        <row r="1167">
          <cell r="M1167" t="str">
            <v>Jose</v>
          </cell>
          <cell r="N1167" t="str">
            <v>Merchan</v>
          </cell>
          <cell r="AF1167">
            <v>16650706.650119999</v>
          </cell>
        </row>
        <row r="1168">
          <cell r="M1168" t="str">
            <v>Jose</v>
          </cell>
          <cell r="N1168" t="str">
            <v>Mosqueda</v>
          </cell>
          <cell r="AF1168">
            <v>14740509.731579999</v>
          </cell>
        </row>
        <row r="1169">
          <cell r="M1169" t="str">
            <v>Jose</v>
          </cell>
          <cell r="N1169" t="str">
            <v>Muñoz</v>
          </cell>
          <cell r="AF1169">
            <v>15493296.695220001</v>
          </cell>
        </row>
        <row r="1170">
          <cell r="M1170" t="str">
            <v>Jose</v>
          </cell>
          <cell r="N1170" t="str">
            <v>Navarro</v>
          </cell>
          <cell r="AF1170">
            <v>13457951.539919998</v>
          </cell>
        </row>
        <row r="1171">
          <cell r="M1171" t="str">
            <v>Jose</v>
          </cell>
          <cell r="N1171" t="str">
            <v>Nunez</v>
          </cell>
          <cell r="AF1171">
            <v>15493296.695220001</v>
          </cell>
        </row>
        <row r="1172">
          <cell r="M1172" t="str">
            <v>Jose</v>
          </cell>
          <cell r="N1172" t="str">
            <v>Oropeza</v>
          </cell>
          <cell r="AF1172">
            <v>14740509.731579999</v>
          </cell>
        </row>
        <row r="1173">
          <cell r="M1173" t="str">
            <v>Jose</v>
          </cell>
          <cell r="N1173" t="str">
            <v>Oviedo</v>
          </cell>
          <cell r="AF1173">
            <v>16650706.650119999</v>
          </cell>
        </row>
        <row r="1174">
          <cell r="M1174" t="str">
            <v>Jose</v>
          </cell>
          <cell r="N1174" t="str">
            <v>Pantoja</v>
          </cell>
          <cell r="AF1174">
            <v>52260896.029320009</v>
          </cell>
        </row>
        <row r="1175">
          <cell r="M1175" t="str">
            <v>Jose</v>
          </cell>
          <cell r="N1175" t="str">
            <v>Polanco</v>
          </cell>
          <cell r="AF1175">
            <v>14740509.731579999</v>
          </cell>
        </row>
        <row r="1176">
          <cell r="M1176" t="str">
            <v>Jose</v>
          </cell>
          <cell r="N1176" t="str">
            <v>Polanco</v>
          </cell>
          <cell r="AF1176">
            <v>18325459.890000001</v>
          </cell>
        </row>
        <row r="1177">
          <cell r="M1177" t="str">
            <v>Jose</v>
          </cell>
          <cell r="N1177" t="str">
            <v>Puente</v>
          </cell>
          <cell r="AF1177">
            <v>16650706.650119999</v>
          </cell>
        </row>
        <row r="1178">
          <cell r="M1178" t="str">
            <v>Jose</v>
          </cell>
          <cell r="N1178" t="str">
            <v>Puerta</v>
          </cell>
          <cell r="AF1178">
            <v>15493296.695220001</v>
          </cell>
        </row>
        <row r="1179">
          <cell r="M1179" t="str">
            <v>Jose</v>
          </cell>
          <cell r="N1179" t="str">
            <v>Quintero</v>
          </cell>
          <cell r="AF1179">
            <v>16650706.650119999</v>
          </cell>
        </row>
        <row r="1180">
          <cell r="M1180" t="str">
            <v>Jose</v>
          </cell>
          <cell r="N1180" t="str">
            <v>Ramirez</v>
          </cell>
          <cell r="AF1180">
            <v>27488857.133699998</v>
          </cell>
        </row>
        <row r="1181">
          <cell r="M1181" t="str">
            <v>Jose</v>
          </cell>
          <cell r="N1181" t="str">
            <v>Ribero</v>
          </cell>
          <cell r="AF1181">
            <v>15493296.695220001</v>
          </cell>
        </row>
        <row r="1182">
          <cell r="M1182" t="str">
            <v>Jose</v>
          </cell>
          <cell r="N1182" t="str">
            <v>Sarmiento</v>
          </cell>
          <cell r="AF1182">
            <v>66618754.336599998</v>
          </cell>
        </row>
        <row r="1183">
          <cell r="M1183" t="str">
            <v>Jose</v>
          </cell>
          <cell r="N1183" t="str">
            <v>Silva</v>
          </cell>
          <cell r="AF1183">
            <v>14050768.675139997</v>
          </cell>
        </row>
        <row r="1184">
          <cell r="M1184" t="str">
            <v>Jose</v>
          </cell>
          <cell r="N1184" t="str">
            <v>Silva</v>
          </cell>
          <cell r="AF1184">
            <v>16650706.650119999</v>
          </cell>
        </row>
        <row r="1185">
          <cell r="M1185" t="str">
            <v>Jose</v>
          </cell>
          <cell r="N1185" t="str">
            <v>Torres</v>
          </cell>
          <cell r="AF1185">
            <v>33874599.403980002</v>
          </cell>
        </row>
        <row r="1186">
          <cell r="M1186" t="str">
            <v>Jose</v>
          </cell>
          <cell r="N1186" t="str">
            <v>Tovar</v>
          </cell>
          <cell r="AF1186">
            <v>16650706.650119999</v>
          </cell>
        </row>
        <row r="1187">
          <cell r="M1187" t="str">
            <v>Jose</v>
          </cell>
          <cell r="N1187" t="str">
            <v>Vanegas</v>
          </cell>
          <cell r="AF1187">
            <v>13457948.94036</v>
          </cell>
        </row>
        <row r="1188">
          <cell r="M1188" t="str">
            <v>Jose</v>
          </cell>
          <cell r="N1188" t="str">
            <v>Vargas</v>
          </cell>
          <cell r="AF1188">
            <v>17534193.153479997</v>
          </cell>
        </row>
        <row r="1189">
          <cell r="M1189" t="str">
            <v>Jose</v>
          </cell>
          <cell r="N1189" t="str">
            <v>Vargas</v>
          </cell>
          <cell r="AF1189">
            <v>16650706.650119999</v>
          </cell>
        </row>
        <row r="1190">
          <cell r="M1190" t="str">
            <v>Jose</v>
          </cell>
          <cell r="N1190" t="str">
            <v>Villanueva</v>
          </cell>
          <cell r="AF1190">
            <v>16650706.650119999</v>
          </cell>
        </row>
        <row r="1191">
          <cell r="M1191" t="str">
            <v>Jose</v>
          </cell>
          <cell r="N1191" t="str">
            <v>Villata</v>
          </cell>
          <cell r="AF1191">
            <v>24893108.939519998</v>
          </cell>
        </row>
        <row r="1192">
          <cell r="M1192" t="str">
            <v>Jose</v>
          </cell>
          <cell r="N1192" t="str">
            <v>Yrun</v>
          </cell>
          <cell r="AF1192">
            <v>16650706.650119999</v>
          </cell>
        </row>
        <row r="1193">
          <cell r="M1193" t="str">
            <v>Jose</v>
          </cell>
          <cell r="N1193" t="str">
            <v>Zamora</v>
          </cell>
          <cell r="AF1193">
            <v>16650706.650119999</v>
          </cell>
        </row>
        <row r="1194">
          <cell r="M1194" t="str">
            <v>José</v>
          </cell>
          <cell r="N1194" t="str">
            <v>Calanche</v>
          </cell>
          <cell r="AF1194">
            <v>13457948.94036</v>
          </cell>
        </row>
        <row r="1195">
          <cell r="M1195" t="str">
            <v>José</v>
          </cell>
          <cell r="N1195" t="str">
            <v>Marcano</v>
          </cell>
          <cell r="AF1195">
            <v>16650706.650119999</v>
          </cell>
        </row>
        <row r="1196">
          <cell r="M1196" t="str">
            <v>José</v>
          </cell>
          <cell r="N1196" t="str">
            <v>Morales</v>
          </cell>
          <cell r="AF1196">
            <v>21532625.974259999</v>
          </cell>
        </row>
        <row r="1197">
          <cell r="M1197" t="str">
            <v>José</v>
          </cell>
          <cell r="N1197" t="str">
            <v>Sanabria</v>
          </cell>
          <cell r="AF1197">
            <v>14050766.738520002</v>
          </cell>
        </row>
        <row r="1198">
          <cell r="M1198" t="str">
            <v>Josue</v>
          </cell>
          <cell r="N1198" t="str">
            <v>Acosta</v>
          </cell>
          <cell r="AF1198">
            <v>20643949.104839999</v>
          </cell>
        </row>
        <row r="1199">
          <cell r="M1199" t="str">
            <v>Josue</v>
          </cell>
          <cell r="N1199" t="str">
            <v>Castro</v>
          </cell>
          <cell r="AF1199">
            <v>14050768.675139997</v>
          </cell>
        </row>
        <row r="1200">
          <cell r="M1200" t="str">
            <v>Juan</v>
          </cell>
          <cell r="N1200" t="str">
            <v>Bello</v>
          </cell>
          <cell r="AF1200">
            <v>18325459.890000001</v>
          </cell>
        </row>
        <row r="1201">
          <cell r="M1201" t="str">
            <v>Juan</v>
          </cell>
          <cell r="N1201" t="str">
            <v>Blanco</v>
          </cell>
          <cell r="AF1201">
            <v>15493296.695220001</v>
          </cell>
        </row>
        <row r="1202">
          <cell r="M1202" t="str">
            <v>Juan</v>
          </cell>
          <cell r="N1202" t="str">
            <v>Colmenares</v>
          </cell>
          <cell r="AF1202">
            <v>98130961.67121999</v>
          </cell>
        </row>
        <row r="1203">
          <cell r="M1203" t="str">
            <v>Juan</v>
          </cell>
          <cell r="N1203" t="str">
            <v>Colmenares</v>
          </cell>
          <cell r="AF1203">
            <v>16650706.650119999</v>
          </cell>
        </row>
        <row r="1204">
          <cell r="M1204" t="str">
            <v>Juan</v>
          </cell>
          <cell r="N1204" t="str">
            <v>Coronado</v>
          </cell>
          <cell r="AF1204">
            <v>16650706.650119999</v>
          </cell>
        </row>
        <row r="1205">
          <cell r="M1205" t="str">
            <v>Juan</v>
          </cell>
          <cell r="N1205" t="str">
            <v>Delgado</v>
          </cell>
          <cell r="AF1205">
            <v>18325459.890000001</v>
          </cell>
        </row>
        <row r="1206">
          <cell r="M1206" t="str">
            <v>Juan</v>
          </cell>
          <cell r="N1206" t="str">
            <v>Duin</v>
          </cell>
          <cell r="AF1206">
            <v>62732247.839999996</v>
          </cell>
        </row>
        <row r="1207">
          <cell r="M1207" t="str">
            <v>Juan</v>
          </cell>
          <cell r="N1207" t="str">
            <v>Espinoza</v>
          </cell>
          <cell r="AF1207">
            <v>15493296.695220001</v>
          </cell>
        </row>
        <row r="1208">
          <cell r="M1208" t="str">
            <v>Juan</v>
          </cell>
          <cell r="N1208" t="str">
            <v>Flores</v>
          </cell>
          <cell r="AF1208">
            <v>14740509.731579999</v>
          </cell>
        </row>
        <row r="1209">
          <cell r="M1209" t="str">
            <v>Juan</v>
          </cell>
          <cell r="N1209" t="str">
            <v>Giraldo</v>
          </cell>
          <cell r="AF1209">
            <v>16650706.650119999</v>
          </cell>
        </row>
        <row r="1210">
          <cell r="M1210" t="str">
            <v>Juan</v>
          </cell>
          <cell r="N1210" t="str">
            <v>Jaramillo</v>
          </cell>
          <cell r="AF1210">
            <v>15493296.695220001</v>
          </cell>
        </row>
        <row r="1211">
          <cell r="M1211" t="str">
            <v>Juan</v>
          </cell>
          <cell r="N1211" t="str">
            <v>Lamarca</v>
          </cell>
          <cell r="AF1211">
            <v>77004995.778779998</v>
          </cell>
        </row>
        <row r="1212">
          <cell r="M1212" t="str">
            <v>Juan</v>
          </cell>
          <cell r="N1212" t="str">
            <v>Marino</v>
          </cell>
          <cell r="AF1212">
            <v>16650706.650119999</v>
          </cell>
        </row>
        <row r="1213">
          <cell r="M1213" t="str">
            <v>Juan</v>
          </cell>
          <cell r="N1213" t="str">
            <v>Martinez</v>
          </cell>
          <cell r="AF1213">
            <v>14740509.731579999</v>
          </cell>
        </row>
        <row r="1214">
          <cell r="M1214" t="str">
            <v>Juan</v>
          </cell>
          <cell r="N1214" t="str">
            <v>Matos</v>
          </cell>
          <cell r="AF1214">
            <v>16650706.650119999</v>
          </cell>
        </row>
        <row r="1215">
          <cell r="M1215" t="str">
            <v>Juan</v>
          </cell>
          <cell r="N1215" t="str">
            <v>Molina</v>
          </cell>
          <cell r="AF1215">
            <v>13457948.929919999</v>
          </cell>
        </row>
        <row r="1216">
          <cell r="M1216" t="str">
            <v>Juan</v>
          </cell>
          <cell r="N1216" t="str">
            <v>Moran</v>
          </cell>
          <cell r="AF1216">
            <v>8584759.8000000007</v>
          </cell>
        </row>
        <row r="1217">
          <cell r="M1217" t="str">
            <v>Juan</v>
          </cell>
          <cell r="N1217" t="str">
            <v>Perez</v>
          </cell>
          <cell r="AF1217">
            <v>14740509.731579999</v>
          </cell>
        </row>
        <row r="1218">
          <cell r="M1218" t="str">
            <v>Juan</v>
          </cell>
          <cell r="N1218" t="str">
            <v>Perez</v>
          </cell>
          <cell r="AF1218">
            <v>16650706.650119999</v>
          </cell>
        </row>
        <row r="1219">
          <cell r="M1219" t="str">
            <v>Juan</v>
          </cell>
          <cell r="N1219" t="str">
            <v>Ramirez</v>
          </cell>
          <cell r="AF1219">
            <v>14740509.731579999</v>
          </cell>
        </row>
        <row r="1220">
          <cell r="M1220" t="str">
            <v>Juan</v>
          </cell>
          <cell r="N1220" t="str">
            <v>Roas</v>
          </cell>
          <cell r="AF1220">
            <v>14740509.731579999</v>
          </cell>
        </row>
        <row r="1221">
          <cell r="M1221" t="str">
            <v>Juan</v>
          </cell>
          <cell r="N1221" t="str">
            <v>Santana</v>
          </cell>
          <cell r="AF1221">
            <v>14740509.731579999</v>
          </cell>
        </row>
        <row r="1222">
          <cell r="M1222" t="str">
            <v>Juan</v>
          </cell>
          <cell r="N1222" t="str">
            <v>Seijas</v>
          </cell>
          <cell r="AF1222">
            <v>14740509.731579999</v>
          </cell>
        </row>
        <row r="1223">
          <cell r="M1223" t="str">
            <v>Juan</v>
          </cell>
          <cell r="N1223" t="str">
            <v>Tovar</v>
          </cell>
          <cell r="AF1223">
            <v>16650706.650119999</v>
          </cell>
        </row>
        <row r="1224">
          <cell r="M1224" t="str">
            <v>Juan</v>
          </cell>
          <cell r="N1224" t="str">
            <v>Valentiner</v>
          </cell>
          <cell r="AF1224">
            <v>14740509.731579999</v>
          </cell>
        </row>
        <row r="1225">
          <cell r="M1225" t="str">
            <v>Julian</v>
          </cell>
          <cell r="N1225" t="str">
            <v>Bernique</v>
          </cell>
          <cell r="AF1225">
            <v>25715505.808980003</v>
          </cell>
        </row>
        <row r="1226">
          <cell r="M1226" t="str">
            <v>Julian</v>
          </cell>
          <cell r="N1226" t="str">
            <v>Obregon</v>
          </cell>
          <cell r="AF1226">
            <v>14740509.731579999</v>
          </cell>
        </row>
        <row r="1227">
          <cell r="M1227" t="str">
            <v>Julio</v>
          </cell>
          <cell r="N1227" t="str">
            <v>Feo</v>
          </cell>
          <cell r="AF1227">
            <v>78208478</v>
          </cell>
        </row>
        <row r="1228">
          <cell r="M1228" t="str">
            <v>Julio</v>
          </cell>
          <cell r="N1228" t="str">
            <v>Ortega</v>
          </cell>
          <cell r="AF1228">
            <v>17640227.879999999</v>
          </cell>
        </row>
        <row r="1229">
          <cell r="M1229" t="str">
            <v>Julio</v>
          </cell>
          <cell r="N1229" t="str">
            <v>Pulido</v>
          </cell>
          <cell r="AF1229">
            <v>16650706.650119999</v>
          </cell>
        </row>
        <row r="1230">
          <cell r="M1230" t="str">
            <v>Julio</v>
          </cell>
          <cell r="N1230" t="str">
            <v>Rivero</v>
          </cell>
          <cell r="AF1230">
            <v>26925070.094100002</v>
          </cell>
        </row>
        <row r="1231">
          <cell r="M1231" t="str">
            <v>Karina</v>
          </cell>
          <cell r="N1231" t="str">
            <v>Herrera</v>
          </cell>
          <cell r="AF1231">
            <v>17940013.873739999</v>
          </cell>
        </row>
        <row r="1232">
          <cell r="M1232" t="str">
            <v>Karina</v>
          </cell>
          <cell r="N1232" t="str">
            <v>Tovar</v>
          </cell>
          <cell r="AF1232">
            <v>12991854.889799999</v>
          </cell>
        </row>
        <row r="1233">
          <cell r="M1233" t="str">
            <v>Keyron</v>
          </cell>
          <cell r="N1233" t="str">
            <v>Parra</v>
          </cell>
          <cell r="AF1233">
            <v>20628445.59</v>
          </cell>
        </row>
        <row r="1234">
          <cell r="M1234" t="str">
            <v>Klebher</v>
          </cell>
          <cell r="N1234" t="str">
            <v>Paoli</v>
          </cell>
          <cell r="AF1234">
            <v>13457948.94036</v>
          </cell>
        </row>
        <row r="1235">
          <cell r="M1235" t="str">
            <v>Kovasquy</v>
          </cell>
          <cell r="N1235" t="str">
            <v>Hinojosa</v>
          </cell>
          <cell r="AF1235">
            <v>15493295.066579999</v>
          </cell>
        </row>
        <row r="1236">
          <cell r="M1236" t="str">
            <v>Kyrha</v>
          </cell>
          <cell r="N1236" t="str">
            <v>Paoli</v>
          </cell>
          <cell r="AF1236">
            <v>19953700.560000002</v>
          </cell>
        </row>
        <row r="1237">
          <cell r="M1237" t="str">
            <v>Larry</v>
          </cell>
          <cell r="N1237" t="str">
            <v>Gonzalez</v>
          </cell>
          <cell r="AF1237">
            <v>14740509.731579999</v>
          </cell>
        </row>
        <row r="1238">
          <cell r="M1238" t="str">
            <v>Leandro</v>
          </cell>
          <cell r="N1238" t="str">
            <v>Trujillo</v>
          </cell>
          <cell r="AF1238">
            <v>13457948.94036</v>
          </cell>
        </row>
        <row r="1239">
          <cell r="M1239" t="str">
            <v>Leidenz</v>
          </cell>
          <cell r="N1239" t="str">
            <v>Manuel</v>
          </cell>
          <cell r="AF1239">
            <v>66678648.233220004</v>
          </cell>
        </row>
        <row r="1240">
          <cell r="M1240" t="str">
            <v>Leismar</v>
          </cell>
          <cell r="N1240" t="str">
            <v>Lugo</v>
          </cell>
          <cell r="AF1240">
            <v>18604175.698259998</v>
          </cell>
        </row>
        <row r="1241">
          <cell r="M1241" t="str">
            <v>Leon</v>
          </cell>
          <cell r="N1241" t="str">
            <v>Rivas</v>
          </cell>
          <cell r="AF1241">
            <v>14740509.731579999</v>
          </cell>
        </row>
        <row r="1242">
          <cell r="M1242" t="str">
            <v>Leonardo</v>
          </cell>
          <cell r="N1242" t="str">
            <v>Aguilar</v>
          </cell>
          <cell r="AF1242">
            <v>53787401.999999993</v>
          </cell>
        </row>
        <row r="1243">
          <cell r="M1243" t="str">
            <v>Leonardo</v>
          </cell>
          <cell r="N1243" t="str">
            <v>Carrizales</v>
          </cell>
          <cell r="AF1243">
            <v>13457951.539919998</v>
          </cell>
        </row>
        <row r="1244">
          <cell r="M1244" t="str">
            <v>Leonardo</v>
          </cell>
          <cell r="N1244" t="str">
            <v>Gomez</v>
          </cell>
          <cell r="AF1244">
            <v>16650706.650119999</v>
          </cell>
        </row>
        <row r="1245">
          <cell r="M1245" t="str">
            <v>Leonardo</v>
          </cell>
          <cell r="N1245" t="str">
            <v>Mejia</v>
          </cell>
          <cell r="AF1245">
            <v>26990485.02</v>
          </cell>
        </row>
        <row r="1246">
          <cell r="M1246" t="str">
            <v>Leonardo</v>
          </cell>
          <cell r="N1246" t="str">
            <v>Moreno</v>
          </cell>
          <cell r="AF1246">
            <v>50551947.326339997</v>
          </cell>
        </row>
        <row r="1247">
          <cell r="M1247" t="str">
            <v>Liliana</v>
          </cell>
          <cell r="N1247" t="str">
            <v>Gomez</v>
          </cell>
          <cell r="AF1247">
            <v>39326155.790399991</v>
          </cell>
        </row>
        <row r="1248">
          <cell r="M1248" t="str">
            <v>Lilibeth</v>
          </cell>
          <cell r="N1248" t="str">
            <v>Virahonda</v>
          </cell>
          <cell r="AF1248">
            <v>22080174.611760002</v>
          </cell>
        </row>
        <row r="1249">
          <cell r="M1249" t="str">
            <v>Lisett</v>
          </cell>
          <cell r="N1249" t="str">
            <v>Arellano</v>
          </cell>
          <cell r="AF1249">
            <v>20946706.406100001</v>
          </cell>
        </row>
        <row r="1250">
          <cell r="M1250" t="str">
            <v>Lorena</v>
          </cell>
          <cell r="N1250" t="str">
            <v>Palma</v>
          </cell>
          <cell r="AF1250">
            <v>17908483.465979997</v>
          </cell>
        </row>
        <row r="1251">
          <cell r="M1251" t="str">
            <v>Lucas</v>
          </cell>
          <cell r="N1251" t="str">
            <v>Ortiz</v>
          </cell>
          <cell r="AF1251">
            <v>16650706.650119999</v>
          </cell>
        </row>
        <row r="1252">
          <cell r="M1252" t="str">
            <v>Lucy</v>
          </cell>
          <cell r="N1252" t="str">
            <v>Gonzalez</v>
          </cell>
          <cell r="AF1252">
            <v>41310245.890979998</v>
          </cell>
        </row>
        <row r="1253">
          <cell r="M1253" t="str">
            <v>Luimar</v>
          </cell>
          <cell r="N1253" t="str">
            <v>Valero</v>
          </cell>
          <cell r="AF1253">
            <v>8584759.8000000007</v>
          </cell>
        </row>
        <row r="1254">
          <cell r="M1254" t="str">
            <v>Luis</v>
          </cell>
          <cell r="N1254" t="str">
            <v>Abreu</v>
          </cell>
          <cell r="AF1254">
            <v>16650706.650119999</v>
          </cell>
        </row>
        <row r="1255">
          <cell r="M1255" t="str">
            <v>Luis</v>
          </cell>
          <cell r="N1255" t="str">
            <v>Araujo</v>
          </cell>
          <cell r="AF1255">
            <v>106955987.5377</v>
          </cell>
        </row>
        <row r="1256">
          <cell r="M1256" t="str">
            <v>Luis</v>
          </cell>
          <cell r="N1256" t="str">
            <v>Briceno</v>
          </cell>
          <cell r="AF1256">
            <v>15493296.695220001</v>
          </cell>
        </row>
        <row r="1257">
          <cell r="M1257" t="str">
            <v>Luis</v>
          </cell>
          <cell r="N1257" t="str">
            <v>Contreras</v>
          </cell>
          <cell r="AF1257">
            <v>22494392.845199998</v>
          </cell>
        </row>
        <row r="1258">
          <cell r="M1258" t="str">
            <v>Luis</v>
          </cell>
          <cell r="N1258" t="str">
            <v>Cordero</v>
          </cell>
          <cell r="AF1258">
            <v>10697346</v>
          </cell>
        </row>
        <row r="1259">
          <cell r="M1259" t="str">
            <v>Luis</v>
          </cell>
          <cell r="N1259" t="str">
            <v>Diaz</v>
          </cell>
          <cell r="AF1259">
            <v>13457951.539919998</v>
          </cell>
        </row>
        <row r="1260">
          <cell r="M1260" t="str">
            <v>Luis</v>
          </cell>
          <cell r="N1260" t="str">
            <v>Gomez</v>
          </cell>
          <cell r="AF1260">
            <v>15493296.695220001</v>
          </cell>
        </row>
        <row r="1261">
          <cell r="M1261" t="str">
            <v>Luis</v>
          </cell>
          <cell r="N1261" t="str">
            <v>Gonzalez</v>
          </cell>
          <cell r="AF1261">
            <v>14740509.731579999</v>
          </cell>
        </row>
        <row r="1262">
          <cell r="M1262" t="str">
            <v>Luis</v>
          </cell>
          <cell r="N1262" t="str">
            <v>Gonzalez</v>
          </cell>
          <cell r="AF1262">
            <v>14740509.731579999</v>
          </cell>
        </row>
        <row r="1263">
          <cell r="M1263" t="str">
            <v>Luis</v>
          </cell>
          <cell r="N1263" t="str">
            <v>Hernandez</v>
          </cell>
          <cell r="AF1263">
            <v>15493296.695220001</v>
          </cell>
        </row>
        <row r="1264">
          <cell r="M1264" t="str">
            <v>Luis</v>
          </cell>
          <cell r="N1264" t="str">
            <v>Herrera</v>
          </cell>
          <cell r="AF1264">
            <v>16650706.650119999</v>
          </cell>
        </row>
        <row r="1265">
          <cell r="M1265" t="str">
            <v>Luis</v>
          </cell>
          <cell r="N1265" t="str">
            <v>La rosa</v>
          </cell>
          <cell r="AF1265">
            <v>14740509.731579999</v>
          </cell>
        </row>
        <row r="1266">
          <cell r="M1266" t="str">
            <v>Luis</v>
          </cell>
          <cell r="N1266" t="str">
            <v>Limpio</v>
          </cell>
          <cell r="AF1266">
            <v>13457948.91426</v>
          </cell>
        </row>
        <row r="1267">
          <cell r="M1267" t="str">
            <v>Luis</v>
          </cell>
          <cell r="N1267" t="str">
            <v>Maita</v>
          </cell>
          <cell r="AF1267">
            <v>17068049.75826</v>
          </cell>
        </row>
        <row r="1268">
          <cell r="M1268" t="str">
            <v>Luis</v>
          </cell>
          <cell r="N1268" t="str">
            <v>Matos</v>
          </cell>
          <cell r="AF1268">
            <v>17890854.001739997</v>
          </cell>
        </row>
        <row r="1269">
          <cell r="M1269" t="str">
            <v>Luis</v>
          </cell>
          <cell r="N1269" t="str">
            <v>Mora</v>
          </cell>
          <cell r="AF1269">
            <v>13457948.219999997</v>
          </cell>
        </row>
        <row r="1270">
          <cell r="M1270" t="str">
            <v>Luis</v>
          </cell>
          <cell r="N1270" t="str">
            <v>Muñoz</v>
          </cell>
          <cell r="AF1270">
            <v>16650706.650119999</v>
          </cell>
        </row>
        <row r="1271">
          <cell r="M1271" t="str">
            <v>Luis</v>
          </cell>
          <cell r="N1271" t="str">
            <v>Muñoz</v>
          </cell>
          <cell r="AF1271">
            <v>13457951.539919998</v>
          </cell>
        </row>
        <row r="1272">
          <cell r="M1272" t="str">
            <v>Luis</v>
          </cell>
          <cell r="N1272" t="str">
            <v>Ojeda</v>
          </cell>
          <cell r="AF1272">
            <v>22974099.987599999</v>
          </cell>
        </row>
        <row r="1273">
          <cell r="M1273" t="str">
            <v>Luis</v>
          </cell>
          <cell r="N1273" t="str">
            <v>Oropeza</v>
          </cell>
          <cell r="AF1273">
            <v>14740509.731579999</v>
          </cell>
        </row>
        <row r="1274">
          <cell r="M1274" t="str">
            <v>Luis</v>
          </cell>
          <cell r="N1274" t="str">
            <v>Orta</v>
          </cell>
          <cell r="AF1274">
            <v>24484249.918260001</v>
          </cell>
        </row>
        <row r="1275">
          <cell r="M1275" t="str">
            <v>Luis</v>
          </cell>
          <cell r="N1275" t="str">
            <v>Osorio</v>
          </cell>
          <cell r="AF1275">
            <v>16650706.650119999</v>
          </cell>
        </row>
        <row r="1276">
          <cell r="M1276" t="str">
            <v>Luis</v>
          </cell>
          <cell r="N1276" t="str">
            <v>Perez</v>
          </cell>
          <cell r="AF1276">
            <v>13457948.94036</v>
          </cell>
        </row>
        <row r="1277">
          <cell r="M1277" t="str">
            <v>Luis</v>
          </cell>
          <cell r="N1277" t="str">
            <v>Quesada</v>
          </cell>
          <cell r="AF1277">
            <v>14740509.731579999</v>
          </cell>
        </row>
        <row r="1278">
          <cell r="M1278" t="str">
            <v>Luis</v>
          </cell>
          <cell r="N1278" t="str">
            <v>Ramirez</v>
          </cell>
          <cell r="AF1278">
            <v>21671956.293299999</v>
          </cell>
        </row>
        <row r="1279">
          <cell r="M1279" t="str">
            <v>Luis</v>
          </cell>
          <cell r="N1279" t="str">
            <v>Ramirez</v>
          </cell>
          <cell r="AF1279">
            <v>16650706.650119999</v>
          </cell>
        </row>
        <row r="1280">
          <cell r="M1280" t="str">
            <v>Luis</v>
          </cell>
          <cell r="N1280" t="str">
            <v>Riera</v>
          </cell>
          <cell r="AF1280">
            <v>14050768.675139997</v>
          </cell>
        </row>
        <row r="1281">
          <cell r="M1281" t="str">
            <v>Luis</v>
          </cell>
          <cell r="N1281" t="str">
            <v>Rivas</v>
          </cell>
          <cell r="AF1281">
            <v>13457951.539919998</v>
          </cell>
        </row>
        <row r="1282">
          <cell r="M1282" t="str">
            <v>Luis</v>
          </cell>
          <cell r="N1282" t="str">
            <v>Solorzano</v>
          </cell>
          <cell r="AF1282">
            <v>24893095.89474</v>
          </cell>
        </row>
        <row r="1283">
          <cell r="M1283" t="str">
            <v>Luis</v>
          </cell>
          <cell r="N1283" t="str">
            <v>Yrun</v>
          </cell>
          <cell r="AF1283">
            <v>23179741.783200003</v>
          </cell>
        </row>
        <row r="1284">
          <cell r="M1284" t="str">
            <v>Luismir</v>
          </cell>
          <cell r="N1284" t="str">
            <v>Escobar</v>
          </cell>
          <cell r="AF1284">
            <v>15493296.695220001</v>
          </cell>
        </row>
        <row r="1285">
          <cell r="M1285" t="str">
            <v>Magaly</v>
          </cell>
          <cell r="N1285" t="str">
            <v>Muñoz</v>
          </cell>
          <cell r="AF1285">
            <v>13408500.026520003</v>
          </cell>
        </row>
        <row r="1286">
          <cell r="M1286" t="str">
            <v>Magaly</v>
          </cell>
          <cell r="N1286" t="str">
            <v>Perez</v>
          </cell>
          <cell r="AF1286">
            <v>59295599.661599994</v>
          </cell>
        </row>
        <row r="1287">
          <cell r="M1287" t="str">
            <v>Mairyn</v>
          </cell>
          <cell r="N1287" t="str">
            <v>Pereda</v>
          </cell>
          <cell r="AF1287">
            <v>23508692.04744</v>
          </cell>
        </row>
        <row r="1288">
          <cell r="M1288" t="str">
            <v>Manuel</v>
          </cell>
          <cell r="N1288" t="str">
            <v>Campos</v>
          </cell>
          <cell r="AF1288">
            <v>15493296.695220001</v>
          </cell>
        </row>
        <row r="1289">
          <cell r="M1289" t="str">
            <v>Manuel</v>
          </cell>
          <cell r="N1289" t="str">
            <v>De Abreu</v>
          </cell>
          <cell r="AF1289">
            <v>13457948.94036</v>
          </cell>
        </row>
        <row r="1290">
          <cell r="M1290" t="str">
            <v>Manuel</v>
          </cell>
          <cell r="N1290" t="str">
            <v>Macero</v>
          </cell>
          <cell r="AF1290">
            <v>16650706.650119999</v>
          </cell>
        </row>
        <row r="1291">
          <cell r="M1291" t="str">
            <v>Manuel</v>
          </cell>
          <cell r="N1291" t="str">
            <v>Peña</v>
          </cell>
          <cell r="AF1291">
            <v>14740509.731579999</v>
          </cell>
        </row>
        <row r="1292">
          <cell r="M1292" t="str">
            <v>Manuel</v>
          </cell>
          <cell r="N1292" t="str">
            <v>Ruiz</v>
          </cell>
          <cell r="AF1292">
            <v>112727353.12271999</v>
          </cell>
        </row>
        <row r="1293">
          <cell r="M1293" t="str">
            <v>Manuel</v>
          </cell>
          <cell r="N1293" t="str">
            <v>Viera</v>
          </cell>
          <cell r="AF1293">
            <v>21809023.220339999</v>
          </cell>
        </row>
        <row r="1294">
          <cell r="M1294" t="str">
            <v>Manyuri</v>
          </cell>
          <cell r="N1294" t="str">
            <v>Aguilar</v>
          </cell>
          <cell r="AF1294">
            <v>13311868.25826</v>
          </cell>
        </row>
        <row r="1295">
          <cell r="M1295" t="str">
            <v>Marbel</v>
          </cell>
          <cell r="N1295" t="str">
            <v>Arteta</v>
          </cell>
          <cell r="AF1295">
            <v>14894401.74174</v>
          </cell>
        </row>
        <row r="1296">
          <cell r="M1296" t="str">
            <v>Marcelino</v>
          </cell>
          <cell r="N1296" t="str">
            <v>Bustamante</v>
          </cell>
          <cell r="AF1296">
            <v>13457948.94036</v>
          </cell>
        </row>
        <row r="1297">
          <cell r="M1297" t="str">
            <v>Marco</v>
          </cell>
          <cell r="N1297" t="str">
            <v>Celis</v>
          </cell>
          <cell r="AF1297">
            <v>19597039.706519999</v>
          </cell>
        </row>
        <row r="1298">
          <cell r="M1298" t="str">
            <v>Marco</v>
          </cell>
          <cell r="N1298" t="str">
            <v>Guzman</v>
          </cell>
          <cell r="AF1298">
            <v>16120646.69868</v>
          </cell>
        </row>
        <row r="1299">
          <cell r="M1299" t="str">
            <v>Marcos</v>
          </cell>
          <cell r="N1299" t="str">
            <v>Arraez</v>
          </cell>
          <cell r="AF1299">
            <v>126772355.89026001</v>
          </cell>
        </row>
        <row r="1300">
          <cell r="M1300" t="str">
            <v>Marcos</v>
          </cell>
          <cell r="N1300" t="str">
            <v>Rivero</v>
          </cell>
          <cell r="AF1300">
            <v>42692937.541739993</v>
          </cell>
        </row>
        <row r="1301">
          <cell r="M1301" t="str">
            <v>Marcos</v>
          </cell>
          <cell r="N1301" t="str">
            <v>Salazar</v>
          </cell>
          <cell r="AF1301">
            <v>14740509.731579999</v>
          </cell>
        </row>
        <row r="1302">
          <cell r="M1302" t="str">
            <v>Maria</v>
          </cell>
          <cell r="N1302" t="str">
            <v>De freitas</v>
          </cell>
          <cell r="AF1302">
            <v>30901469.028659996</v>
          </cell>
        </row>
        <row r="1303">
          <cell r="M1303" t="str">
            <v>Maria</v>
          </cell>
          <cell r="N1303" t="str">
            <v>Fernandez</v>
          </cell>
          <cell r="AF1303">
            <v>65598604.244539998</v>
          </cell>
        </row>
        <row r="1304">
          <cell r="M1304" t="str">
            <v>Maria</v>
          </cell>
          <cell r="N1304" t="str">
            <v>Mena</v>
          </cell>
          <cell r="AF1304">
            <v>24947084.893140003</v>
          </cell>
        </row>
        <row r="1305">
          <cell r="M1305" t="str">
            <v>Maria</v>
          </cell>
          <cell r="N1305" t="str">
            <v>Moreno</v>
          </cell>
          <cell r="AF1305">
            <v>106955964.91943999</v>
          </cell>
        </row>
        <row r="1306">
          <cell r="M1306" t="str">
            <v>Maria</v>
          </cell>
          <cell r="N1306" t="str">
            <v>Olave</v>
          </cell>
          <cell r="AF1306">
            <v>24098674.618259996</v>
          </cell>
        </row>
        <row r="1307">
          <cell r="M1307" t="str">
            <v>Maria</v>
          </cell>
          <cell r="N1307" t="str">
            <v>Rivas</v>
          </cell>
          <cell r="AF1307">
            <v>8686123.3625399992</v>
          </cell>
        </row>
        <row r="1308">
          <cell r="M1308" t="str">
            <v>Maria</v>
          </cell>
          <cell r="N1308" t="str">
            <v>Rondon</v>
          </cell>
          <cell r="AF1308">
            <v>41192490.520979993</v>
          </cell>
        </row>
        <row r="1309">
          <cell r="M1309" t="str">
            <v>Maria</v>
          </cell>
          <cell r="N1309" t="str">
            <v>Villalonga</v>
          </cell>
          <cell r="AF1309">
            <v>14894401.74174</v>
          </cell>
        </row>
        <row r="1310">
          <cell r="M1310" t="str">
            <v>María</v>
          </cell>
          <cell r="N1310" t="str">
            <v>Rigutto</v>
          </cell>
          <cell r="AF1310">
            <v>22709084.518259998</v>
          </cell>
        </row>
        <row r="1311">
          <cell r="M1311" t="str">
            <v>Marian</v>
          </cell>
          <cell r="N1311" t="str">
            <v>Campos</v>
          </cell>
          <cell r="AF1311">
            <v>12125903.399999999</v>
          </cell>
        </row>
        <row r="1312">
          <cell r="M1312" t="str">
            <v>Maribel</v>
          </cell>
          <cell r="N1312" t="str">
            <v>Albani</v>
          </cell>
          <cell r="AF1312">
            <v>106955987.5377</v>
          </cell>
        </row>
        <row r="1313">
          <cell r="M1313" t="str">
            <v>Maridel</v>
          </cell>
          <cell r="N1313" t="str">
            <v>Martinez</v>
          </cell>
          <cell r="AF1313">
            <v>25775266.5405</v>
          </cell>
        </row>
        <row r="1314">
          <cell r="M1314" t="str">
            <v>Marinic</v>
          </cell>
          <cell r="N1314" t="str">
            <v>González</v>
          </cell>
          <cell r="AF1314">
            <v>22170768.541739997</v>
          </cell>
        </row>
        <row r="1315">
          <cell r="M1315" t="str">
            <v>Mario</v>
          </cell>
          <cell r="N1315" t="str">
            <v>Martinez</v>
          </cell>
          <cell r="AF1315">
            <v>15493296.695220001</v>
          </cell>
        </row>
        <row r="1316">
          <cell r="M1316" t="str">
            <v>Mario</v>
          </cell>
          <cell r="N1316" t="str">
            <v>Monroy</v>
          </cell>
          <cell r="AF1316">
            <v>10697346</v>
          </cell>
        </row>
        <row r="1317">
          <cell r="M1317" t="str">
            <v>Marlon</v>
          </cell>
          <cell r="N1317" t="str">
            <v>Marin</v>
          </cell>
          <cell r="AF1317">
            <v>14740509.731579999</v>
          </cell>
        </row>
        <row r="1318">
          <cell r="M1318" t="str">
            <v>Martha</v>
          </cell>
          <cell r="N1318" t="str">
            <v>Fernandez</v>
          </cell>
          <cell r="AF1318">
            <v>91455238.902819991</v>
          </cell>
        </row>
        <row r="1319">
          <cell r="M1319" t="str">
            <v>Martin</v>
          </cell>
          <cell r="N1319" t="str">
            <v>Ceballos</v>
          </cell>
          <cell r="AF1319">
            <v>15639119.999999998</v>
          </cell>
        </row>
        <row r="1320">
          <cell r="M1320" t="str">
            <v>Martin</v>
          </cell>
          <cell r="N1320" t="str">
            <v>Villazana</v>
          </cell>
          <cell r="AF1320">
            <v>15493296.695220001</v>
          </cell>
        </row>
        <row r="1321">
          <cell r="M1321" t="str">
            <v>Mary</v>
          </cell>
          <cell r="N1321" t="str">
            <v>Milano</v>
          </cell>
          <cell r="AF1321">
            <v>18576866.3913</v>
          </cell>
        </row>
        <row r="1322">
          <cell r="M1322" t="str">
            <v>Mary</v>
          </cell>
          <cell r="N1322" t="str">
            <v>Ramirez</v>
          </cell>
          <cell r="AF1322">
            <v>8584759.8000000007</v>
          </cell>
        </row>
        <row r="1323">
          <cell r="M1323" t="str">
            <v>Maryuri</v>
          </cell>
          <cell r="N1323" t="str">
            <v>Fuentes</v>
          </cell>
          <cell r="AF1323">
            <v>14894401.74174</v>
          </cell>
        </row>
        <row r="1324">
          <cell r="M1324" t="str">
            <v>Matias</v>
          </cell>
          <cell r="N1324" t="str">
            <v>Ramos</v>
          </cell>
          <cell r="AF1324">
            <v>13457949.587640001</v>
          </cell>
        </row>
        <row r="1325">
          <cell r="M1325" t="str">
            <v>Mauro</v>
          </cell>
          <cell r="N1325" t="str">
            <v>Sanchez</v>
          </cell>
          <cell r="AF1325">
            <v>14740509.731579999</v>
          </cell>
        </row>
        <row r="1326">
          <cell r="M1326" t="str">
            <v>Maximiliano</v>
          </cell>
          <cell r="N1326" t="str">
            <v>Rojas</v>
          </cell>
          <cell r="AF1326">
            <v>14740509.731579999</v>
          </cell>
        </row>
        <row r="1327">
          <cell r="M1327" t="str">
            <v>Maximo</v>
          </cell>
          <cell r="N1327" t="str">
            <v>Brizuela</v>
          </cell>
          <cell r="AF1327">
            <v>14740509.731579999</v>
          </cell>
        </row>
        <row r="1328">
          <cell r="M1328" t="str">
            <v>Maximo</v>
          </cell>
          <cell r="N1328" t="str">
            <v>Castillo</v>
          </cell>
          <cell r="AF1328">
            <v>16650706.650119999</v>
          </cell>
        </row>
        <row r="1329">
          <cell r="M1329" t="str">
            <v>Mayre</v>
          </cell>
          <cell r="N1329" t="str">
            <v>Monroy</v>
          </cell>
          <cell r="AF1329">
            <v>33344837.999999996</v>
          </cell>
        </row>
        <row r="1330">
          <cell r="M1330" t="str">
            <v>Mervin</v>
          </cell>
          <cell r="N1330" t="str">
            <v>Gonzalez</v>
          </cell>
          <cell r="AF1330">
            <v>13457948.94036</v>
          </cell>
        </row>
        <row r="1331">
          <cell r="M1331" t="str">
            <v>Meury</v>
          </cell>
          <cell r="N1331" t="str">
            <v>Echeverria</v>
          </cell>
          <cell r="AF1331">
            <v>23358675.239999995</v>
          </cell>
        </row>
        <row r="1332">
          <cell r="M1332" t="str">
            <v>Michael</v>
          </cell>
          <cell r="N1332" t="str">
            <v>Chavarri</v>
          </cell>
          <cell r="AF1332">
            <v>8584759.8000000007</v>
          </cell>
        </row>
        <row r="1333">
          <cell r="M1333" t="str">
            <v>Michel</v>
          </cell>
          <cell r="N1333" t="str">
            <v>Carmona</v>
          </cell>
          <cell r="AF1333">
            <v>21206818.108259998</v>
          </cell>
        </row>
        <row r="1334">
          <cell r="M1334" t="str">
            <v>Miguel</v>
          </cell>
          <cell r="N1334" t="str">
            <v>Andrade</v>
          </cell>
          <cell r="AF1334">
            <v>14740509.731579999</v>
          </cell>
        </row>
        <row r="1335">
          <cell r="M1335" t="str">
            <v>Miguel</v>
          </cell>
          <cell r="N1335" t="str">
            <v>Azuaje</v>
          </cell>
          <cell r="AF1335">
            <v>15493296.695220001</v>
          </cell>
        </row>
        <row r="1336">
          <cell r="M1336" t="str">
            <v>Miguel</v>
          </cell>
          <cell r="N1336" t="str">
            <v>Bellettini</v>
          </cell>
          <cell r="AF1336">
            <v>127155768.28326</v>
          </cell>
        </row>
        <row r="1337">
          <cell r="M1337" t="str">
            <v>Miguel</v>
          </cell>
          <cell r="N1337" t="str">
            <v>Bolivar</v>
          </cell>
          <cell r="AF1337">
            <v>14050768.675139997</v>
          </cell>
        </row>
        <row r="1338">
          <cell r="M1338" t="str">
            <v>Miguel</v>
          </cell>
          <cell r="N1338" t="str">
            <v>Dale</v>
          </cell>
          <cell r="AF1338">
            <v>14050768.675139997</v>
          </cell>
        </row>
        <row r="1339">
          <cell r="M1339" t="str">
            <v>Miguel</v>
          </cell>
          <cell r="N1339" t="str">
            <v>Hernandez</v>
          </cell>
          <cell r="AF1339">
            <v>26442216.241739996</v>
          </cell>
        </row>
        <row r="1340">
          <cell r="M1340" t="str">
            <v>Miguel</v>
          </cell>
          <cell r="N1340" t="str">
            <v>Hernandez</v>
          </cell>
          <cell r="AF1340">
            <v>15493296.695220001</v>
          </cell>
        </row>
        <row r="1341">
          <cell r="M1341" t="str">
            <v>Miguel</v>
          </cell>
          <cell r="N1341" t="str">
            <v>Hernandez</v>
          </cell>
          <cell r="AF1341">
            <v>15493296.695220001</v>
          </cell>
        </row>
        <row r="1342">
          <cell r="M1342" t="str">
            <v>Miguel</v>
          </cell>
          <cell r="N1342" t="str">
            <v>Marchan</v>
          </cell>
          <cell r="AF1342">
            <v>15493296.695220001</v>
          </cell>
        </row>
        <row r="1343">
          <cell r="M1343" t="str">
            <v>Miguel</v>
          </cell>
          <cell r="N1343" t="str">
            <v>Mijares</v>
          </cell>
          <cell r="AF1343">
            <v>13457948.94036</v>
          </cell>
        </row>
        <row r="1344">
          <cell r="M1344" t="str">
            <v>Miguel</v>
          </cell>
          <cell r="N1344" t="str">
            <v>Quintana</v>
          </cell>
          <cell r="AF1344">
            <v>15493296.695220001</v>
          </cell>
        </row>
        <row r="1345">
          <cell r="M1345" t="str">
            <v>Miguel</v>
          </cell>
          <cell r="N1345" t="str">
            <v>Rivas</v>
          </cell>
          <cell r="AF1345">
            <v>16650706.650119999</v>
          </cell>
        </row>
        <row r="1346">
          <cell r="M1346" t="str">
            <v>Miguel</v>
          </cell>
          <cell r="N1346" t="str">
            <v>Rodriguez</v>
          </cell>
          <cell r="AF1346">
            <v>22170748.528259996</v>
          </cell>
        </row>
        <row r="1347">
          <cell r="M1347" t="str">
            <v>Miguel</v>
          </cell>
          <cell r="N1347" t="str">
            <v>Rodriguez</v>
          </cell>
          <cell r="AF1347">
            <v>14050768.675139997</v>
          </cell>
        </row>
        <row r="1348">
          <cell r="M1348" t="str">
            <v>Miguel</v>
          </cell>
          <cell r="N1348" t="str">
            <v>Saint Pasteur</v>
          </cell>
          <cell r="AF1348">
            <v>16650706.650119999</v>
          </cell>
        </row>
        <row r="1349">
          <cell r="M1349" t="str">
            <v>Miguel</v>
          </cell>
          <cell r="N1349" t="str">
            <v>Stella</v>
          </cell>
          <cell r="AF1349">
            <v>14740509.731579999</v>
          </cell>
        </row>
        <row r="1350">
          <cell r="M1350" t="str">
            <v>Miguel</v>
          </cell>
          <cell r="N1350" t="str">
            <v>Viloria</v>
          </cell>
          <cell r="AF1350">
            <v>14050768.675139997</v>
          </cell>
        </row>
        <row r="1351">
          <cell r="M1351" t="str">
            <v>Miguel</v>
          </cell>
          <cell r="N1351" t="str">
            <v>Zurita</v>
          </cell>
          <cell r="AF1351">
            <v>109291929.74173999</v>
          </cell>
        </row>
        <row r="1352">
          <cell r="M1352" t="str">
            <v>Mileidi</v>
          </cell>
          <cell r="N1352" t="str">
            <v>Sosa</v>
          </cell>
          <cell r="AF1352">
            <v>8584759.8000000007</v>
          </cell>
        </row>
        <row r="1353">
          <cell r="M1353" t="str">
            <v>Mireya</v>
          </cell>
          <cell r="N1353" t="str">
            <v>Martínez</v>
          </cell>
          <cell r="AF1353">
            <v>27765736.530300003</v>
          </cell>
        </row>
        <row r="1354">
          <cell r="M1354" t="str">
            <v>Nain</v>
          </cell>
          <cell r="N1354" t="str">
            <v>Ahmar</v>
          </cell>
          <cell r="AF1354">
            <v>16650709.02</v>
          </cell>
        </row>
        <row r="1355">
          <cell r="M1355" t="str">
            <v>Naires</v>
          </cell>
          <cell r="N1355" t="str">
            <v>Motaban</v>
          </cell>
          <cell r="AF1355">
            <v>20506850.675099999</v>
          </cell>
        </row>
        <row r="1356">
          <cell r="M1356" t="str">
            <v>Narciso</v>
          </cell>
          <cell r="N1356" t="str">
            <v>Travieso</v>
          </cell>
          <cell r="AF1356">
            <v>16650706.650119999</v>
          </cell>
        </row>
        <row r="1357">
          <cell r="M1357" t="str">
            <v>Naylet</v>
          </cell>
          <cell r="N1357" t="str">
            <v>Rossi</v>
          </cell>
          <cell r="AF1357">
            <v>62609448.362859994</v>
          </cell>
        </row>
        <row r="1358">
          <cell r="M1358" t="str">
            <v>Nelly</v>
          </cell>
          <cell r="N1358" t="str">
            <v>Pacheco</v>
          </cell>
          <cell r="AF1358">
            <v>18999088.649099998</v>
          </cell>
        </row>
        <row r="1359">
          <cell r="M1359" t="str">
            <v>Nelson</v>
          </cell>
          <cell r="N1359" t="str">
            <v>Hernandez</v>
          </cell>
          <cell r="AF1359">
            <v>14740509.731579999</v>
          </cell>
        </row>
        <row r="1360">
          <cell r="M1360" t="str">
            <v>Nelson</v>
          </cell>
          <cell r="N1360" t="str">
            <v>Hernandez</v>
          </cell>
          <cell r="AF1360">
            <v>18617998.25826</v>
          </cell>
        </row>
        <row r="1361">
          <cell r="M1361" t="str">
            <v>Nelson</v>
          </cell>
          <cell r="N1361" t="str">
            <v>Orozco</v>
          </cell>
          <cell r="AF1361">
            <v>8584759.8000000007</v>
          </cell>
        </row>
        <row r="1362">
          <cell r="M1362" t="str">
            <v>Nelson</v>
          </cell>
          <cell r="N1362" t="str">
            <v>Velazquez</v>
          </cell>
          <cell r="AF1362">
            <v>8584759.8000000007</v>
          </cell>
        </row>
        <row r="1363">
          <cell r="M1363" t="str">
            <v>Neomar</v>
          </cell>
          <cell r="N1363" t="str">
            <v>Pérez</v>
          </cell>
          <cell r="AF1363">
            <v>16885443.373739999</v>
          </cell>
        </row>
        <row r="1364">
          <cell r="M1364" t="str">
            <v>Neptali</v>
          </cell>
          <cell r="N1364" t="str">
            <v>Cardenas</v>
          </cell>
          <cell r="AF1364">
            <v>19299876.418259997</v>
          </cell>
        </row>
        <row r="1365">
          <cell r="M1365" t="str">
            <v>Nereido</v>
          </cell>
          <cell r="N1365" t="str">
            <v>Palma</v>
          </cell>
          <cell r="AF1365">
            <v>14740509.731579999</v>
          </cell>
        </row>
        <row r="1366">
          <cell r="M1366" t="str">
            <v>Nestor</v>
          </cell>
          <cell r="N1366" t="str">
            <v>Estrada</v>
          </cell>
          <cell r="AF1366">
            <v>8584759.8000000007</v>
          </cell>
        </row>
        <row r="1367">
          <cell r="M1367" t="str">
            <v>Nestor</v>
          </cell>
          <cell r="N1367" t="str">
            <v>Montenegro</v>
          </cell>
          <cell r="AF1367">
            <v>29782140.967800003</v>
          </cell>
        </row>
        <row r="1368">
          <cell r="M1368" t="str">
            <v>Nestor</v>
          </cell>
          <cell r="N1368" t="str">
            <v>Perez</v>
          </cell>
          <cell r="AF1368">
            <v>23179728.607919998</v>
          </cell>
        </row>
        <row r="1369">
          <cell r="M1369" t="str">
            <v>Nicasio</v>
          </cell>
          <cell r="N1369" t="str">
            <v>Peña</v>
          </cell>
          <cell r="AF1369">
            <v>14050768.675139997</v>
          </cell>
        </row>
        <row r="1370">
          <cell r="M1370" t="str">
            <v>Nilo</v>
          </cell>
          <cell r="N1370" t="str">
            <v>Perera</v>
          </cell>
          <cell r="AF1370">
            <v>15493296.695220001</v>
          </cell>
        </row>
        <row r="1371">
          <cell r="M1371" t="str">
            <v>Noel</v>
          </cell>
          <cell r="N1371" t="str">
            <v>Tesorero</v>
          </cell>
          <cell r="AF1371">
            <v>15493296.695220001</v>
          </cell>
        </row>
        <row r="1372">
          <cell r="M1372" t="str">
            <v>Nogar</v>
          </cell>
          <cell r="N1372" t="str">
            <v>Mogollon</v>
          </cell>
          <cell r="AF1372">
            <v>13457948.94036</v>
          </cell>
        </row>
        <row r="1373">
          <cell r="M1373" t="str">
            <v>Nuria</v>
          </cell>
          <cell r="N1373" t="str">
            <v>Ruiz</v>
          </cell>
          <cell r="AF1373">
            <v>20481661.799999997</v>
          </cell>
        </row>
        <row r="1374">
          <cell r="M1374" t="str">
            <v>Odanis</v>
          </cell>
          <cell r="N1374" t="str">
            <v>Sanez</v>
          </cell>
          <cell r="AF1374">
            <v>14740507.3356</v>
          </cell>
        </row>
        <row r="1375">
          <cell r="M1375" t="str">
            <v>Omaily</v>
          </cell>
          <cell r="N1375" t="str">
            <v>De Espiritu San</v>
          </cell>
          <cell r="AF1375">
            <v>8584759.8000000007</v>
          </cell>
        </row>
        <row r="1376">
          <cell r="M1376" t="str">
            <v>Omar</v>
          </cell>
          <cell r="N1376" t="str">
            <v>Lamon</v>
          </cell>
          <cell r="AF1376">
            <v>15493295.066579999</v>
          </cell>
        </row>
        <row r="1377">
          <cell r="M1377" t="str">
            <v>Omar</v>
          </cell>
          <cell r="N1377" t="str">
            <v>Reveron</v>
          </cell>
          <cell r="AF1377">
            <v>18325459.890000001</v>
          </cell>
        </row>
        <row r="1378">
          <cell r="M1378" t="str">
            <v>Orlando</v>
          </cell>
          <cell r="N1378" t="str">
            <v>Ojeda</v>
          </cell>
          <cell r="AF1378">
            <v>16650706.650119999</v>
          </cell>
        </row>
        <row r="1379">
          <cell r="M1379" t="str">
            <v>Orlando</v>
          </cell>
          <cell r="N1379" t="str">
            <v>Ovalles</v>
          </cell>
          <cell r="AF1379">
            <v>16650706.650119999</v>
          </cell>
        </row>
        <row r="1380">
          <cell r="M1380" t="str">
            <v>Orlando</v>
          </cell>
          <cell r="N1380" t="str">
            <v>Perez</v>
          </cell>
          <cell r="AF1380">
            <v>14050766.738520002</v>
          </cell>
        </row>
        <row r="1381">
          <cell r="M1381" t="str">
            <v>Orlando</v>
          </cell>
          <cell r="N1381" t="str">
            <v>Reyes</v>
          </cell>
          <cell r="AF1381">
            <v>16650706.650119999</v>
          </cell>
        </row>
        <row r="1382">
          <cell r="M1382" t="str">
            <v>Oscar</v>
          </cell>
          <cell r="N1382" t="str">
            <v>Molina</v>
          </cell>
          <cell r="AF1382">
            <v>16650706.650119999</v>
          </cell>
        </row>
        <row r="1383">
          <cell r="M1383" t="str">
            <v>Oscar</v>
          </cell>
          <cell r="N1383" t="str">
            <v>Padron</v>
          </cell>
          <cell r="AF1383">
            <v>25735258.476899996</v>
          </cell>
        </row>
        <row r="1384">
          <cell r="M1384" t="str">
            <v>Oswaldo</v>
          </cell>
          <cell r="N1384" t="str">
            <v>Almeida</v>
          </cell>
          <cell r="AF1384">
            <v>16650706.650119999</v>
          </cell>
        </row>
        <row r="1385">
          <cell r="M1385" t="str">
            <v>Oswaldo</v>
          </cell>
          <cell r="N1385" t="str">
            <v>Gutierrez</v>
          </cell>
          <cell r="AF1385">
            <v>24493881.836159993</v>
          </cell>
        </row>
        <row r="1386">
          <cell r="M1386" t="str">
            <v>Oswaldo</v>
          </cell>
          <cell r="N1386" t="str">
            <v>Noguera</v>
          </cell>
          <cell r="AF1386">
            <v>13457948.94036</v>
          </cell>
        </row>
        <row r="1387">
          <cell r="M1387" t="str">
            <v>Oswaldo</v>
          </cell>
          <cell r="N1387" t="str">
            <v>Pocaterra</v>
          </cell>
          <cell r="AF1387">
            <v>13457948.94036</v>
          </cell>
        </row>
        <row r="1388">
          <cell r="M1388" t="str">
            <v>Pablo</v>
          </cell>
          <cell r="N1388" t="str">
            <v>Aular</v>
          </cell>
          <cell r="AF1388">
            <v>13457948.94036</v>
          </cell>
        </row>
        <row r="1389">
          <cell r="M1389" t="str">
            <v>Pablo</v>
          </cell>
          <cell r="N1389" t="str">
            <v>Hernandez</v>
          </cell>
          <cell r="AF1389">
            <v>15493296.695220001</v>
          </cell>
        </row>
        <row r="1390">
          <cell r="M1390" t="str">
            <v>Pablo</v>
          </cell>
          <cell r="N1390" t="str">
            <v>Hernandez</v>
          </cell>
          <cell r="AF1390">
            <v>14050768.675139997</v>
          </cell>
        </row>
        <row r="1391">
          <cell r="M1391" t="str">
            <v>Pablo</v>
          </cell>
          <cell r="N1391" t="str">
            <v>Rodriguez</v>
          </cell>
          <cell r="AF1391">
            <v>20024885.699999999</v>
          </cell>
        </row>
        <row r="1392">
          <cell r="M1392" t="str">
            <v>Pablo</v>
          </cell>
          <cell r="N1392" t="str">
            <v>Salazar</v>
          </cell>
          <cell r="AF1392">
            <v>14050768.675139997</v>
          </cell>
        </row>
        <row r="1393">
          <cell r="M1393" t="str">
            <v>Pablo</v>
          </cell>
          <cell r="N1393" t="str">
            <v>Tovar</v>
          </cell>
          <cell r="AF1393">
            <v>14740509.731579999</v>
          </cell>
        </row>
        <row r="1394">
          <cell r="M1394" t="str">
            <v>Pantaleon</v>
          </cell>
          <cell r="N1394" t="str">
            <v>Rodriguez</v>
          </cell>
          <cell r="AF1394">
            <v>13457948.94036</v>
          </cell>
        </row>
        <row r="1395">
          <cell r="M1395" t="str">
            <v>Paulo</v>
          </cell>
          <cell r="N1395" t="str">
            <v>Salazar</v>
          </cell>
          <cell r="AF1395">
            <v>13457948.94036</v>
          </cell>
        </row>
        <row r="1396">
          <cell r="M1396" t="str">
            <v>Pavel</v>
          </cell>
          <cell r="N1396" t="str">
            <v>Martinez</v>
          </cell>
          <cell r="AF1396">
            <v>13457951.539919998</v>
          </cell>
        </row>
        <row r="1397">
          <cell r="M1397" t="str">
            <v>Pedro</v>
          </cell>
          <cell r="N1397" t="str">
            <v>Aquino</v>
          </cell>
          <cell r="AF1397">
            <v>22185261.041759998</v>
          </cell>
        </row>
        <row r="1398">
          <cell r="M1398" t="str">
            <v>Pedro</v>
          </cell>
          <cell r="N1398" t="str">
            <v>Bernaez</v>
          </cell>
          <cell r="AF1398">
            <v>14050768.675139997</v>
          </cell>
        </row>
        <row r="1399">
          <cell r="M1399" t="str">
            <v>Pedro</v>
          </cell>
          <cell r="N1399" t="str">
            <v>Ceballos</v>
          </cell>
          <cell r="AF1399">
            <v>15493296.695220001</v>
          </cell>
        </row>
        <row r="1400">
          <cell r="M1400" t="str">
            <v>Pedro</v>
          </cell>
          <cell r="N1400" t="str">
            <v>Gomez</v>
          </cell>
          <cell r="AF1400">
            <v>14740509.731579999</v>
          </cell>
        </row>
        <row r="1401">
          <cell r="M1401" t="str">
            <v>Pedro</v>
          </cell>
          <cell r="N1401" t="str">
            <v>Hernandez</v>
          </cell>
          <cell r="AF1401">
            <v>16650706.650119999</v>
          </cell>
        </row>
        <row r="1402">
          <cell r="M1402" t="str">
            <v>Pedro</v>
          </cell>
          <cell r="N1402" t="str">
            <v>Medina</v>
          </cell>
          <cell r="AF1402">
            <v>27682449.415380001</v>
          </cell>
        </row>
        <row r="1403">
          <cell r="M1403" t="str">
            <v>Pedro</v>
          </cell>
          <cell r="N1403" t="str">
            <v>Mudeska</v>
          </cell>
          <cell r="AF1403">
            <v>29380444.198919997</v>
          </cell>
        </row>
        <row r="1404">
          <cell r="M1404" t="str">
            <v>Pedro</v>
          </cell>
          <cell r="N1404" t="str">
            <v>Muñoz</v>
          </cell>
          <cell r="AF1404">
            <v>16650706.650119999</v>
          </cell>
        </row>
        <row r="1405">
          <cell r="M1405" t="str">
            <v>Pedro</v>
          </cell>
          <cell r="N1405" t="str">
            <v>Nieves</v>
          </cell>
          <cell r="AF1405">
            <v>16650706.650119999</v>
          </cell>
        </row>
        <row r="1406">
          <cell r="M1406" t="str">
            <v>Pedro</v>
          </cell>
          <cell r="N1406" t="str">
            <v>Romero</v>
          </cell>
          <cell r="AF1406">
            <v>37431783.489780001</v>
          </cell>
        </row>
        <row r="1407">
          <cell r="M1407" t="str">
            <v>Pedro</v>
          </cell>
          <cell r="N1407" t="str">
            <v>Torrealba</v>
          </cell>
          <cell r="AF1407">
            <v>16650709.02</v>
          </cell>
        </row>
        <row r="1408">
          <cell r="M1408" t="str">
            <v>Pedro</v>
          </cell>
          <cell r="N1408" t="str">
            <v>Vierma</v>
          </cell>
          <cell r="AF1408">
            <v>28792498.09626</v>
          </cell>
        </row>
        <row r="1409">
          <cell r="M1409" t="str">
            <v>Peter</v>
          </cell>
          <cell r="N1409" t="str">
            <v>Carvajal</v>
          </cell>
          <cell r="AF1409">
            <v>20643948.927360002</v>
          </cell>
        </row>
        <row r="1410">
          <cell r="M1410" t="str">
            <v>Rafael</v>
          </cell>
          <cell r="N1410" t="str">
            <v>Abreu</v>
          </cell>
          <cell r="AF1410">
            <v>13457951.539919998</v>
          </cell>
        </row>
        <row r="1411">
          <cell r="M1411" t="str">
            <v>Rafael</v>
          </cell>
          <cell r="N1411" t="str">
            <v>Campos</v>
          </cell>
          <cell r="AF1411">
            <v>13457951.539919998</v>
          </cell>
        </row>
        <row r="1412">
          <cell r="M1412" t="str">
            <v>Rafael</v>
          </cell>
          <cell r="N1412" t="str">
            <v>Castillo</v>
          </cell>
          <cell r="AF1412">
            <v>16650706.650119999</v>
          </cell>
        </row>
        <row r="1413">
          <cell r="M1413" t="str">
            <v>Rafael</v>
          </cell>
          <cell r="N1413" t="str">
            <v>De lucas</v>
          </cell>
          <cell r="AF1413">
            <v>13457948.94036</v>
          </cell>
        </row>
        <row r="1414">
          <cell r="M1414" t="str">
            <v>Rafael</v>
          </cell>
          <cell r="N1414" t="str">
            <v>Delgado</v>
          </cell>
          <cell r="AF1414">
            <v>24809160.836880002</v>
          </cell>
        </row>
        <row r="1415">
          <cell r="M1415" t="str">
            <v>Rafael</v>
          </cell>
          <cell r="N1415" t="str">
            <v>Linares</v>
          </cell>
          <cell r="AF1415">
            <v>15493295.066579999</v>
          </cell>
        </row>
        <row r="1416">
          <cell r="M1416" t="str">
            <v>Rafael</v>
          </cell>
          <cell r="N1416" t="str">
            <v>Osorio</v>
          </cell>
          <cell r="AF1416">
            <v>16650706.650119999</v>
          </cell>
        </row>
        <row r="1417">
          <cell r="M1417" t="str">
            <v>Rafael</v>
          </cell>
          <cell r="N1417" t="str">
            <v>Perez</v>
          </cell>
          <cell r="AF1417">
            <v>15493296.695220001</v>
          </cell>
        </row>
        <row r="1418">
          <cell r="M1418" t="str">
            <v>Rafael</v>
          </cell>
          <cell r="N1418" t="str">
            <v>Sarrameda</v>
          </cell>
          <cell r="AF1418">
            <v>16650706.650119999</v>
          </cell>
        </row>
        <row r="1419">
          <cell r="M1419" t="str">
            <v>Rafael</v>
          </cell>
          <cell r="N1419" t="str">
            <v>Verenzuela</v>
          </cell>
          <cell r="AF1419">
            <v>14050768.675139997</v>
          </cell>
        </row>
        <row r="1420">
          <cell r="M1420" t="str">
            <v>Rains</v>
          </cell>
          <cell r="N1420" t="str">
            <v>Laya</v>
          </cell>
          <cell r="AF1420">
            <v>14740509.731579999</v>
          </cell>
        </row>
        <row r="1421">
          <cell r="M1421" t="str">
            <v>Ramon</v>
          </cell>
          <cell r="N1421" t="str">
            <v>Fernandez</v>
          </cell>
          <cell r="AF1421">
            <v>34813295.132939994</v>
          </cell>
        </row>
        <row r="1422">
          <cell r="M1422" t="str">
            <v>Ramon</v>
          </cell>
          <cell r="N1422" t="str">
            <v>Fuentes</v>
          </cell>
          <cell r="AF1422">
            <v>16650706.650119999</v>
          </cell>
        </row>
        <row r="1423">
          <cell r="M1423" t="str">
            <v>Ramon</v>
          </cell>
          <cell r="N1423" t="str">
            <v>Landaeta</v>
          </cell>
          <cell r="AF1423">
            <v>16650706.650119999</v>
          </cell>
        </row>
        <row r="1424">
          <cell r="M1424" t="str">
            <v>Ramon</v>
          </cell>
          <cell r="N1424" t="str">
            <v>Lima</v>
          </cell>
          <cell r="AF1424">
            <v>16650706.650119999</v>
          </cell>
        </row>
        <row r="1425">
          <cell r="M1425" t="str">
            <v>Ramon</v>
          </cell>
          <cell r="N1425" t="str">
            <v>Regalado</v>
          </cell>
          <cell r="AF1425">
            <v>26223452.999999996</v>
          </cell>
        </row>
        <row r="1426">
          <cell r="M1426" t="str">
            <v>Ramon</v>
          </cell>
          <cell r="N1426" t="str">
            <v>Suarez</v>
          </cell>
          <cell r="AF1426">
            <v>16650706.650119999</v>
          </cell>
        </row>
        <row r="1427">
          <cell r="M1427" t="str">
            <v>Ramón</v>
          </cell>
          <cell r="N1427" t="str">
            <v>Aponte</v>
          </cell>
          <cell r="AF1427">
            <v>25720766.999999996</v>
          </cell>
        </row>
        <row r="1428">
          <cell r="M1428" t="str">
            <v>Ramón</v>
          </cell>
          <cell r="N1428" t="str">
            <v>Infante</v>
          </cell>
          <cell r="AF1428">
            <v>8584759.8000000007</v>
          </cell>
        </row>
        <row r="1429">
          <cell r="M1429" t="str">
            <v>Randy</v>
          </cell>
          <cell r="N1429" t="str">
            <v>Herrera</v>
          </cell>
          <cell r="AF1429">
            <v>13457954.275200002</v>
          </cell>
        </row>
        <row r="1430">
          <cell r="M1430" t="str">
            <v>Raul</v>
          </cell>
          <cell r="N1430" t="str">
            <v>Medina</v>
          </cell>
          <cell r="AF1430">
            <v>13457948.94036</v>
          </cell>
        </row>
        <row r="1431">
          <cell r="M1431" t="str">
            <v>Raul</v>
          </cell>
          <cell r="N1431" t="str">
            <v>Prieto</v>
          </cell>
          <cell r="AF1431">
            <v>15493299.299999999</v>
          </cell>
        </row>
        <row r="1432">
          <cell r="M1432" t="str">
            <v>Raul</v>
          </cell>
          <cell r="N1432" t="str">
            <v>Rojas</v>
          </cell>
          <cell r="AF1432">
            <v>26619083.758260004</v>
          </cell>
        </row>
        <row r="1433">
          <cell r="M1433" t="str">
            <v>Rayevelin</v>
          </cell>
          <cell r="N1433" t="str">
            <v>Mendez</v>
          </cell>
          <cell r="AF1433">
            <v>33832837.660499997</v>
          </cell>
        </row>
        <row r="1434">
          <cell r="M1434" t="str">
            <v>Regino</v>
          </cell>
          <cell r="N1434" t="str">
            <v>Hurtado</v>
          </cell>
          <cell r="AF1434">
            <v>21081945.142980002</v>
          </cell>
        </row>
        <row r="1435">
          <cell r="M1435" t="str">
            <v>Reinaldo</v>
          </cell>
          <cell r="N1435" t="str">
            <v>Blanco</v>
          </cell>
          <cell r="AF1435">
            <v>16650706.650119999</v>
          </cell>
        </row>
        <row r="1436">
          <cell r="M1436" t="str">
            <v>Reinaldo</v>
          </cell>
          <cell r="N1436" t="str">
            <v>Brizuela</v>
          </cell>
          <cell r="AF1436">
            <v>13457948.94036</v>
          </cell>
        </row>
        <row r="1437">
          <cell r="M1437" t="str">
            <v>Reinaldo</v>
          </cell>
          <cell r="N1437" t="str">
            <v>Castillo</v>
          </cell>
          <cell r="AF1437">
            <v>14740509.731579999</v>
          </cell>
        </row>
        <row r="1438">
          <cell r="M1438" t="str">
            <v>Renny</v>
          </cell>
          <cell r="N1438" t="str">
            <v>Arellano</v>
          </cell>
          <cell r="AF1438">
            <v>15493295.066579999</v>
          </cell>
        </row>
        <row r="1439">
          <cell r="M1439" t="str">
            <v>Renny</v>
          </cell>
          <cell r="N1439" t="str">
            <v>Carrizalez</v>
          </cell>
          <cell r="AF1439">
            <v>14740509.731579999</v>
          </cell>
        </row>
        <row r="1440">
          <cell r="M1440" t="str">
            <v>Reny</v>
          </cell>
          <cell r="N1440" t="str">
            <v>Coecher</v>
          </cell>
          <cell r="AF1440">
            <v>33560909.459999993</v>
          </cell>
        </row>
        <row r="1441">
          <cell r="M1441" t="str">
            <v>Ricardo</v>
          </cell>
          <cell r="N1441" t="str">
            <v>Fermin</v>
          </cell>
          <cell r="AF1441">
            <v>65771999.999999993</v>
          </cell>
        </row>
        <row r="1442">
          <cell r="M1442" t="str">
            <v>Ricardo</v>
          </cell>
          <cell r="N1442" t="str">
            <v>Flores</v>
          </cell>
          <cell r="AF1442">
            <v>13457948.94036</v>
          </cell>
        </row>
        <row r="1443">
          <cell r="M1443" t="str">
            <v>Ricardo</v>
          </cell>
          <cell r="N1443" t="str">
            <v>Gonzalez</v>
          </cell>
          <cell r="AF1443">
            <v>14740509.731579999</v>
          </cell>
        </row>
        <row r="1444">
          <cell r="M1444" t="str">
            <v>Ricardo</v>
          </cell>
          <cell r="N1444" t="str">
            <v>Mejia</v>
          </cell>
          <cell r="AF1444">
            <v>66945576.576779991</v>
          </cell>
        </row>
        <row r="1445">
          <cell r="M1445" t="str">
            <v>Richard</v>
          </cell>
          <cell r="N1445" t="str">
            <v>Arcaya</v>
          </cell>
          <cell r="AF1445">
            <v>13457951.539919998</v>
          </cell>
        </row>
        <row r="1446">
          <cell r="M1446" t="str">
            <v>Richard</v>
          </cell>
          <cell r="N1446" t="str">
            <v>Nuñez</v>
          </cell>
          <cell r="AF1446">
            <v>14050768.675139997</v>
          </cell>
        </row>
        <row r="1447">
          <cell r="M1447" t="str">
            <v>Richard</v>
          </cell>
          <cell r="N1447" t="str">
            <v>Paredes</v>
          </cell>
          <cell r="AF1447">
            <v>17911790.549999997</v>
          </cell>
        </row>
        <row r="1448">
          <cell r="M1448" t="str">
            <v>Rigoberto</v>
          </cell>
          <cell r="N1448" t="str">
            <v>Rodriguez</v>
          </cell>
          <cell r="AF1448">
            <v>14740507.3356</v>
          </cell>
        </row>
        <row r="1449">
          <cell r="M1449" t="str">
            <v>Rigoberto</v>
          </cell>
          <cell r="N1449" t="str">
            <v>Zambrano</v>
          </cell>
          <cell r="AF1449">
            <v>16650706.650119999</v>
          </cell>
        </row>
        <row r="1450">
          <cell r="M1450" t="str">
            <v>Roberto</v>
          </cell>
          <cell r="N1450" t="str">
            <v>Blanco</v>
          </cell>
          <cell r="AF1450">
            <v>16650706.650119999</v>
          </cell>
        </row>
        <row r="1451">
          <cell r="M1451" t="str">
            <v>Roberto</v>
          </cell>
          <cell r="N1451" t="str">
            <v>Calanche</v>
          </cell>
          <cell r="AF1451">
            <v>14740509.731579999</v>
          </cell>
        </row>
        <row r="1452">
          <cell r="M1452" t="str">
            <v>Roberto</v>
          </cell>
          <cell r="N1452" t="str">
            <v>Gomez</v>
          </cell>
          <cell r="AF1452">
            <v>15493296.695220001</v>
          </cell>
        </row>
        <row r="1453">
          <cell r="M1453" t="str">
            <v>Roberto</v>
          </cell>
          <cell r="N1453" t="str">
            <v>Gutierrez</v>
          </cell>
          <cell r="AF1453">
            <v>16885451.167199999</v>
          </cell>
        </row>
        <row r="1454">
          <cell r="M1454" t="str">
            <v>Robinson</v>
          </cell>
          <cell r="N1454" t="str">
            <v>Gonzalez</v>
          </cell>
          <cell r="AF1454">
            <v>16650706.650119999</v>
          </cell>
        </row>
        <row r="1455">
          <cell r="M1455" t="str">
            <v>Robinson</v>
          </cell>
          <cell r="N1455" t="str">
            <v>Solorzano</v>
          </cell>
          <cell r="AF1455">
            <v>14740509.731579999</v>
          </cell>
        </row>
        <row r="1456">
          <cell r="M1456" t="str">
            <v>Rodolfo</v>
          </cell>
          <cell r="N1456" t="str">
            <v>Escalona</v>
          </cell>
          <cell r="AF1456">
            <v>16650706.650119999</v>
          </cell>
        </row>
        <row r="1457">
          <cell r="M1457" t="str">
            <v>Rodrigo</v>
          </cell>
          <cell r="N1457" t="str">
            <v>Rondon</v>
          </cell>
          <cell r="AF1457">
            <v>16885443.373739999</v>
          </cell>
        </row>
        <row r="1458">
          <cell r="M1458" t="str">
            <v>Roel</v>
          </cell>
          <cell r="N1458" t="str">
            <v>Di  Benedetto</v>
          </cell>
          <cell r="AF1458">
            <v>15493296.695220001</v>
          </cell>
        </row>
        <row r="1459">
          <cell r="M1459" t="str">
            <v>Rogelio</v>
          </cell>
          <cell r="N1459" t="str">
            <v>Guanipa</v>
          </cell>
          <cell r="AF1459">
            <v>20532071.34</v>
          </cell>
        </row>
        <row r="1460">
          <cell r="M1460" t="str">
            <v>Roger</v>
          </cell>
          <cell r="N1460" t="str">
            <v>Rojas</v>
          </cell>
          <cell r="AF1460">
            <v>23619640.43826</v>
          </cell>
        </row>
        <row r="1461">
          <cell r="M1461" t="str">
            <v>Rolando</v>
          </cell>
          <cell r="N1461" t="str">
            <v>Ramirez</v>
          </cell>
          <cell r="AF1461">
            <v>13457951.539919998</v>
          </cell>
        </row>
        <row r="1462">
          <cell r="M1462" t="str">
            <v>Ronald</v>
          </cell>
          <cell r="N1462" t="str">
            <v>Azocar</v>
          </cell>
          <cell r="AF1462">
            <v>36419552.284499995</v>
          </cell>
        </row>
        <row r="1463">
          <cell r="M1463" t="str">
            <v>Rosa</v>
          </cell>
          <cell r="N1463" t="str">
            <v>Berbecia</v>
          </cell>
          <cell r="AF1463">
            <v>117600356.21934</v>
          </cell>
        </row>
        <row r="1464">
          <cell r="M1464" t="str">
            <v>Rosalba</v>
          </cell>
          <cell r="N1464" t="str">
            <v>Tovar</v>
          </cell>
          <cell r="AF1464">
            <v>35443730.323439993</v>
          </cell>
        </row>
        <row r="1465">
          <cell r="M1465" t="str">
            <v>Rosanni</v>
          </cell>
          <cell r="N1465" t="str">
            <v>Odriozola</v>
          </cell>
          <cell r="AF1465">
            <v>19327496.53968</v>
          </cell>
        </row>
        <row r="1466">
          <cell r="M1466" t="str">
            <v>Roselyn</v>
          </cell>
          <cell r="N1466" t="str">
            <v>Sulbaran</v>
          </cell>
          <cell r="AF1466">
            <v>19009500.001740001</v>
          </cell>
        </row>
        <row r="1467">
          <cell r="M1467" t="str">
            <v>Rosibel</v>
          </cell>
          <cell r="N1467" t="str">
            <v>Linares</v>
          </cell>
          <cell r="AF1467">
            <v>36247473.115739994</v>
          </cell>
        </row>
        <row r="1468">
          <cell r="M1468" t="str">
            <v>Rosmil</v>
          </cell>
          <cell r="N1468" t="str">
            <v>Piña</v>
          </cell>
          <cell r="AF1468">
            <v>22709084.518259998</v>
          </cell>
        </row>
        <row r="1469">
          <cell r="M1469" t="str">
            <v>Ruben</v>
          </cell>
          <cell r="N1469" t="str">
            <v>Garcia</v>
          </cell>
          <cell r="AF1469">
            <v>15493296.695220001</v>
          </cell>
        </row>
        <row r="1470">
          <cell r="M1470" t="str">
            <v>Ruben</v>
          </cell>
          <cell r="N1470" t="str">
            <v>Tovar</v>
          </cell>
          <cell r="AF1470">
            <v>15493296.695220001</v>
          </cell>
        </row>
        <row r="1471">
          <cell r="M1471" t="str">
            <v>Salvador</v>
          </cell>
          <cell r="N1471" t="str">
            <v>Salazar</v>
          </cell>
          <cell r="AF1471">
            <v>14050766.06514</v>
          </cell>
        </row>
        <row r="1472">
          <cell r="M1472" t="str">
            <v>Sandy</v>
          </cell>
          <cell r="N1472" t="str">
            <v>Sanchez</v>
          </cell>
          <cell r="AF1472">
            <v>14740508.102940001</v>
          </cell>
        </row>
        <row r="1473">
          <cell r="M1473" t="str">
            <v>Santo</v>
          </cell>
          <cell r="N1473" t="str">
            <v>Garcia</v>
          </cell>
          <cell r="AF1473">
            <v>16650706.650119999</v>
          </cell>
        </row>
        <row r="1474">
          <cell r="M1474" t="str">
            <v>Santos</v>
          </cell>
          <cell r="N1474" t="str">
            <v>Rivas</v>
          </cell>
          <cell r="AF1474">
            <v>16650706.650119999</v>
          </cell>
        </row>
        <row r="1475">
          <cell r="M1475" t="str">
            <v>Saul</v>
          </cell>
          <cell r="N1475" t="str">
            <v>Campos</v>
          </cell>
          <cell r="AF1475">
            <v>16650706.650119999</v>
          </cell>
        </row>
        <row r="1476">
          <cell r="M1476" t="str">
            <v>Shirley</v>
          </cell>
          <cell r="N1476" t="str">
            <v>Gennuso</v>
          </cell>
          <cell r="AF1476">
            <v>17940013.784999996</v>
          </cell>
        </row>
        <row r="1477">
          <cell r="M1477" t="str">
            <v>Siderio</v>
          </cell>
          <cell r="N1477" t="str">
            <v>Silva</v>
          </cell>
          <cell r="AF1477">
            <v>24493892.276160002</v>
          </cell>
        </row>
        <row r="1478">
          <cell r="M1478" t="str">
            <v>Siervo</v>
          </cell>
          <cell r="N1478" t="str">
            <v>Dallos</v>
          </cell>
          <cell r="AF1478">
            <v>144157133.76536</v>
          </cell>
        </row>
        <row r="1479">
          <cell r="M1479" t="str">
            <v>Simon</v>
          </cell>
          <cell r="N1479" t="str">
            <v>Yepez</v>
          </cell>
          <cell r="AF1479">
            <v>14740509.731579999</v>
          </cell>
        </row>
        <row r="1480">
          <cell r="M1480" t="str">
            <v>Sorangel</v>
          </cell>
          <cell r="N1480" t="str">
            <v>Rojas</v>
          </cell>
          <cell r="AF1480">
            <v>26990485.891739998</v>
          </cell>
        </row>
        <row r="1481">
          <cell r="M1481" t="str">
            <v>Stefan</v>
          </cell>
          <cell r="N1481" t="str">
            <v>Martinez</v>
          </cell>
          <cell r="AF1481">
            <v>13457948.94036</v>
          </cell>
        </row>
        <row r="1482">
          <cell r="M1482" t="str">
            <v>Tom</v>
          </cell>
          <cell r="N1482" t="str">
            <v>Hernandez</v>
          </cell>
          <cell r="AF1482">
            <v>15493296.695220001</v>
          </cell>
        </row>
        <row r="1483">
          <cell r="M1483" t="str">
            <v>Tomas</v>
          </cell>
          <cell r="N1483" t="str">
            <v>Linarez</v>
          </cell>
          <cell r="AF1483">
            <v>14050768.675139997</v>
          </cell>
        </row>
        <row r="1484">
          <cell r="M1484" t="str">
            <v>Tomas</v>
          </cell>
          <cell r="N1484" t="str">
            <v>Sequera</v>
          </cell>
          <cell r="AF1484">
            <v>28768167.780659996</v>
          </cell>
        </row>
        <row r="1485">
          <cell r="M1485" t="str">
            <v>Tonny</v>
          </cell>
          <cell r="N1485" t="str">
            <v>Ramirez</v>
          </cell>
          <cell r="AF1485">
            <v>16650706.650119999</v>
          </cell>
        </row>
        <row r="1486">
          <cell r="M1486" t="str">
            <v>Ulises</v>
          </cell>
          <cell r="N1486" t="str">
            <v>Herrera</v>
          </cell>
          <cell r="AF1486">
            <v>14740509.731579999</v>
          </cell>
        </row>
        <row r="1487">
          <cell r="M1487" t="str">
            <v>VACANTE</v>
          </cell>
          <cell r="N1487" t="str">
            <v>VACANTE</v>
          </cell>
          <cell r="AF1487">
            <v>55781561.052719995</v>
          </cell>
        </row>
        <row r="1488">
          <cell r="M1488" t="str">
            <v>vacante</v>
          </cell>
          <cell r="N1488" t="str">
            <v>vacante</v>
          </cell>
          <cell r="AF1488">
            <v>13381073.279999999</v>
          </cell>
        </row>
        <row r="1489">
          <cell r="M1489" t="str">
            <v>vacante</v>
          </cell>
          <cell r="N1489" t="str">
            <v>vacante</v>
          </cell>
          <cell r="AF1489">
            <v>13381073.279999999</v>
          </cell>
        </row>
        <row r="1490">
          <cell r="M1490" t="str">
            <v>VACANTE</v>
          </cell>
          <cell r="N1490" t="str">
            <v>VACANTE</v>
          </cell>
          <cell r="AF1490">
            <v>78389164.981079996</v>
          </cell>
        </row>
        <row r="1491">
          <cell r="M1491" t="str">
            <v>Vergen</v>
          </cell>
          <cell r="N1491" t="str">
            <v>Navas</v>
          </cell>
          <cell r="AF1491">
            <v>16650706.650119999</v>
          </cell>
        </row>
        <row r="1492">
          <cell r="M1492" t="str">
            <v>Victor</v>
          </cell>
          <cell r="N1492" t="str">
            <v>Araujo</v>
          </cell>
          <cell r="AF1492">
            <v>42268118.464439996</v>
          </cell>
        </row>
        <row r="1493">
          <cell r="M1493" t="str">
            <v>Victor</v>
          </cell>
          <cell r="N1493" t="str">
            <v>Brito</v>
          </cell>
          <cell r="AF1493">
            <v>16650706.650119999</v>
          </cell>
        </row>
        <row r="1494">
          <cell r="M1494" t="str">
            <v>Victor</v>
          </cell>
          <cell r="N1494" t="str">
            <v>Marrufo</v>
          </cell>
          <cell r="AF1494">
            <v>13457948.94036</v>
          </cell>
        </row>
        <row r="1495">
          <cell r="M1495" t="str">
            <v>Victor</v>
          </cell>
          <cell r="N1495" t="str">
            <v>Rivas</v>
          </cell>
          <cell r="AF1495">
            <v>15493296.695220001</v>
          </cell>
        </row>
        <row r="1496">
          <cell r="M1496" t="str">
            <v>Victor</v>
          </cell>
          <cell r="N1496" t="str">
            <v>Rivas</v>
          </cell>
          <cell r="AF1496">
            <v>14740509.731579999</v>
          </cell>
        </row>
        <row r="1497">
          <cell r="M1497" t="str">
            <v>Victor</v>
          </cell>
          <cell r="N1497" t="str">
            <v>Rivas</v>
          </cell>
          <cell r="AF1497">
            <v>13457951.539919998</v>
          </cell>
        </row>
        <row r="1498">
          <cell r="M1498" t="str">
            <v>Victor</v>
          </cell>
          <cell r="N1498" t="str">
            <v>Tovar</v>
          </cell>
          <cell r="AF1498">
            <v>13457948.94036</v>
          </cell>
        </row>
        <row r="1499">
          <cell r="M1499" t="str">
            <v>Virginia</v>
          </cell>
          <cell r="N1499" t="str">
            <v>Setas</v>
          </cell>
          <cell r="AF1499">
            <v>44558183.375099994</v>
          </cell>
        </row>
        <row r="1500">
          <cell r="M1500" t="str">
            <v>Waldemar</v>
          </cell>
          <cell r="N1500" t="str">
            <v>Lopez</v>
          </cell>
          <cell r="AF1500">
            <v>26518571.791739997</v>
          </cell>
        </row>
        <row r="1501">
          <cell r="M1501" t="str">
            <v>Wendy</v>
          </cell>
          <cell r="N1501" t="str">
            <v>Figuera</v>
          </cell>
          <cell r="AF1501">
            <v>70602927.983120009</v>
          </cell>
        </row>
        <row r="1502">
          <cell r="M1502" t="str">
            <v>Wilfredo</v>
          </cell>
          <cell r="N1502" t="str">
            <v>Gomez</v>
          </cell>
          <cell r="AF1502">
            <v>13457951.539919998</v>
          </cell>
        </row>
        <row r="1503">
          <cell r="M1503" t="str">
            <v>Wilfredo</v>
          </cell>
          <cell r="N1503" t="str">
            <v>Gutierrez</v>
          </cell>
          <cell r="AF1503">
            <v>16650706.650119999</v>
          </cell>
        </row>
        <row r="1504">
          <cell r="M1504" t="str">
            <v>Willi</v>
          </cell>
          <cell r="N1504" t="str">
            <v>Figueroa</v>
          </cell>
          <cell r="AF1504">
            <v>13457948.219999997</v>
          </cell>
        </row>
        <row r="1505">
          <cell r="M1505" t="str">
            <v>William</v>
          </cell>
          <cell r="N1505" t="str">
            <v>Romero</v>
          </cell>
          <cell r="AF1505">
            <v>23587511.620140001</v>
          </cell>
        </row>
        <row r="1506">
          <cell r="M1506" t="str">
            <v>Williams</v>
          </cell>
          <cell r="N1506" t="str">
            <v>Blanco</v>
          </cell>
          <cell r="AF1506">
            <v>15493296.695220001</v>
          </cell>
        </row>
        <row r="1507">
          <cell r="M1507" t="str">
            <v>Williams</v>
          </cell>
          <cell r="N1507" t="str">
            <v>Brito</v>
          </cell>
          <cell r="AF1507">
            <v>15493296.695220001</v>
          </cell>
        </row>
        <row r="1508">
          <cell r="M1508" t="str">
            <v>Williams</v>
          </cell>
          <cell r="N1508" t="str">
            <v>Hernandez</v>
          </cell>
          <cell r="AF1508">
            <v>16650706.650119999</v>
          </cell>
        </row>
        <row r="1509">
          <cell r="M1509" t="str">
            <v>Williams</v>
          </cell>
          <cell r="N1509" t="str">
            <v>Mejias</v>
          </cell>
          <cell r="AF1509">
            <v>16650706.650119999</v>
          </cell>
        </row>
        <row r="1510">
          <cell r="M1510" t="str">
            <v>Williams</v>
          </cell>
          <cell r="N1510" t="str">
            <v>Mellado</v>
          </cell>
          <cell r="AF1510">
            <v>14740509.731579999</v>
          </cell>
        </row>
        <row r="1511">
          <cell r="M1511" t="str">
            <v>Williams</v>
          </cell>
          <cell r="N1511" t="str">
            <v>Perez</v>
          </cell>
          <cell r="AF1511">
            <v>8584759.8000000007</v>
          </cell>
        </row>
        <row r="1512">
          <cell r="M1512" t="str">
            <v>Williams</v>
          </cell>
          <cell r="N1512" t="str">
            <v>Sanchez</v>
          </cell>
          <cell r="AF1512">
            <v>15493296.695220001</v>
          </cell>
        </row>
        <row r="1513">
          <cell r="M1513" t="str">
            <v>Williams</v>
          </cell>
          <cell r="N1513" t="str">
            <v>Vasquez</v>
          </cell>
          <cell r="AF1513">
            <v>14740509.731579999</v>
          </cell>
        </row>
        <row r="1514">
          <cell r="M1514" t="str">
            <v>Willians</v>
          </cell>
          <cell r="N1514" t="str">
            <v>Bello</v>
          </cell>
          <cell r="AF1514">
            <v>13457948.94036</v>
          </cell>
        </row>
        <row r="1515">
          <cell r="M1515" t="str">
            <v>Willmer</v>
          </cell>
          <cell r="N1515" t="str">
            <v>Acosta</v>
          </cell>
          <cell r="AF1515">
            <v>13457951.539919998</v>
          </cell>
        </row>
        <row r="1516">
          <cell r="M1516" t="str">
            <v>Willmer</v>
          </cell>
          <cell r="N1516" t="str">
            <v>Yepez</v>
          </cell>
          <cell r="AF1516">
            <v>16650706.650119999</v>
          </cell>
        </row>
        <row r="1517">
          <cell r="M1517" t="str">
            <v>Willy</v>
          </cell>
          <cell r="N1517" t="str">
            <v>Marcano</v>
          </cell>
          <cell r="AF1517">
            <v>113771901.18851998</v>
          </cell>
        </row>
        <row r="1518">
          <cell r="M1518" t="str">
            <v>Wilman</v>
          </cell>
          <cell r="N1518" t="str">
            <v>Coronado</v>
          </cell>
          <cell r="AF1518">
            <v>14740507.439999998</v>
          </cell>
        </row>
        <row r="1519">
          <cell r="M1519" t="str">
            <v>Wilmer</v>
          </cell>
          <cell r="N1519" t="str">
            <v>Alvarado</v>
          </cell>
          <cell r="AF1519">
            <v>15493296.695220001</v>
          </cell>
        </row>
        <row r="1520">
          <cell r="M1520" t="str">
            <v>Wilmer</v>
          </cell>
          <cell r="N1520" t="str">
            <v>Arana</v>
          </cell>
          <cell r="AF1520">
            <v>13457948.94036</v>
          </cell>
        </row>
        <row r="1521">
          <cell r="M1521" t="str">
            <v>Wilmer</v>
          </cell>
          <cell r="N1521" t="str">
            <v>Baldovino</v>
          </cell>
          <cell r="AF1521">
            <v>14740509.731579999</v>
          </cell>
        </row>
        <row r="1522">
          <cell r="M1522" t="str">
            <v>Wilmer</v>
          </cell>
          <cell r="N1522" t="str">
            <v>Hurtado</v>
          </cell>
          <cell r="AF1522">
            <v>16650706.650119999</v>
          </cell>
        </row>
        <row r="1523">
          <cell r="M1523" t="str">
            <v>Wladimir</v>
          </cell>
          <cell r="N1523" t="str">
            <v>Esteves</v>
          </cell>
          <cell r="AF1523">
            <v>67093062.621380001</v>
          </cell>
        </row>
        <row r="1524">
          <cell r="M1524" t="str">
            <v>Wolfgang</v>
          </cell>
          <cell r="N1524" t="str">
            <v>Mejias</v>
          </cell>
          <cell r="AF1524">
            <v>27488855.379779998</v>
          </cell>
        </row>
        <row r="1525">
          <cell r="M1525" t="str">
            <v>Wuilman</v>
          </cell>
          <cell r="N1525" t="str">
            <v>Magallanes</v>
          </cell>
          <cell r="AF1525">
            <v>14050768.675139997</v>
          </cell>
        </row>
        <row r="1526">
          <cell r="M1526" t="str">
            <v>Wuilmer</v>
          </cell>
          <cell r="N1526" t="str">
            <v>Blanco</v>
          </cell>
          <cell r="AF1526">
            <v>16650706.650119999</v>
          </cell>
        </row>
        <row r="1527">
          <cell r="M1527" t="str">
            <v>Yadira</v>
          </cell>
          <cell r="N1527" t="str">
            <v>Garcia</v>
          </cell>
          <cell r="AF1527">
            <v>15247591.718039999</v>
          </cell>
        </row>
        <row r="1528">
          <cell r="M1528" t="str">
            <v>Yakserin</v>
          </cell>
          <cell r="N1528" t="str">
            <v>Requena</v>
          </cell>
          <cell r="AF1528">
            <v>8584759.8000000007</v>
          </cell>
        </row>
        <row r="1529">
          <cell r="M1529" t="str">
            <v>Yampier</v>
          </cell>
          <cell r="N1529" t="str">
            <v>Hernandez</v>
          </cell>
          <cell r="AF1529">
            <v>14740509.731579999</v>
          </cell>
        </row>
        <row r="1530">
          <cell r="M1530" t="str">
            <v>Ybrahin</v>
          </cell>
          <cell r="N1530" t="str">
            <v>Romero</v>
          </cell>
          <cell r="AF1530">
            <v>14740509.731579999</v>
          </cell>
        </row>
        <row r="1531">
          <cell r="M1531" t="str">
            <v>Yeseni</v>
          </cell>
          <cell r="N1531" t="str">
            <v>Jimenez</v>
          </cell>
          <cell r="AF1531">
            <v>8584759.8000000007</v>
          </cell>
        </row>
        <row r="1532">
          <cell r="M1532" t="str">
            <v>Yfelina</v>
          </cell>
          <cell r="N1532" t="str">
            <v>Achique</v>
          </cell>
          <cell r="AF1532">
            <v>8584759.8000000007</v>
          </cell>
        </row>
        <row r="1533">
          <cell r="M1533" t="str">
            <v>Yibersi</v>
          </cell>
          <cell r="N1533" t="str">
            <v>Yustiz</v>
          </cell>
          <cell r="AF1533">
            <v>14740509.731579999</v>
          </cell>
        </row>
        <row r="1534">
          <cell r="M1534" t="str">
            <v>Yimi</v>
          </cell>
          <cell r="N1534" t="str">
            <v>Nieves</v>
          </cell>
          <cell r="AF1534">
            <v>13457948.94036</v>
          </cell>
        </row>
        <row r="1535">
          <cell r="M1535" t="str">
            <v>Ynmer</v>
          </cell>
          <cell r="N1535" t="str">
            <v>Delgado</v>
          </cell>
          <cell r="AF1535">
            <v>15493296.695220001</v>
          </cell>
        </row>
        <row r="1536">
          <cell r="M1536" t="str">
            <v>Yoangel</v>
          </cell>
          <cell r="N1536" t="str">
            <v>Barreto</v>
          </cell>
          <cell r="AF1536">
            <v>13457951.539919998</v>
          </cell>
        </row>
        <row r="1537">
          <cell r="M1537" t="str">
            <v>Yolanda</v>
          </cell>
          <cell r="N1537" t="str">
            <v>Romain</v>
          </cell>
          <cell r="AF1537">
            <v>64983652.021320008</v>
          </cell>
        </row>
        <row r="1538">
          <cell r="M1538" t="str">
            <v>Yonathan</v>
          </cell>
          <cell r="N1538" t="str">
            <v>Zarraga</v>
          </cell>
          <cell r="AF1538">
            <v>8584759.8000000007</v>
          </cell>
        </row>
        <row r="1539">
          <cell r="M1539" t="str">
            <v>Yorfredyy</v>
          </cell>
          <cell r="N1539" t="str">
            <v>Zambrano</v>
          </cell>
          <cell r="AF1539">
            <v>14050768.675139997</v>
          </cell>
        </row>
        <row r="1540">
          <cell r="M1540" t="str">
            <v>Yosmar</v>
          </cell>
          <cell r="N1540" t="str">
            <v>Vargas</v>
          </cell>
          <cell r="AF1540">
            <v>16502772.476519998</v>
          </cell>
        </row>
        <row r="1541">
          <cell r="M1541" t="str">
            <v>Yrlanda</v>
          </cell>
          <cell r="N1541" t="str">
            <v>Pulido</v>
          </cell>
          <cell r="AF1541">
            <v>56480935.023399986</v>
          </cell>
        </row>
        <row r="1542">
          <cell r="M1542" t="str">
            <v>Ysmaim</v>
          </cell>
          <cell r="N1542" t="str">
            <v>Noguera</v>
          </cell>
          <cell r="AF1542">
            <v>26178116.647499997</v>
          </cell>
        </row>
        <row r="1543">
          <cell r="M1543" t="str">
            <v>Yuceppe</v>
          </cell>
          <cell r="N1543" t="str">
            <v>Ladera</v>
          </cell>
          <cell r="AF1543">
            <v>14740509.731579999</v>
          </cell>
        </row>
        <row r="1544">
          <cell r="M1544" t="str">
            <v>Yuliana</v>
          </cell>
          <cell r="N1544" t="str">
            <v>Gonzalez</v>
          </cell>
          <cell r="AF1544">
            <v>21532625.974259999</v>
          </cell>
        </row>
        <row r="1545">
          <cell r="M1545" t="str">
            <v>Yulibest</v>
          </cell>
          <cell r="N1545" t="str">
            <v>Quijano</v>
          </cell>
          <cell r="AF1545">
            <v>28651419.583560001</v>
          </cell>
        </row>
        <row r="1546">
          <cell r="M1546" t="str">
            <v>Zuleima</v>
          </cell>
          <cell r="N1546" t="str">
            <v>Contreras</v>
          </cell>
          <cell r="AF1546">
            <v>67002138.584859997</v>
          </cell>
        </row>
        <row r="1547">
          <cell r="M1547" t="str">
            <v>Zulynara</v>
          </cell>
          <cell r="N1547" t="str">
            <v>Zerpa</v>
          </cell>
          <cell r="AF1547">
            <v>14476799.998259999</v>
          </cell>
        </row>
        <row r="1548">
          <cell r="M1548" t="str">
            <v>Alexander</v>
          </cell>
          <cell r="N1548" t="str">
            <v>Sanchez</v>
          </cell>
          <cell r="AF1548">
            <v>49883629.38696</v>
          </cell>
        </row>
        <row r="1549">
          <cell r="M1549" t="str">
            <v>Alirio</v>
          </cell>
          <cell r="N1549" t="str">
            <v>Solarte</v>
          </cell>
          <cell r="AF1549">
            <v>29375999.999999996</v>
          </cell>
        </row>
        <row r="1550">
          <cell r="M1550" t="str">
            <v>Carlos</v>
          </cell>
          <cell r="N1550" t="str">
            <v>Contreras</v>
          </cell>
          <cell r="AF1550">
            <v>79538124.639459997</v>
          </cell>
        </row>
        <row r="1551">
          <cell r="M1551" t="str">
            <v>Carlos</v>
          </cell>
          <cell r="N1551" t="str">
            <v>Marquez</v>
          </cell>
          <cell r="AF1551">
            <v>65819300.772319987</v>
          </cell>
        </row>
        <row r="1552">
          <cell r="M1552" t="str">
            <v>Cruz</v>
          </cell>
          <cell r="N1552" t="str">
            <v>Fuenmayor</v>
          </cell>
          <cell r="AF1552">
            <v>26936165.520539995</v>
          </cell>
        </row>
        <row r="1553">
          <cell r="M1553" t="str">
            <v>David</v>
          </cell>
          <cell r="N1553" t="str">
            <v>Romero</v>
          </cell>
          <cell r="AF1553">
            <v>26304681.862439994</v>
          </cell>
        </row>
        <row r="1554">
          <cell r="M1554" t="str">
            <v>Dilcia</v>
          </cell>
          <cell r="N1554" t="str">
            <v>Duarte</v>
          </cell>
          <cell r="AF1554">
            <v>55118938.078260005</v>
          </cell>
        </row>
        <row r="1555">
          <cell r="M1555" t="str">
            <v>Domingo</v>
          </cell>
          <cell r="N1555" t="str">
            <v>Navarro</v>
          </cell>
          <cell r="AF1555">
            <v>125396680.72049999</v>
          </cell>
        </row>
        <row r="1556">
          <cell r="M1556" t="str">
            <v>Edward</v>
          </cell>
          <cell r="N1556" t="str">
            <v>Anaya</v>
          </cell>
          <cell r="AF1556">
            <v>17940984.34914</v>
          </cell>
        </row>
        <row r="1557">
          <cell r="M1557" t="str">
            <v>Elimar</v>
          </cell>
          <cell r="N1557" t="str">
            <v>Valentiner</v>
          </cell>
          <cell r="AF1557">
            <v>33950501.787599996</v>
          </cell>
        </row>
        <row r="1558">
          <cell r="M1558" t="str">
            <v>Erwin</v>
          </cell>
          <cell r="N1558" t="str">
            <v>Ramos</v>
          </cell>
          <cell r="AF1558">
            <v>24940890.83106</v>
          </cell>
        </row>
        <row r="1559">
          <cell r="M1559" t="str">
            <v>Felix</v>
          </cell>
          <cell r="N1559" t="str">
            <v>Escalona</v>
          </cell>
          <cell r="AF1559">
            <v>21917899.35774</v>
          </cell>
        </row>
        <row r="1560">
          <cell r="M1560" t="str">
            <v>Francisco</v>
          </cell>
          <cell r="N1560" t="str">
            <v>Vazquez</v>
          </cell>
          <cell r="AF1560">
            <v>21917904.757199999</v>
          </cell>
        </row>
        <row r="1561">
          <cell r="M1561" t="str">
            <v>Gustavo</v>
          </cell>
          <cell r="N1561" t="str">
            <v>Rodriguez</v>
          </cell>
          <cell r="AF1561">
            <v>21917899.623059999</v>
          </cell>
        </row>
        <row r="1562">
          <cell r="M1562" t="str">
            <v>Irvin</v>
          </cell>
          <cell r="N1562" t="str">
            <v>Sosa</v>
          </cell>
          <cell r="AF1562">
            <v>21917904.757199999</v>
          </cell>
        </row>
        <row r="1563">
          <cell r="M1563" t="str">
            <v>Janette</v>
          </cell>
          <cell r="N1563" t="str">
            <v>Soto</v>
          </cell>
          <cell r="AF1563">
            <v>21157939.217160001</v>
          </cell>
        </row>
        <row r="1564">
          <cell r="M1564" t="str">
            <v>Javier</v>
          </cell>
          <cell r="N1564" t="str">
            <v>Lopez</v>
          </cell>
          <cell r="AF1564">
            <v>120506591.39414001</v>
          </cell>
        </row>
        <row r="1565">
          <cell r="M1565" t="str">
            <v>Jesus</v>
          </cell>
          <cell r="N1565" t="str">
            <v>Gomez</v>
          </cell>
          <cell r="AF1565">
            <v>21917904.757199999</v>
          </cell>
        </row>
        <row r="1566">
          <cell r="M1566" t="str">
            <v>Jose</v>
          </cell>
          <cell r="N1566" t="str">
            <v>Blanco</v>
          </cell>
          <cell r="AF1566">
            <v>54704726.758259997</v>
          </cell>
        </row>
        <row r="1567">
          <cell r="M1567" t="str">
            <v>Jose</v>
          </cell>
          <cell r="N1567" t="str">
            <v>Lopez</v>
          </cell>
          <cell r="AF1567">
            <v>57097086.83946</v>
          </cell>
        </row>
        <row r="1568">
          <cell r="M1568" t="str">
            <v>Jose</v>
          </cell>
          <cell r="N1568" t="str">
            <v>Marin</v>
          </cell>
          <cell r="AF1568">
            <v>133561561.54053999</v>
          </cell>
        </row>
        <row r="1569">
          <cell r="M1569" t="str">
            <v>Jose</v>
          </cell>
          <cell r="N1569" t="str">
            <v>Morillo</v>
          </cell>
          <cell r="AF1569">
            <v>25178784.686280001</v>
          </cell>
        </row>
        <row r="1570">
          <cell r="M1570" t="str">
            <v>José</v>
          </cell>
          <cell r="N1570" t="str">
            <v>Bernal</v>
          </cell>
          <cell r="AF1570">
            <v>8584759.8000000007</v>
          </cell>
        </row>
        <row r="1571">
          <cell r="M1571" t="str">
            <v>Julia</v>
          </cell>
          <cell r="N1571" t="str">
            <v>Canizares</v>
          </cell>
          <cell r="AF1571">
            <v>42062372.024939999</v>
          </cell>
        </row>
        <row r="1572">
          <cell r="M1572" t="str">
            <v>Julio</v>
          </cell>
          <cell r="N1572" t="str">
            <v>Delgado</v>
          </cell>
          <cell r="AF1572">
            <v>24973397.575199999</v>
          </cell>
        </row>
        <row r="1573">
          <cell r="M1573" t="str">
            <v>Juliver</v>
          </cell>
          <cell r="N1573" t="str">
            <v>Mendoza</v>
          </cell>
          <cell r="AF1573">
            <v>42410836.554119989</v>
          </cell>
        </row>
        <row r="1574">
          <cell r="M1574" t="str">
            <v>Larry</v>
          </cell>
          <cell r="N1574" t="str">
            <v>Gonzalez</v>
          </cell>
          <cell r="AF1574">
            <v>34588874.2698</v>
          </cell>
        </row>
        <row r="1575">
          <cell r="M1575" t="str">
            <v>Lorena</v>
          </cell>
          <cell r="N1575" t="str">
            <v>Villasmil</v>
          </cell>
          <cell r="AF1575">
            <v>150441788.63547999</v>
          </cell>
        </row>
        <row r="1576">
          <cell r="M1576" t="str">
            <v>Luis</v>
          </cell>
          <cell r="N1576" t="str">
            <v>Wulff</v>
          </cell>
          <cell r="AF1576">
            <v>139326319.24704</v>
          </cell>
        </row>
        <row r="1577">
          <cell r="M1577" t="str">
            <v>Marjori</v>
          </cell>
          <cell r="N1577" t="str">
            <v>Gualdron</v>
          </cell>
          <cell r="AF1577">
            <v>21976587.957059998</v>
          </cell>
        </row>
        <row r="1578">
          <cell r="M1578" t="str">
            <v>Maurys</v>
          </cell>
          <cell r="N1578" t="str">
            <v>Garcia</v>
          </cell>
          <cell r="AF1578">
            <v>17155241.968140002</v>
          </cell>
        </row>
        <row r="1579">
          <cell r="M1579" t="str">
            <v>Miguel</v>
          </cell>
          <cell r="N1579" t="str">
            <v>Arellano</v>
          </cell>
          <cell r="AF1579">
            <v>52353199.169999994</v>
          </cell>
        </row>
        <row r="1580">
          <cell r="M1580" t="str">
            <v>Miriam</v>
          </cell>
          <cell r="N1580" t="str">
            <v>Rangel</v>
          </cell>
          <cell r="AF1580">
            <v>8584759.8000000007</v>
          </cell>
        </row>
        <row r="1581">
          <cell r="M1581" t="str">
            <v>Nicola</v>
          </cell>
          <cell r="N1581" t="str">
            <v>Girota</v>
          </cell>
          <cell r="AF1581">
            <v>21917899.35774</v>
          </cell>
        </row>
        <row r="1582">
          <cell r="M1582" t="str">
            <v>Omar</v>
          </cell>
          <cell r="N1582" t="str">
            <v>Contreras</v>
          </cell>
          <cell r="AF1582">
            <v>21917899.35774</v>
          </cell>
        </row>
        <row r="1583">
          <cell r="M1583" t="str">
            <v>Pablo</v>
          </cell>
          <cell r="N1583" t="str">
            <v>Sotolongo</v>
          </cell>
          <cell r="AF1583">
            <v>21917899.35774</v>
          </cell>
        </row>
        <row r="1584">
          <cell r="M1584" t="str">
            <v>Ramon</v>
          </cell>
          <cell r="N1584" t="str">
            <v>Agrella</v>
          </cell>
          <cell r="AF1584">
            <v>18676872.318599999</v>
          </cell>
        </row>
        <row r="1585">
          <cell r="M1585" t="str">
            <v>Ramon</v>
          </cell>
          <cell r="N1585" t="str">
            <v>Febres</v>
          </cell>
          <cell r="AF1585">
            <v>21917904.757199999</v>
          </cell>
        </row>
        <row r="1586">
          <cell r="M1586" t="str">
            <v>Rey</v>
          </cell>
          <cell r="N1586" t="str">
            <v>Herrera</v>
          </cell>
          <cell r="AF1586">
            <v>26301819.225960001</v>
          </cell>
        </row>
        <row r="1587">
          <cell r="M1587" t="str">
            <v>Roberto</v>
          </cell>
          <cell r="N1587" t="str">
            <v>Sosa</v>
          </cell>
          <cell r="AF1587">
            <v>25161015.38778</v>
          </cell>
        </row>
        <row r="1588">
          <cell r="M1588" t="str">
            <v>Roger</v>
          </cell>
          <cell r="N1588" t="str">
            <v>Calatayud</v>
          </cell>
          <cell r="AF1588">
            <v>54315259.163999997</v>
          </cell>
        </row>
        <row r="1589">
          <cell r="M1589" t="str">
            <v>Ronald</v>
          </cell>
          <cell r="N1589" t="str">
            <v>Perez</v>
          </cell>
          <cell r="AF1589">
            <v>21917899.476539999</v>
          </cell>
        </row>
        <row r="1590">
          <cell r="M1590" t="str">
            <v>Solis</v>
          </cell>
          <cell r="N1590" t="str">
            <v>Torres</v>
          </cell>
          <cell r="AF1590">
            <v>28062905.210280001</v>
          </cell>
        </row>
        <row r="1591">
          <cell r="M1591" t="str">
            <v>Victor</v>
          </cell>
          <cell r="N1591" t="str">
            <v>Piñango</v>
          </cell>
          <cell r="AF1591">
            <v>38599275.785579994</v>
          </cell>
        </row>
        <row r="1592">
          <cell r="M1592" t="str">
            <v>Violeta</v>
          </cell>
          <cell r="N1592" t="str">
            <v>Guevara</v>
          </cell>
          <cell r="AF1592">
            <v>68945294.677760005</v>
          </cell>
        </row>
        <row r="1593">
          <cell r="M1593" t="str">
            <v>Wilver</v>
          </cell>
          <cell r="N1593" t="str">
            <v>Martinez</v>
          </cell>
          <cell r="AF1593">
            <v>21917899.35774</v>
          </cell>
        </row>
        <row r="1594">
          <cell r="M1594" t="str">
            <v>Xiomara</v>
          </cell>
          <cell r="N1594" t="str">
            <v>Barosic</v>
          </cell>
          <cell r="AF1594">
            <v>22093590.985199999</v>
          </cell>
        </row>
        <row r="1595">
          <cell r="M1595" t="str">
            <v>Yusmary</v>
          </cell>
          <cell r="N1595" t="str">
            <v>Perez</v>
          </cell>
          <cell r="AF1595">
            <v>22446090.27</v>
          </cell>
        </row>
        <row r="1596">
          <cell r="M1596" t="str">
            <v>Yvette</v>
          </cell>
          <cell r="N1596" t="str">
            <v>Calderon</v>
          </cell>
          <cell r="AF1596">
            <v>17940958.936739996</v>
          </cell>
        </row>
        <row r="1597">
          <cell r="M1597" t="str">
            <v>Zobeida</v>
          </cell>
          <cell r="N1597" t="str">
            <v>Leon</v>
          </cell>
          <cell r="AF1597">
            <v>17155223.3475</v>
          </cell>
        </row>
        <row r="1598">
          <cell r="M1598" t="str">
            <v>ABELARDO</v>
          </cell>
          <cell r="N1598" t="str">
            <v>IZURIETA</v>
          </cell>
          <cell r="AF1598">
            <v>20831999.99814</v>
          </cell>
        </row>
        <row r="1599">
          <cell r="M1599" t="str">
            <v>ABRAHAN</v>
          </cell>
          <cell r="N1599" t="str">
            <v>PEREZ</v>
          </cell>
          <cell r="AF1599">
            <v>8576460</v>
          </cell>
        </row>
        <row r="1600">
          <cell r="M1600" t="str">
            <v>ADELIS</v>
          </cell>
          <cell r="N1600" t="str">
            <v>GARCIA</v>
          </cell>
          <cell r="AF1600">
            <v>14380106.4</v>
          </cell>
        </row>
        <row r="1601">
          <cell r="M1601" t="str">
            <v>ADRIAN</v>
          </cell>
          <cell r="N1601" t="str">
            <v>DURAN</v>
          </cell>
          <cell r="AF1601">
            <v>12343406.4</v>
          </cell>
        </row>
        <row r="1602">
          <cell r="M1602" t="str">
            <v>ALEJANDRO</v>
          </cell>
          <cell r="N1602" t="str">
            <v>DELGADO</v>
          </cell>
          <cell r="AF1602">
            <v>12343406.4</v>
          </cell>
        </row>
        <row r="1603">
          <cell r="M1603" t="str">
            <v>ALEJANDRO</v>
          </cell>
          <cell r="N1603" t="str">
            <v>RODRIGUEZ</v>
          </cell>
          <cell r="AF1603">
            <v>13180406.4</v>
          </cell>
        </row>
        <row r="1604">
          <cell r="M1604" t="str">
            <v>ALEXANDER</v>
          </cell>
          <cell r="N1604" t="str">
            <v>HERNANDEZ</v>
          </cell>
          <cell r="AF1604">
            <v>13180406.4</v>
          </cell>
        </row>
        <row r="1605">
          <cell r="M1605" t="str">
            <v>ALEXANDRA</v>
          </cell>
          <cell r="N1605" t="str">
            <v>BARRADAS</v>
          </cell>
          <cell r="AF1605">
            <v>43709999.99814</v>
          </cell>
        </row>
        <row r="1606">
          <cell r="M1606" t="str">
            <v>ALEXIS</v>
          </cell>
          <cell r="N1606" t="str">
            <v>ALVARADO</v>
          </cell>
          <cell r="AF1606">
            <v>14380106.4</v>
          </cell>
        </row>
        <row r="1607">
          <cell r="M1607" t="str">
            <v>ALEXIS</v>
          </cell>
          <cell r="N1607" t="str">
            <v>DELGADO</v>
          </cell>
          <cell r="AF1607">
            <v>20561184</v>
          </cell>
        </row>
        <row r="1608">
          <cell r="M1608" t="str">
            <v>ALEXIS</v>
          </cell>
          <cell r="N1608" t="str">
            <v>MARQUEZ</v>
          </cell>
          <cell r="AF1608">
            <v>13180406.4</v>
          </cell>
        </row>
        <row r="1609">
          <cell r="M1609" t="str">
            <v>ALFONSO</v>
          </cell>
          <cell r="N1609" t="str">
            <v>CORTEZ</v>
          </cell>
          <cell r="AF1609">
            <v>13180406.4</v>
          </cell>
        </row>
        <row r="1610">
          <cell r="M1610" t="str">
            <v>ALFREDO</v>
          </cell>
          <cell r="N1610" t="str">
            <v>MENDOZA</v>
          </cell>
          <cell r="AF1610">
            <v>13180406.4</v>
          </cell>
        </row>
        <row r="1611">
          <cell r="M1611" t="str">
            <v>ALFREDO</v>
          </cell>
          <cell r="N1611" t="str">
            <v>SANCHEZ</v>
          </cell>
          <cell r="AF1611">
            <v>13180406.4</v>
          </cell>
        </row>
        <row r="1612">
          <cell r="M1612" t="str">
            <v>ALI</v>
          </cell>
          <cell r="N1612" t="str">
            <v>CARLINO</v>
          </cell>
          <cell r="AF1612">
            <v>24179999.998140004</v>
          </cell>
        </row>
        <row r="1613">
          <cell r="M1613" t="str">
            <v>ALIRIO</v>
          </cell>
          <cell r="N1613" t="str">
            <v>BASTIDAS</v>
          </cell>
          <cell r="AF1613">
            <v>14380106.4</v>
          </cell>
        </row>
        <row r="1614">
          <cell r="M1614" t="str">
            <v>ALIRIO</v>
          </cell>
          <cell r="N1614" t="str">
            <v>RAMOS</v>
          </cell>
          <cell r="AF1614">
            <v>12552619.198140003</v>
          </cell>
        </row>
        <row r="1615">
          <cell r="M1615" t="str">
            <v>AMALIO</v>
          </cell>
          <cell r="N1615" t="str">
            <v>TORREALBA</v>
          </cell>
          <cell r="AF1615">
            <v>13180406.4</v>
          </cell>
        </row>
        <row r="1616">
          <cell r="M1616" t="str">
            <v>ANA</v>
          </cell>
          <cell r="N1616" t="str">
            <v>CARMONA</v>
          </cell>
          <cell r="AF1616">
            <v>17112000.00186</v>
          </cell>
        </row>
        <row r="1617">
          <cell r="M1617" t="str">
            <v>ANDRES</v>
          </cell>
          <cell r="N1617" t="str">
            <v>ALDANA</v>
          </cell>
          <cell r="AF1617">
            <v>12343406.4</v>
          </cell>
        </row>
        <row r="1618">
          <cell r="M1618" t="str">
            <v>ANGEL</v>
          </cell>
          <cell r="N1618" t="str">
            <v>ASCANIO</v>
          </cell>
          <cell r="AF1618">
            <v>25154640.000000004</v>
          </cell>
        </row>
        <row r="1619">
          <cell r="M1619" t="str">
            <v>ANGEL</v>
          </cell>
          <cell r="N1619" t="str">
            <v>CASTILLO</v>
          </cell>
          <cell r="AF1619">
            <v>17753700.00186</v>
          </cell>
        </row>
        <row r="1620">
          <cell r="M1620" t="str">
            <v>ANGEL</v>
          </cell>
          <cell r="N1620" t="str">
            <v>DELGADO</v>
          </cell>
          <cell r="AF1620">
            <v>24179999.998140004</v>
          </cell>
        </row>
        <row r="1621">
          <cell r="M1621" t="str">
            <v>ANGEL</v>
          </cell>
          <cell r="N1621" t="str">
            <v>NOGUERA</v>
          </cell>
          <cell r="AF1621">
            <v>13180406.4</v>
          </cell>
        </row>
        <row r="1622">
          <cell r="M1622" t="str">
            <v>ANGEL</v>
          </cell>
          <cell r="N1622" t="str">
            <v>PEÑA</v>
          </cell>
          <cell r="AF1622">
            <v>13180406.4</v>
          </cell>
        </row>
        <row r="1623">
          <cell r="M1623" t="str">
            <v>ANGEL</v>
          </cell>
          <cell r="N1623" t="str">
            <v>PEREZ</v>
          </cell>
          <cell r="AF1623">
            <v>13180406.4</v>
          </cell>
        </row>
        <row r="1624">
          <cell r="M1624" t="str">
            <v>ANGELO</v>
          </cell>
          <cell r="N1624" t="str">
            <v>JIMENEZ</v>
          </cell>
          <cell r="AF1624">
            <v>12343406.4</v>
          </cell>
        </row>
        <row r="1625">
          <cell r="M1625" t="str">
            <v>ANGUSTIO</v>
          </cell>
          <cell r="N1625" t="str">
            <v>HIDALGO</v>
          </cell>
          <cell r="AF1625">
            <v>16058551.801860003</v>
          </cell>
        </row>
        <row r="1626">
          <cell r="M1626" t="str">
            <v>ANIBAL</v>
          </cell>
          <cell r="N1626" t="str">
            <v>ARIAS</v>
          </cell>
          <cell r="AF1626">
            <v>14380106.4</v>
          </cell>
        </row>
        <row r="1627">
          <cell r="M1627" t="str">
            <v>ANTONIO</v>
          </cell>
          <cell r="N1627" t="str">
            <v>PEREZ</v>
          </cell>
          <cell r="AF1627">
            <v>24924000.001860004</v>
          </cell>
        </row>
        <row r="1628">
          <cell r="M1628" t="str">
            <v>ARGENIS</v>
          </cell>
          <cell r="N1628" t="str">
            <v>DURAN</v>
          </cell>
          <cell r="AF1628">
            <v>12343406.4</v>
          </cell>
        </row>
        <row r="1629">
          <cell r="M1629" t="str">
            <v>ARNOLDO</v>
          </cell>
          <cell r="N1629" t="str">
            <v>CARVAJAL</v>
          </cell>
          <cell r="AF1629">
            <v>12343406.4</v>
          </cell>
        </row>
        <row r="1630">
          <cell r="M1630" t="str">
            <v>ARNOLDO</v>
          </cell>
          <cell r="N1630" t="str">
            <v>MORALES</v>
          </cell>
          <cell r="AF1630">
            <v>12343406.4</v>
          </cell>
        </row>
        <row r="1631">
          <cell r="M1631" t="str">
            <v>ASDRUBAL</v>
          </cell>
          <cell r="N1631" t="str">
            <v>MENA</v>
          </cell>
          <cell r="AF1631">
            <v>18507000.00186</v>
          </cell>
        </row>
        <row r="1632">
          <cell r="M1632" t="str">
            <v>ASDRUBAL</v>
          </cell>
          <cell r="N1632" t="str">
            <v>PULIDO</v>
          </cell>
          <cell r="AF1632">
            <v>17967600</v>
          </cell>
        </row>
        <row r="1633">
          <cell r="M1633" t="str">
            <v>AURA</v>
          </cell>
          <cell r="N1633" t="str">
            <v>COLMENARES</v>
          </cell>
          <cell r="AF1633">
            <v>24341634</v>
          </cell>
        </row>
        <row r="1634">
          <cell r="M1634" t="str">
            <v>AURELIO</v>
          </cell>
          <cell r="N1634" t="str">
            <v>GUTIERREZ</v>
          </cell>
          <cell r="AF1634">
            <v>13180406.4</v>
          </cell>
        </row>
        <row r="1635">
          <cell r="M1635" t="str">
            <v>BARBARO</v>
          </cell>
          <cell r="N1635" t="str">
            <v>NARVAEZ</v>
          </cell>
          <cell r="AF1635">
            <v>14380106.4</v>
          </cell>
        </row>
        <row r="1636">
          <cell r="M1636" t="str">
            <v>BELKIS</v>
          </cell>
          <cell r="N1636" t="str">
            <v>GONZALEZ</v>
          </cell>
          <cell r="AF1636">
            <v>65559608.000000007</v>
          </cell>
        </row>
        <row r="1637">
          <cell r="M1637" t="str">
            <v>BORIS</v>
          </cell>
          <cell r="N1637" t="str">
            <v>LUQUEZ</v>
          </cell>
          <cell r="AF1637">
            <v>14380106.4</v>
          </cell>
        </row>
        <row r="1638">
          <cell r="M1638" t="str">
            <v>CARLOS</v>
          </cell>
          <cell r="N1638" t="str">
            <v>BORGES</v>
          </cell>
          <cell r="AF1638">
            <v>44267999.99814</v>
          </cell>
        </row>
        <row r="1639">
          <cell r="M1639" t="str">
            <v>CARLOS</v>
          </cell>
          <cell r="N1639" t="str">
            <v>CADENA</v>
          </cell>
          <cell r="AF1639">
            <v>13180406.4</v>
          </cell>
        </row>
        <row r="1640">
          <cell r="M1640" t="str">
            <v>CARLOS</v>
          </cell>
          <cell r="N1640" t="str">
            <v>DIAZ</v>
          </cell>
          <cell r="AF1640">
            <v>12552619.198140003</v>
          </cell>
        </row>
        <row r="1641">
          <cell r="M1641" t="str">
            <v>CARLOS</v>
          </cell>
          <cell r="N1641" t="str">
            <v>GUEVARA</v>
          </cell>
          <cell r="AF1641">
            <v>13180406.4</v>
          </cell>
        </row>
        <row r="1642">
          <cell r="M1642" t="str">
            <v>CARLOS</v>
          </cell>
          <cell r="N1642" t="str">
            <v>GUTIERREZ</v>
          </cell>
          <cell r="AF1642">
            <v>36158400</v>
          </cell>
        </row>
        <row r="1643">
          <cell r="M1643" t="str">
            <v>CARLOS</v>
          </cell>
          <cell r="N1643" t="str">
            <v>LOZANO</v>
          </cell>
          <cell r="AF1643">
            <v>62868000.001860023</v>
          </cell>
        </row>
        <row r="1644">
          <cell r="M1644" t="str">
            <v>CARLOS</v>
          </cell>
          <cell r="N1644" t="str">
            <v>NOGUERA</v>
          </cell>
          <cell r="AF1644">
            <v>12343406.4</v>
          </cell>
        </row>
        <row r="1645">
          <cell r="M1645" t="str">
            <v>CARLOS</v>
          </cell>
          <cell r="N1645" t="str">
            <v>PARRA</v>
          </cell>
          <cell r="AF1645">
            <v>14380106.4</v>
          </cell>
        </row>
        <row r="1646">
          <cell r="M1646" t="str">
            <v>CARLOS</v>
          </cell>
          <cell r="N1646" t="str">
            <v>PEREZ</v>
          </cell>
          <cell r="AF1646">
            <v>12552619.198140003</v>
          </cell>
        </row>
        <row r="1647">
          <cell r="M1647" t="str">
            <v>CARLOS</v>
          </cell>
          <cell r="N1647" t="str">
            <v>QUINTANILLA</v>
          </cell>
          <cell r="AF1647">
            <v>82531043.849999994</v>
          </cell>
        </row>
        <row r="1648">
          <cell r="M1648" t="str">
            <v>CARLOS</v>
          </cell>
          <cell r="N1648" t="str">
            <v>ROJAS</v>
          </cell>
          <cell r="AF1648">
            <v>29759999.998140007</v>
          </cell>
        </row>
        <row r="1649">
          <cell r="M1649" t="str">
            <v>CARLOS</v>
          </cell>
          <cell r="N1649" t="str">
            <v>ZAMBRANO</v>
          </cell>
          <cell r="AF1649">
            <v>12343406.4</v>
          </cell>
        </row>
        <row r="1650">
          <cell r="M1650" t="str">
            <v>CARLOS H</v>
          </cell>
          <cell r="N1650" t="str">
            <v>HERNANDEZ</v>
          </cell>
          <cell r="AF1650">
            <v>13903500.00186</v>
          </cell>
        </row>
        <row r="1651">
          <cell r="M1651" t="str">
            <v>CARLOS M</v>
          </cell>
          <cell r="N1651" t="str">
            <v>HERNANDEZ</v>
          </cell>
          <cell r="AF1651">
            <v>12343406.4</v>
          </cell>
        </row>
        <row r="1652">
          <cell r="M1652" t="str">
            <v>CARMEN</v>
          </cell>
          <cell r="N1652" t="str">
            <v>MOLINA</v>
          </cell>
          <cell r="AF1652">
            <v>12343406.4</v>
          </cell>
        </row>
        <row r="1653">
          <cell r="M1653" t="str">
            <v>CARMEN</v>
          </cell>
          <cell r="N1653" t="str">
            <v>TORREALBA</v>
          </cell>
          <cell r="AF1653">
            <v>34929014.400000006</v>
          </cell>
        </row>
        <row r="1654">
          <cell r="M1654" t="str">
            <v>CASILDO</v>
          </cell>
          <cell r="N1654" t="str">
            <v>ZAPATA</v>
          </cell>
          <cell r="AF1654">
            <v>13180406.4</v>
          </cell>
        </row>
        <row r="1655">
          <cell r="M1655" t="str">
            <v>CESAR</v>
          </cell>
          <cell r="N1655" t="str">
            <v>GUEDEZ</v>
          </cell>
          <cell r="AF1655">
            <v>13180406.4</v>
          </cell>
        </row>
        <row r="1656">
          <cell r="M1656" t="str">
            <v>CESAR</v>
          </cell>
          <cell r="N1656" t="str">
            <v>MASABE</v>
          </cell>
          <cell r="AF1656">
            <v>8576460</v>
          </cell>
        </row>
        <row r="1657">
          <cell r="M1657" t="str">
            <v>CESAR</v>
          </cell>
          <cell r="N1657" t="str">
            <v>QUINTERO</v>
          </cell>
          <cell r="AF1657">
            <v>17967600</v>
          </cell>
        </row>
        <row r="1658">
          <cell r="M1658" t="str">
            <v>CLARIBEL</v>
          </cell>
          <cell r="N1658" t="str">
            <v>RODRIGUEZ</v>
          </cell>
          <cell r="AF1658">
            <v>40919999.99814</v>
          </cell>
        </row>
        <row r="1659">
          <cell r="M1659" t="str">
            <v>CLETO</v>
          </cell>
          <cell r="N1659" t="str">
            <v>ASCANIO</v>
          </cell>
          <cell r="AF1659">
            <v>12343406.4</v>
          </cell>
        </row>
        <row r="1660">
          <cell r="M1660" t="str">
            <v>CONCELACION</v>
          </cell>
          <cell r="N1660" t="str">
            <v>RIVAS</v>
          </cell>
          <cell r="AF1660">
            <v>13180406.4</v>
          </cell>
        </row>
        <row r="1661">
          <cell r="M1661" t="str">
            <v>CRISTOBAL</v>
          </cell>
          <cell r="N1661" t="str">
            <v>RIVAS</v>
          </cell>
          <cell r="AF1661">
            <v>13180406.4</v>
          </cell>
        </row>
        <row r="1662">
          <cell r="M1662" t="str">
            <v>CRUZ</v>
          </cell>
          <cell r="N1662" t="str">
            <v>GARCIA</v>
          </cell>
          <cell r="AF1662">
            <v>12343406.4</v>
          </cell>
        </row>
        <row r="1663">
          <cell r="M1663" t="str">
            <v>DANNY</v>
          </cell>
          <cell r="N1663" t="str">
            <v>GONZALEZ</v>
          </cell>
          <cell r="AF1663">
            <v>12343406.4</v>
          </cell>
        </row>
        <row r="1664">
          <cell r="M1664" t="str">
            <v>DARIO</v>
          </cell>
          <cell r="N1664" t="str">
            <v>GONZALEZ</v>
          </cell>
          <cell r="AF1664">
            <v>24179999.998140004</v>
          </cell>
        </row>
        <row r="1665">
          <cell r="M1665" t="str">
            <v>DARWIN</v>
          </cell>
          <cell r="N1665" t="str">
            <v>BRICEÑO</v>
          </cell>
          <cell r="AF1665">
            <v>15663506.4</v>
          </cell>
        </row>
        <row r="1666">
          <cell r="M1666" t="str">
            <v>DARWIN</v>
          </cell>
          <cell r="N1666" t="str">
            <v>PULIDO</v>
          </cell>
          <cell r="AF1666">
            <v>12343406.4</v>
          </cell>
        </row>
        <row r="1667">
          <cell r="M1667" t="str">
            <v>DAVID</v>
          </cell>
          <cell r="N1667" t="str">
            <v>MEJIAS</v>
          </cell>
          <cell r="AF1667">
            <v>12343406.4</v>
          </cell>
        </row>
        <row r="1668">
          <cell r="M1668" t="str">
            <v>DAYMAR</v>
          </cell>
          <cell r="N1668" t="str">
            <v>FERNANDEZ</v>
          </cell>
          <cell r="AF1668">
            <v>11435094</v>
          </cell>
        </row>
        <row r="1669">
          <cell r="M1669" t="str">
            <v>DEIVI</v>
          </cell>
          <cell r="N1669" t="str">
            <v>GRATEROL</v>
          </cell>
          <cell r="AF1669">
            <v>13180406.4</v>
          </cell>
        </row>
        <row r="1670">
          <cell r="M1670" t="str">
            <v>DENNYS</v>
          </cell>
          <cell r="N1670" t="str">
            <v>MEDINA</v>
          </cell>
          <cell r="AF1670">
            <v>16751606.4</v>
          </cell>
        </row>
        <row r="1671">
          <cell r="M1671" t="str">
            <v>DIXSON</v>
          </cell>
          <cell r="N1671" t="str">
            <v>MEJIAS</v>
          </cell>
          <cell r="AF1671">
            <v>12343406.4</v>
          </cell>
        </row>
        <row r="1672">
          <cell r="M1672" t="str">
            <v>DONIS</v>
          </cell>
          <cell r="N1672" t="str">
            <v>SILVA</v>
          </cell>
          <cell r="AF1672">
            <v>15663506.4</v>
          </cell>
        </row>
        <row r="1673">
          <cell r="M1673" t="str">
            <v>DOUGLAS</v>
          </cell>
          <cell r="N1673" t="str">
            <v>DURAN</v>
          </cell>
          <cell r="AF1673">
            <v>43189200</v>
          </cell>
        </row>
        <row r="1674">
          <cell r="M1674" t="str">
            <v>DOUGLAS</v>
          </cell>
          <cell r="N1674" t="str">
            <v>GARCIA</v>
          </cell>
          <cell r="AF1674">
            <v>14380106.4</v>
          </cell>
        </row>
        <row r="1675">
          <cell r="M1675" t="str">
            <v>EDDY</v>
          </cell>
          <cell r="N1675" t="str">
            <v>ARIAS</v>
          </cell>
          <cell r="AF1675">
            <v>15663506.4</v>
          </cell>
        </row>
        <row r="1676">
          <cell r="M1676" t="str">
            <v>EDGAR</v>
          </cell>
          <cell r="N1676" t="str">
            <v>GONZALEZ</v>
          </cell>
          <cell r="AF1676">
            <v>18079906.801860001</v>
          </cell>
        </row>
        <row r="1677">
          <cell r="M1677" t="str">
            <v>EDGAR</v>
          </cell>
          <cell r="N1677" t="str">
            <v>GUTIERREZ</v>
          </cell>
          <cell r="AF1677">
            <v>15663506.4</v>
          </cell>
        </row>
        <row r="1678">
          <cell r="M1678" t="str">
            <v>EDGAR</v>
          </cell>
          <cell r="N1678" t="str">
            <v>ORTEGA</v>
          </cell>
          <cell r="AF1678">
            <v>13180406.4</v>
          </cell>
        </row>
        <row r="1679">
          <cell r="M1679" t="str">
            <v>EDGAR</v>
          </cell>
          <cell r="N1679" t="str">
            <v>SANCHEZ</v>
          </cell>
          <cell r="AF1679">
            <v>12343406.4</v>
          </cell>
        </row>
        <row r="1680">
          <cell r="M1680" t="str">
            <v>EDUARDO</v>
          </cell>
          <cell r="N1680" t="str">
            <v>LOZANO</v>
          </cell>
          <cell r="AF1680">
            <v>14380106.4</v>
          </cell>
        </row>
        <row r="1681">
          <cell r="M1681" t="str">
            <v>EGAR</v>
          </cell>
          <cell r="N1681" t="str">
            <v>GARCIA</v>
          </cell>
          <cell r="AF1681">
            <v>14380106.4</v>
          </cell>
        </row>
        <row r="1682">
          <cell r="M1682" t="str">
            <v>ELIAS</v>
          </cell>
          <cell r="N1682" t="str">
            <v>ALEJOS</v>
          </cell>
          <cell r="AF1682">
            <v>15614699.998140002</v>
          </cell>
        </row>
        <row r="1683">
          <cell r="M1683" t="str">
            <v>ELIO</v>
          </cell>
          <cell r="N1683" t="str">
            <v>TERAN</v>
          </cell>
          <cell r="AF1683">
            <v>13180406.4</v>
          </cell>
        </row>
        <row r="1684">
          <cell r="M1684" t="str">
            <v>ELISAUL</v>
          </cell>
          <cell r="N1684" t="str">
            <v>ARIAS</v>
          </cell>
          <cell r="AF1684">
            <v>24924000.001860004</v>
          </cell>
        </row>
        <row r="1685">
          <cell r="M1685" t="str">
            <v>ELITCE</v>
          </cell>
          <cell r="N1685" t="str">
            <v>CONTRERAS</v>
          </cell>
          <cell r="AF1685">
            <v>12343406.4</v>
          </cell>
        </row>
        <row r="1686">
          <cell r="M1686" t="str">
            <v>ELOY</v>
          </cell>
          <cell r="N1686" t="str">
            <v>OSPINA</v>
          </cell>
          <cell r="AF1686">
            <v>12343406.4</v>
          </cell>
        </row>
        <row r="1687">
          <cell r="M1687" t="str">
            <v>ELVIS</v>
          </cell>
          <cell r="N1687" t="str">
            <v>GUEDEZ</v>
          </cell>
          <cell r="AF1687">
            <v>16751606.4</v>
          </cell>
        </row>
        <row r="1688">
          <cell r="M1688" t="str">
            <v>ENDER</v>
          </cell>
          <cell r="N1688" t="str">
            <v>DE PAZ</v>
          </cell>
          <cell r="AF1688">
            <v>12343406.4</v>
          </cell>
        </row>
        <row r="1689">
          <cell r="M1689" t="str">
            <v>ENDER</v>
          </cell>
          <cell r="N1689" t="str">
            <v>PUCHE</v>
          </cell>
          <cell r="AF1689">
            <v>13180406.4</v>
          </cell>
        </row>
        <row r="1690">
          <cell r="M1690" t="str">
            <v>ENGER</v>
          </cell>
          <cell r="N1690" t="str">
            <v>CHACON</v>
          </cell>
          <cell r="AF1690">
            <v>15663506.4</v>
          </cell>
        </row>
        <row r="1691">
          <cell r="M1691" t="str">
            <v>ENNIO</v>
          </cell>
          <cell r="N1691" t="str">
            <v>ROMERO</v>
          </cell>
          <cell r="AF1691">
            <v>20998656</v>
          </cell>
        </row>
        <row r="1692">
          <cell r="M1692" t="str">
            <v>ENRRIQUE</v>
          </cell>
          <cell r="N1692" t="str">
            <v>DELGADO</v>
          </cell>
          <cell r="AF1692">
            <v>13180406.4</v>
          </cell>
        </row>
        <row r="1693">
          <cell r="M1693" t="str">
            <v>ERIKA</v>
          </cell>
          <cell r="N1693" t="str">
            <v>AGUILAR</v>
          </cell>
          <cell r="AF1693">
            <v>15946245.000000002</v>
          </cell>
        </row>
        <row r="1694">
          <cell r="M1694" t="str">
            <v>ERNESTO</v>
          </cell>
          <cell r="N1694" t="str">
            <v>HERRERA</v>
          </cell>
          <cell r="AF1694">
            <v>8576460</v>
          </cell>
        </row>
        <row r="1695">
          <cell r="M1695" t="str">
            <v>ESTHER</v>
          </cell>
          <cell r="N1695" t="str">
            <v>ROJAS</v>
          </cell>
          <cell r="AF1695">
            <v>18079906.801860001</v>
          </cell>
        </row>
        <row r="1696">
          <cell r="M1696" t="str">
            <v>EUCLIDES</v>
          </cell>
          <cell r="N1696" t="str">
            <v>JIMENEZ</v>
          </cell>
          <cell r="AF1696">
            <v>13180406.4</v>
          </cell>
        </row>
        <row r="1697">
          <cell r="M1697" t="str">
            <v>EUMIL</v>
          </cell>
          <cell r="N1697" t="str">
            <v>CASTILLO</v>
          </cell>
          <cell r="AF1697">
            <v>12552619.198140003</v>
          </cell>
        </row>
        <row r="1698">
          <cell r="M1698" t="str">
            <v>EVELIO</v>
          </cell>
          <cell r="N1698" t="str">
            <v>BURGOS</v>
          </cell>
          <cell r="AF1698">
            <v>15663506.4</v>
          </cell>
        </row>
        <row r="1699">
          <cell r="M1699" t="str">
            <v>FELIX</v>
          </cell>
          <cell r="N1699" t="str">
            <v>RUIZ</v>
          </cell>
          <cell r="AF1699">
            <v>24049800</v>
          </cell>
        </row>
        <row r="1700">
          <cell r="M1700" t="str">
            <v>FERNANDO</v>
          </cell>
          <cell r="N1700" t="str">
            <v>VALERA</v>
          </cell>
          <cell r="AF1700">
            <v>12343406.4</v>
          </cell>
        </row>
        <row r="1701">
          <cell r="M1701" t="str">
            <v>FIDEL</v>
          </cell>
          <cell r="N1701" t="str">
            <v>LUNA</v>
          </cell>
          <cell r="AF1701">
            <v>13180406.4</v>
          </cell>
        </row>
        <row r="1702">
          <cell r="M1702" t="str">
            <v>FIDEL</v>
          </cell>
          <cell r="N1702" t="str">
            <v>VALLADARES</v>
          </cell>
          <cell r="AF1702">
            <v>13180406.4</v>
          </cell>
        </row>
        <row r="1703">
          <cell r="M1703" t="str">
            <v>FRANCISCO</v>
          </cell>
          <cell r="N1703" t="str">
            <v>DAVALILLO</v>
          </cell>
          <cell r="AF1703">
            <v>59683282.598140001</v>
          </cell>
        </row>
        <row r="1704">
          <cell r="M1704" t="str">
            <v>FRANCISCO</v>
          </cell>
          <cell r="N1704" t="str">
            <v>ESCALONA</v>
          </cell>
          <cell r="AF1704">
            <v>12343406.4</v>
          </cell>
        </row>
        <row r="1705">
          <cell r="M1705" t="str">
            <v>FRANCISCO</v>
          </cell>
          <cell r="N1705" t="str">
            <v>FREITEZ</v>
          </cell>
          <cell r="AF1705">
            <v>14380106.4</v>
          </cell>
        </row>
        <row r="1706">
          <cell r="M1706" t="str">
            <v>FRANKLIN</v>
          </cell>
          <cell r="N1706" t="str">
            <v>JUSTO</v>
          </cell>
          <cell r="AF1706">
            <v>11435094</v>
          </cell>
        </row>
        <row r="1707">
          <cell r="M1707" t="str">
            <v>FRANKLIN</v>
          </cell>
          <cell r="N1707" t="str">
            <v>LOPEZ</v>
          </cell>
          <cell r="AF1707">
            <v>16751606.4</v>
          </cell>
        </row>
        <row r="1708">
          <cell r="M1708" t="str">
            <v>FRANKLIN</v>
          </cell>
          <cell r="N1708" t="str">
            <v>ROSALES</v>
          </cell>
          <cell r="AF1708">
            <v>15663506.4</v>
          </cell>
        </row>
        <row r="1709">
          <cell r="M1709" t="str">
            <v>FRANKLIN</v>
          </cell>
          <cell r="N1709" t="str">
            <v>ROSALES</v>
          </cell>
          <cell r="AF1709">
            <v>12343406.4</v>
          </cell>
        </row>
        <row r="1710">
          <cell r="M1710" t="str">
            <v>FREDDY</v>
          </cell>
          <cell r="N1710" t="str">
            <v>COLMENAREZ</v>
          </cell>
          <cell r="AF1710">
            <v>16554000.00186</v>
          </cell>
        </row>
        <row r="1711">
          <cell r="M1711" t="str">
            <v>FREDDY</v>
          </cell>
          <cell r="N1711" t="str">
            <v>MALDONADO</v>
          </cell>
          <cell r="AF1711">
            <v>42787440</v>
          </cell>
        </row>
        <row r="1712">
          <cell r="M1712" t="str">
            <v>FREDDY</v>
          </cell>
          <cell r="N1712" t="str">
            <v>QUERO</v>
          </cell>
          <cell r="AF1712">
            <v>14380106.4</v>
          </cell>
        </row>
        <row r="1713">
          <cell r="M1713" t="str">
            <v>FREDIS</v>
          </cell>
          <cell r="N1713" t="str">
            <v>ALVARADO</v>
          </cell>
          <cell r="AF1713">
            <v>50822621.401859999</v>
          </cell>
        </row>
        <row r="1714">
          <cell r="M1714" t="str">
            <v>GAUDY</v>
          </cell>
          <cell r="N1714" t="str">
            <v>PEREZ</v>
          </cell>
          <cell r="AF1714">
            <v>12343406.4</v>
          </cell>
        </row>
        <row r="1715">
          <cell r="M1715" t="str">
            <v>GERMAN</v>
          </cell>
          <cell r="N1715" t="str">
            <v>SANCHEZ</v>
          </cell>
          <cell r="AF1715">
            <v>160704000</v>
          </cell>
        </row>
        <row r="1716">
          <cell r="M1716" t="str">
            <v>GERSON</v>
          </cell>
          <cell r="N1716" t="str">
            <v>LINAREZ</v>
          </cell>
          <cell r="AF1716">
            <v>16751606.4</v>
          </cell>
        </row>
        <row r="1717">
          <cell r="M1717" t="str">
            <v>GERVI</v>
          </cell>
          <cell r="N1717" t="str">
            <v>MARTINEZ</v>
          </cell>
          <cell r="AF1717">
            <v>14380106.4</v>
          </cell>
        </row>
        <row r="1718">
          <cell r="M1718" t="str">
            <v>GIOBANY</v>
          </cell>
          <cell r="N1718" t="str">
            <v>PEREZ</v>
          </cell>
          <cell r="AF1718">
            <v>143106644.44814003</v>
          </cell>
        </row>
        <row r="1719">
          <cell r="M1719" t="str">
            <v>GIOCONDA</v>
          </cell>
          <cell r="N1719" t="str">
            <v>HERRERA</v>
          </cell>
          <cell r="AF1719">
            <v>12343406.4</v>
          </cell>
        </row>
        <row r="1720">
          <cell r="M1720" t="str">
            <v>GIOVANIS</v>
          </cell>
          <cell r="N1720" t="str">
            <v>HERRERA</v>
          </cell>
          <cell r="AF1720">
            <v>13180406.4</v>
          </cell>
        </row>
        <row r="1721">
          <cell r="M1721" t="str">
            <v>GLADYS</v>
          </cell>
          <cell r="N1721" t="str">
            <v>CARVAJAL</v>
          </cell>
          <cell r="AF1721">
            <v>14380106.4</v>
          </cell>
        </row>
        <row r="1722">
          <cell r="M1722" t="str">
            <v>GREGORIO</v>
          </cell>
          <cell r="N1722" t="str">
            <v>PALOMINO</v>
          </cell>
          <cell r="AF1722">
            <v>13180406.4</v>
          </cell>
        </row>
        <row r="1723">
          <cell r="M1723" t="str">
            <v>GREISY</v>
          </cell>
          <cell r="N1723" t="str">
            <v>RODRIGUEZ</v>
          </cell>
          <cell r="AF1723">
            <v>24060960</v>
          </cell>
        </row>
        <row r="1724">
          <cell r="M1724" t="str">
            <v>GUSTAVO</v>
          </cell>
          <cell r="N1724" t="str">
            <v>ALVAREZ</v>
          </cell>
          <cell r="AF1724">
            <v>24366000.001860004</v>
          </cell>
        </row>
        <row r="1725">
          <cell r="M1725" t="str">
            <v>GUSTAVO</v>
          </cell>
          <cell r="N1725" t="str">
            <v>SANCHEZ</v>
          </cell>
          <cell r="AF1725">
            <v>15663506.4</v>
          </cell>
        </row>
        <row r="1726">
          <cell r="M1726" t="str">
            <v>GUSTAVO</v>
          </cell>
          <cell r="N1726" t="str">
            <v>VELASQUEZ</v>
          </cell>
          <cell r="AF1726">
            <v>13903500.00186</v>
          </cell>
        </row>
        <row r="1727">
          <cell r="M1727" t="str">
            <v>GUSTAVO</v>
          </cell>
          <cell r="N1727" t="str">
            <v>VILLAMIZAR</v>
          </cell>
          <cell r="AF1727">
            <v>43896000.001860008</v>
          </cell>
        </row>
        <row r="1728">
          <cell r="M1728" t="str">
            <v>HECTOR</v>
          </cell>
          <cell r="N1728" t="str">
            <v>ANDRADE</v>
          </cell>
          <cell r="AF1728">
            <v>14380106.4</v>
          </cell>
        </row>
        <row r="1729">
          <cell r="M1729" t="str">
            <v>HECTOR</v>
          </cell>
          <cell r="N1729" t="str">
            <v>FALCON</v>
          </cell>
          <cell r="AF1729">
            <v>15663506.4</v>
          </cell>
        </row>
        <row r="1730">
          <cell r="M1730" t="str">
            <v>HECTOR</v>
          </cell>
          <cell r="N1730" t="str">
            <v>GUDIÑO</v>
          </cell>
          <cell r="AF1730">
            <v>15663506.4</v>
          </cell>
        </row>
        <row r="1731">
          <cell r="M1731" t="str">
            <v>HECTOR</v>
          </cell>
          <cell r="N1731" t="str">
            <v>LEMUS</v>
          </cell>
          <cell r="AF1731">
            <v>13180406.4</v>
          </cell>
        </row>
        <row r="1732">
          <cell r="M1732" t="str">
            <v>HECTOR</v>
          </cell>
          <cell r="N1732" t="str">
            <v>MARTINEZ</v>
          </cell>
          <cell r="AF1732">
            <v>63814867.501860015</v>
          </cell>
        </row>
        <row r="1733">
          <cell r="M1733" t="str">
            <v>HEIMILEX</v>
          </cell>
          <cell r="N1733" t="str">
            <v>VASQUEZ</v>
          </cell>
          <cell r="AF1733">
            <v>15663506.4</v>
          </cell>
        </row>
        <row r="1734">
          <cell r="M1734" t="str">
            <v>HENRRY</v>
          </cell>
          <cell r="N1734" t="str">
            <v>QUINTERO</v>
          </cell>
          <cell r="AF1734">
            <v>14380106.4</v>
          </cell>
        </row>
        <row r="1735">
          <cell r="M1735" t="str">
            <v>HENRY</v>
          </cell>
          <cell r="N1735" t="str">
            <v>MOLINA</v>
          </cell>
          <cell r="AF1735">
            <v>15663506.4</v>
          </cell>
        </row>
        <row r="1736">
          <cell r="M1736" t="str">
            <v>HENRY</v>
          </cell>
          <cell r="N1736" t="str">
            <v>PEREZ</v>
          </cell>
          <cell r="AF1736">
            <v>24552000.000000004</v>
          </cell>
        </row>
        <row r="1737">
          <cell r="M1737" t="str">
            <v>HERNAN</v>
          </cell>
          <cell r="N1737" t="str">
            <v>BARRIOS</v>
          </cell>
          <cell r="AF1737">
            <v>14380106.4</v>
          </cell>
        </row>
        <row r="1738">
          <cell r="M1738" t="str">
            <v>HERNAN</v>
          </cell>
          <cell r="N1738" t="str">
            <v>PULGAR</v>
          </cell>
          <cell r="AF1738">
            <v>23956799.998140004</v>
          </cell>
        </row>
        <row r="1739">
          <cell r="M1739" t="str">
            <v>HERNANDO</v>
          </cell>
          <cell r="N1739" t="str">
            <v>MEJIAS</v>
          </cell>
          <cell r="AF1739">
            <v>46001520</v>
          </cell>
        </row>
        <row r="1740">
          <cell r="M1740" t="str">
            <v>HUMBERTO</v>
          </cell>
          <cell r="N1740" t="str">
            <v>GUERRERO</v>
          </cell>
          <cell r="AF1740">
            <v>21873600</v>
          </cell>
        </row>
        <row r="1741">
          <cell r="M1741" t="str">
            <v>IGNACIO</v>
          </cell>
          <cell r="N1741" t="str">
            <v>BASTIDAS</v>
          </cell>
          <cell r="AF1741">
            <v>12343406.4</v>
          </cell>
        </row>
        <row r="1742">
          <cell r="M1742" t="str">
            <v>INES</v>
          </cell>
          <cell r="N1742" t="str">
            <v>TRUJILLO</v>
          </cell>
          <cell r="AF1742">
            <v>14787000.000000002</v>
          </cell>
        </row>
        <row r="1743">
          <cell r="M1743" t="str">
            <v>ISMAEL</v>
          </cell>
          <cell r="N1743" t="str">
            <v>MENDEZ</v>
          </cell>
          <cell r="AF1743">
            <v>12343406.4</v>
          </cell>
        </row>
        <row r="1744">
          <cell r="M1744" t="str">
            <v>ISRAEL</v>
          </cell>
          <cell r="N1744" t="str">
            <v>SANCHEZ</v>
          </cell>
          <cell r="AF1744">
            <v>13180406.4</v>
          </cell>
        </row>
        <row r="1745">
          <cell r="M1745" t="str">
            <v>IVAN</v>
          </cell>
          <cell r="N1745" t="str">
            <v>MENDOZA</v>
          </cell>
          <cell r="AF1745">
            <v>15663506.4</v>
          </cell>
        </row>
        <row r="1746">
          <cell r="M1746" t="str">
            <v>JACINTO</v>
          </cell>
          <cell r="N1746" t="str">
            <v>MENDEZ</v>
          </cell>
          <cell r="AF1746">
            <v>15663506.4</v>
          </cell>
        </row>
        <row r="1747">
          <cell r="M1747" t="str">
            <v>JAIRO</v>
          </cell>
          <cell r="N1747" t="str">
            <v>ANDRADES</v>
          </cell>
          <cell r="AF1747">
            <v>13180406.4</v>
          </cell>
        </row>
        <row r="1748">
          <cell r="M1748" t="str">
            <v>JAVIER</v>
          </cell>
          <cell r="N1748" t="str">
            <v>CHINCHILLA</v>
          </cell>
          <cell r="AF1748">
            <v>13180406.4</v>
          </cell>
        </row>
        <row r="1749">
          <cell r="M1749" t="str">
            <v>JAVIER</v>
          </cell>
          <cell r="N1749" t="str">
            <v>FERNANDEZ</v>
          </cell>
          <cell r="AF1749">
            <v>34652637</v>
          </cell>
        </row>
        <row r="1750">
          <cell r="M1750" t="str">
            <v>JAVIER</v>
          </cell>
          <cell r="N1750" t="str">
            <v>GOMEZ</v>
          </cell>
          <cell r="AF1750">
            <v>14380106.4</v>
          </cell>
        </row>
        <row r="1751">
          <cell r="M1751" t="str">
            <v>JAVIER</v>
          </cell>
          <cell r="N1751" t="str">
            <v>ROJAS</v>
          </cell>
          <cell r="AF1751">
            <v>13180406.4</v>
          </cell>
        </row>
        <row r="1752">
          <cell r="M1752" t="str">
            <v>JEAN</v>
          </cell>
          <cell r="N1752" t="str">
            <v>GONZALEZ</v>
          </cell>
          <cell r="AF1752">
            <v>13180406.4</v>
          </cell>
        </row>
        <row r="1753">
          <cell r="M1753" t="str">
            <v>JEANCARLOS</v>
          </cell>
          <cell r="N1753" t="str">
            <v>FARFAN</v>
          </cell>
          <cell r="AF1753">
            <v>13180406.4</v>
          </cell>
        </row>
        <row r="1754">
          <cell r="M1754" t="str">
            <v>JEANCARLOS</v>
          </cell>
          <cell r="N1754" t="str">
            <v>OLIVIERA</v>
          </cell>
          <cell r="AF1754">
            <v>13180406.4</v>
          </cell>
        </row>
        <row r="1755">
          <cell r="M1755" t="str">
            <v>JESUS</v>
          </cell>
          <cell r="N1755" t="str">
            <v>ALBARAY</v>
          </cell>
          <cell r="AF1755">
            <v>15663506.4</v>
          </cell>
        </row>
        <row r="1756">
          <cell r="M1756" t="str">
            <v>JESUS</v>
          </cell>
          <cell r="N1756" t="str">
            <v>FIGUEREDO</v>
          </cell>
          <cell r="AF1756">
            <v>87887604.450000018</v>
          </cell>
        </row>
        <row r="1757">
          <cell r="M1757" t="str">
            <v>JESUS</v>
          </cell>
          <cell r="N1757" t="str">
            <v>HERNANDEZ</v>
          </cell>
          <cell r="AF1757">
            <v>12343406.4</v>
          </cell>
        </row>
        <row r="1758">
          <cell r="M1758" t="str">
            <v>JESUS</v>
          </cell>
          <cell r="N1758" t="str">
            <v>HERRERA</v>
          </cell>
          <cell r="AF1758">
            <v>15663506.4</v>
          </cell>
        </row>
        <row r="1759">
          <cell r="M1759" t="str">
            <v>JESUS</v>
          </cell>
          <cell r="N1759" t="str">
            <v>MENDOZA</v>
          </cell>
          <cell r="AF1759">
            <v>67084627.70000001</v>
          </cell>
        </row>
        <row r="1760">
          <cell r="M1760" t="str">
            <v>JESUS</v>
          </cell>
          <cell r="N1760" t="str">
            <v>MONTOLLA</v>
          </cell>
          <cell r="AF1760">
            <v>14380106.4</v>
          </cell>
        </row>
        <row r="1761">
          <cell r="M1761" t="str">
            <v>JESUS</v>
          </cell>
          <cell r="N1761" t="str">
            <v>ROJAS</v>
          </cell>
          <cell r="AF1761">
            <v>24998400.000000004</v>
          </cell>
        </row>
        <row r="1762">
          <cell r="M1762" t="str">
            <v>JESUS</v>
          </cell>
          <cell r="N1762" t="str">
            <v>VELASQUEZ</v>
          </cell>
          <cell r="AF1762">
            <v>15614699.998140002</v>
          </cell>
        </row>
        <row r="1763">
          <cell r="M1763" t="str">
            <v>JHOAN</v>
          </cell>
          <cell r="N1763" t="str">
            <v>GIL</v>
          </cell>
          <cell r="AF1763">
            <v>13180406.4</v>
          </cell>
        </row>
        <row r="1764">
          <cell r="M1764" t="str">
            <v>JHON</v>
          </cell>
          <cell r="N1764" t="str">
            <v>RODRIGUEZ</v>
          </cell>
          <cell r="AF1764">
            <v>12343406.4</v>
          </cell>
        </row>
        <row r="1765">
          <cell r="M1765" t="str">
            <v>JHONNY</v>
          </cell>
          <cell r="N1765" t="str">
            <v>MEJIAS</v>
          </cell>
          <cell r="AF1765">
            <v>12343406.4</v>
          </cell>
        </row>
        <row r="1766">
          <cell r="M1766" t="str">
            <v>JHONSON</v>
          </cell>
          <cell r="N1766" t="str">
            <v>GUALDRON</v>
          </cell>
          <cell r="AF1766">
            <v>12343406.4</v>
          </cell>
        </row>
        <row r="1767">
          <cell r="M1767" t="str">
            <v>JOHANA</v>
          </cell>
          <cell r="N1767" t="str">
            <v>OLIVAR</v>
          </cell>
          <cell r="AF1767">
            <v>11435094</v>
          </cell>
        </row>
        <row r="1768">
          <cell r="M1768" t="str">
            <v>JOHNNATHA</v>
          </cell>
          <cell r="N1768" t="str">
            <v>FERNANDEZ</v>
          </cell>
          <cell r="AF1768">
            <v>14380106.4</v>
          </cell>
        </row>
        <row r="1769">
          <cell r="M1769" t="str">
            <v>JOHNNY</v>
          </cell>
          <cell r="N1769" t="str">
            <v>MORALES</v>
          </cell>
          <cell r="AF1769">
            <v>15663506.4</v>
          </cell>
        </row>
        <row r="1770">
          <cell r="M1770" t="str">
            <v>JOHON</v>
          </cell>
          <cell r="N1770" t="str">
            <v>ARRIECHE</v>
          </cell>
          <cell r="AF1770">
            <v>14380106.4</v>
          </cell>
        </row>
        <row r="1771">
          <cell r="M1771" t="str">
            <v>JORGE</v>
          </cell>
          <cell r="N1771" t="str">
            <v>CEPERO</v>
          </cell>
          <cell r="AF1771">
            <v>62310000.001860023</v>
          </cell>
        </row>
        <row r="1772">
          <cell r="M1772" t="str">
            <v>JORGE</v>
          </cell>
          <cell r="N1772" t="str">
            <v>GARCIA</v>
          </cell>
          <cell r="AF1772">
            <v>13180406.4</v>
          </cell>
        </row>
        <row r="1773">
          <cell r="M1773" t="str">
            <v>JORGE</v>
          </cell>
          <cell r="N1773" t="str">
            <v>MATUTE</v>
          </cell>
          <cell r="AF1773">
            <v>24552000.000000004</v>
          </cell>
        </row>
        <row r="1774">
          <cell r="M1774" t="str">
            <v>JOSE</v>
          </cell>
          <cell r="N1774" t="str">
            <v>ACUÑA</v>
          </cell>
          <cell r="AF1774">
            <v>41130180</v>
          </cell>
        </row>
        <row r="1775">
          <cell r="M1775" t="str">
            <v>JOSE</v>
          </cell>
          <cell r="N1775" t="str">
            <v>AGUILAR</v>
          </cell>
          <cell r="AF1775">
            <v>27081599.998140004</v>
          </cell>
        </row>
        <row r="1776">
          <cell r="M1776" t="str">
            <v>JOSE</v>
          </cell>
          <cell r="N1776" t="str">
            <v>BANDRES</v>
          </cell>
          <cell r="AF1776">
            <v>13180406.4</v>
          </cell>
        </row>
        <row r="1777">
          <cell r="M1777" t="str">
            <v>JOSE</v>
          </cell>
          <cell r="N1777" t="str">
            <v>BASTIDAS</v>
          </cell>
          <cell r="AF1777">
            <v>27081599.998140004</v>
          </cell>
        </row>
        <row r="1778">
          <cell r="M1778" t="str">
            <v>JOSE</v>
          </cell>
          <cell r="N1778" t="str">
            <v>BENITEZ</v>
          </cell>
          <cell r="AF1778">
            <v>14380106.4</v>
          </cell>
        </row>
        <row r="1779">
          <cell r="M1779" t="str">
            <v>JOSE</v>
          </cell>
          <cell r="N1779" t="str">
            <v>BORJAS</v>
          </cell>
          <cell r="AF1779">
            <v>15663506.4</v>
          </cell>
        </row>
        <row r="1780">
          <cell r="M1780" t="str">
            <v>JOSE</v>
          </cell>
          <cell r="N1780" t="str">
            <v>CANELONES</v>
          </cell>
          <cell r="AF1780">
            <v>12343406.4</v>
          </cell>
        </row>
        <row r="1781">
          <cell r="M1781" t="str">
            <v>JOSE</v>
          </cell>
          <cell r="N1781" t="str">
            <v>COLINA</v>
          </cell>
          <cell r="AF1781">
            <v>26040000.001860004</v>
          </cell>
        </row>
        <row r="1782">
          <cell r="M1782" t="str">
            <v>JOSE</v>
          </cell>
          <cell r="N1782" t="str">
            <v>DELGADO</v>
          </cell>
          <cell r="AF1782">
            <v>12343406.4</v>
          </cell>
        </row>
        <row r="1783">
          <cell r="M1783" t="str">
            <v>JOSE</v>
          </cell>
          <cell r="N1783" t="str">
            <v>DELGADO</v>
          </cell>
          <cell r="AF1783">
            <v>15663506.4</v>
          </cell>
        </row>
        <row r="1784">
          <cell r="M1784" t="str">
            <v>JOSE</v>
          </cell>
          <cell r="N1784" t="str">
            <v>FERRER</v>
          </cell>
          <cell r="AF1784">
            <v>84369600</v>
          </cell>
        </row>
        <row r="1785">
          <cell r="M1785" t="str">
            <v>JOSE</v>
          </cell>
          <cell r="N1785" t="str">
            <v>GARCIA</v>
          </cell>
          <cell r="AF1785">
            <v>36669360</v>
          </cell>
        </row>
        <row r="1786">
          <cell r="M1786" t="str">
            <v>JOSE</v>
          </cell>
          <cell r="N1786" t="str">
            <v>GIL</v>
          </cell>
          <cell r="AF1786">
            <v>8576460</v>
          </cell>
        </row>
        <row r="1787">
          <cell r="M1787" t="str">
            <v>JOSE</v>
          </cell>
          <cell r="N1787" t="str">
            <v>GONZALEZ</v>
          </cell>
          <cell r="AF1787">
            <v>24924000.001860004</v>
          </cell>
        </row>
        <row r="1788">
          <cell r="M1788" t="str">
            <v>JOSE</v>
          </cell>
          <cell r="N1788" t="str">
            <v>GRATEROL</v>
          </cell>
          <cell r="AF1788">
            <v>15614699.998140002</v>
          </cell>
        </row>
        <row r="1789">
          <cell r="M1789" t="str">
            <v>JOSE</v>
          </cell>
          <cell r="N1789" t="str">
            <v>GUDIÑO</v>
          </cell>
          <cell r="AF1789">
            <v>12343406.4</v>
          </cell>
        </row>
        <row r="1790">
          <cell r="M1790" t="str">
            <v>JOSE</v>
          </cell>
          <cell r="N1790" t="str">
            <v>HERRERA</v>
          </cell>
          <cell r="AF1790">
            <v>13180406.4</v>
          </cell>
        </row>
        <row r="1791">
          <cell r="M1791" t="str">
            <v>JOSE</v>
          </cell>
          <cell r="N1791" t="str">
            <v>HIDALGO</v>
          </cell>
          <cell r="AF1791">
            <v>16751606.4</v>
          </cell>
        </row>
        <row r="1792">
          <cell r="M1792" t="str">
            <v>JOSE</v>
          </cell>
          <cell r="N1792" t="str">
            <v>LOPEZ</v>
          </cell>
          <cell r="AF1792">
            <v>15663506.4</v>
          </cell>
        </row>
        <row r="1793">
          <cell r="M1793" t="str">
            <v>JOSE</v>
          </cell>
          <cell r="N1793" t="str">
            <v>MARQUEZ</v>
          </cell>
          <cell r="AF1793">
            <v>15663506.4</v>
          </cell>
        </row>
        <row r="1794">
          <cell r="M1794" t="str">
            <v>JOSE</v>
          </cell>
          <cell r="N1794" t="str">
            <v>MEDINA</v>
          </cell>
          <cell r="AF1794">
            <v>12343406.4</v>
          </cell>
        </row>
        <row r="1795">
          <cell r="M1795" t="str">
            <v>JOSE</v>
          </cell>
          <cell r="N1795" t="str">
            <v>MEJIAS</v>
          </cell>
          <cell r="AF1795">
            <v>14380106.4</v>
          </cell>
        </row>
        <row r="1796">
          <cell r="M1796" t="str">
            <v>JOSE</v>
          </cell>
          <cell r="N1796" t="str">
            <v>MORALES</v>
          </cell>
          <cell r="AF1796">
            <v>14380106.4</v>
          </cell>
        </row>
        <row r="1797">
          <cell r="M1797" t="str">
            <v>JOSE</v>
          </cell>
          <cell r="N1797" t="str">
            <v>NUÑEZ</v>
          </cell>
          <cell r="AF1797">
            <v>13180406.4</v>
          </cell>
        </row>
        <row r="1798">
          <cell r="M1798" t="str">
            <v>JOSE</v>
          </cell>
          <cell r="N1798" t="str">
            <v>OLEA</v>
          </cell>
          <cell r="AF1798">
            <v>13180406.4</v>
          </cell>
        </row>
        <row r="1799">
          <cell r="M1799" t="str">
            <v>JOSE</v>
          </cell>
          <cell r="N1799" t="str">
            <v>ORTEGANO</v>
          </cell>
          <cell r="AF1799">
            <v>12343406.4</v>
          </cell>
        </row>
        <row r="1800">
          <cell r="M1800" t="str">
            <v>JOSE</v>
          </cell>
          <cell r="N1800" t="str">
            <v>PICADO</v>
          </cell>
          <cell r="AF1800">
            <v>16751606.4</v>
          </cell>
        </row>
        <row r="1801">
          <cell r="M1801" t="str">
            <v>JOSE</v>
          </cell>
          <cell r="N1801" t="str">
            <v>QUINTERO</v>
          </cell>
          <cell r="AF1801">
            <v>14380106.4</v>
          </cell>
        </row>
        <row r="1802">
          <cell r="M1802" t="str">
            <v>JOSE</v>
          </cell>
          <cell r="N1802" t="str">
            <v>RAMIREZ</v>
          </cell>
          <cell r="AF1802">
            <v>12343406.4</v>
          </cell>
        </row>
        <row r="1803">
          <cell r="M1803" t="str">
            <v>JOSE</v>
          </cell>
          <cell r="N1803" t="str">
            <v>REYES</v>
          </cell>
          <cell r="AF1803">
            <v>13180406.4</v>
          </cell>
        </row>
        <row r="1804">
          <cell r="M1804" t="str">
            <v>JOSE</v>
          </cell>
          <cell r="N1804" t="str">
            <v>RIVERO</v>
          </cell>
          <cell r="AF1804">
            <v>12343406.4</v>
          </cell>
        </row>
        <row r="1805">
          <cell r="M1805" t="str">
            <v>JOSE</v>
          </cell>
          <cell r="N1805" t="str">
            <v>RODRIGUEZ</v>
          </cell>
          <cell r="AF1805">
            <v>12343406.4</v>
          </cell>
        </row>
        <row r="1806">
          <cell r="M1806" t="str">
            <v>JOSE</v>
          </cell>
          <cell r="N1806" t="str">
            <v>ROMERO</v>
          </cell>
          <cell r="AF1806">
            <v>14380106.4</v>
          </cell>
        </row>
        <row r="1807">
          <cell r="M1807" t="str">
            <v>JOSE</v>
          </cell>
          <cell r="N1807" t="str">
            <v>RUSSO</v>
          </cell>
          <cell r="AF1807">
            <v>25154640.000000004</v>
          </cell>
        </row>
        <row r="1808">
          <cell r="M1808" t="str">
            <v>JOSE</v>
          </cell>
          <cell r="N1808" t="str">
            <v>SANCHEZ</v>
          </cell>
          <cell r="AF1808">
            <v>15663506.4</v>
          </cell>
        </row>
        <row r="1809">
          <cell r="M1809" t="str">
            <v>JOSE</v>
          </cell>
          <cell r="N1809" t="str">
            <v>SANCHEZ</v>
          </cell>
          <cell r="AF1809">
            <v>12343406.4</v>
          </cell>
        </row>
        <row r="1810">
          <cell r="M1810" t="str">
            <v>JOSE</v>
          </cell>
          <cell r="N1810" t="str">
            <v>TIJERA</v>
          </cell>
          <cell r="AF1810">
            <v>8576460</v>
          </cell>
        </row>
        <row r="1811">
          <cell r="M1811" t="str">
            <v>JOSE</v>
          </cell>
          <cell r="N1811" t="str">
            <v>VELA</v>
          </cell>
          <cell r="AF1811">
            <v>30641193.598140001</v>
          </cell>
        </row>
        <row r="1812">
          <cell r="M1812" t="str">
            <v>JOSE</v>
          </cell>
          <cell r="N1812" t="str">
            <v>VELASQUEZ</v>
          </cell>
          <cell r="AF1812">
            <v>14380106.4</v>
          </cell>
        </row>
        <row r="1813">
          <cell r="M1813" t="str">
            <v>JOSE</v>
          </cell>
          <cell r="N1813" t="str">
            <v>VELASQUEZ</v>
          </cell>
          <cell r="AF1813">
            <v>14380106.4</v>
          </cell>
        </row>
        <row r="1814">
          <cell r="M1814" t="str">
            <v>JOSE CONSTANT</v>
          </cell>
          <cell r="N1814" t="str">
            <v>VELASQUEZ</v>
          </cell>
          <cell r="AF1814">
            <v>14380106.4</v>
          </cell>
        </row>
        <row r="1815">
          <cell r="M1815" t="str">
            <v>JOSE GREGORIO</v>
          </cell>
          <cell r="N1815" t="str">
            <v>CASTILLO</v>
          </cell>
          <cell r="AF1815">
            <v>26456639.998140004</v>
          </cell>
        </row>
        <row r="1816">
          <cell r="M1816" t="str">
            <v>JOSE GREGORIO</v>
          </cell>
          <cell r="N1816" t="str">
            <v>HERNANDEZ</v>
          </cell>
          <cell r="AF1816">
            <v>14380106.4</v>
          </cell>
        </row>
        <row r="1817">
          <cell r="M1817" t="str">
            <v>JOSE GREGORIO</v>
          </cell>
          <cell r="N1817" t="str">
            <v>PEREZ</v>
          </cell>
          <cell r="AF1817">
            <v>18181499.998140004</v>
          </cell>
        </row>
        <row r="1818">
          <cell r="M1818" t="str">
            <v>JOSE GUILLERMO</v>
          </cell>
          <cell r="N1818" t="str">
            <v>CASTILLO</v>
          </cell>
          <cell r="AF1818">
            <v>16751606.4</v>
          </cell>
        </row>
        <row r="1819">
          <cell r="M1819" t="str">
            <v>JOSE L.</v>
          </cell>
          <cell r="N1819" t="str">
            <v>PEREZ</v>
          </cell>
          <cell r="AF1819">
            <v>13180406.4</v>
          </cell>
        </row>
        <row r="1820">
          <cell r="M1820" t="str">
            <v>JOSE VALERIO</v>
          </cell>
          <cell r="N1820" t="str">
            <v>GARCIA</v>
          </cell>
          <cell r="AF1820">
            <v>12552619.198140003</v>
          </cell>
        </row>
        <row r="1821">
          <cell r="M1821" t="str">
            <v>JOSEFA</v>
          </cell>
          <cell r="N1821" t="str">
            <v>LOYO</v>
          </cell>
          <cell r="AF1821">
            <v>23250000.001860004</v>
          </cell>
        </row>
        <row r="1822">
          <cell r="M1822" t="str">
            <v>JOVANNY</v>
          </cell>
          <cell r="N1822" t="str">
            <v>VALERA</v>
          </cell>
          <cell r="AF1822">
            <v>16751606.4</v>
          </cell>
        </row>
        <row r="1823">
          <cell r="M1823" t="str">
            <v>JOVANY</v>
          </cell>
          <cell r="N1823" t="str">
            <v>LOZADA</v>
          </cell>
          <cell r="AF1823">
            <v>12343406.4</v>
          </cell>
        </row>
        <row r="1824">
          <cell r="M1824" t="str">
            <v>JOYNER</v>
          </cell>
          <cell r="N1824" t="str">
            <v>OVIEDO</v>
          </cell>
          <cell r="AF1824">
            <v>13180406.4</v>
          </cell>
        </row>
        <row r="1825">
          <cell r="M1825" t="str">
            <v>JUAN</v>
          </cell>
          <cell r="N1825" t="str">
            <v>BALDA</v>
          </cell>
          <cell r="AF1825">
            <v>13180406.4</v>
          </cell>
        </row>
        <row r="1826">
          <cell r="M1826" t="str">
            <v>JUAN</v>
          </cell>
          <cell r="N1826" t="str">
            <v>BRICEÑO</v>
          </cell>
          <cell r="AF1826">
            <v>12552619.198140003</v>
          </cell>
        </row>
        <row r="1827">
          <cell r="M1827" t="str">
            <v>JUAN</v>
          </cell>
          <cell r="N1827" t="str">
            <v>CANELON</v>
          </cell>
          <cell r="AF1827">
            <v>13180406.4</v>
          </cell>
        </row>
        <row r="1828">
          <cell r="M1828" t="str">
            <v>JUAN</v>
          </cell>
          <cell r="N1828" t="str">
            <v>CASARES</v>
          </cell>
          <cell r="AF1828">
            <v>20537004.001860004</v>
          </cell>
        </row>
        <row r="1829">
          <cell r="M1829" t="str">
            <v>JUAN</v>
          </cell>
          <cell r="N1829" t="str">
            <v>GARCIA</v>
          </cell>
          <cell r="AF1829">
            <v>13180406.4</v>
          </cell>
        </row>
        <row r="1830">
          <cell r="M1830" t="str">
            <v>JUAN</v>
          </cell>
          <cell r="N1830" t="str">
            <v>GARCIA</v>
          </cell>
          <cell r="AF1830">
            <v>13180406.4</v>
          </cell>
        </row>
        <row r="1831">
          <cell r="M1831" t="str">
            <v>JUAN</v>
          </cell>
          <cell r="N1831" t="str">
            <v>IGLECIA</v>
          </cell>
          <cell r="AF1831">
            <v>12552619.198140003</v>
          </cell>
        </row>
        <row r="1832">
          <cell r="M1832" t="str">
            <v>JUAN</v>
          </cell>
          <cell r="N1832" t="str">
            <v>LA PIRA</v>
          </cell>
          <cell r="AF1832">
            <v>14380106.4</v>
          </cell>
        </row>
        <row r="1833">
          <cell r="M1833" t="str">
            <v>JUAN</v>
          </cell>
          <cell r="N1833" t="str">
            <v>LEMUS</v>
          </cell>
          <cell r="AF1833">
            <v>15663506.4</v>
          </cell>
        </row>
        <row r="1834">
          <cell r="M1834" t="str">
            <v>JUAN</v>
          </cell>
          <cell r="N1834" t="str">
            <v>MORILLO</v>
          </cell>
          <cell r="AF1834">
            <v>14380106.4</v>
          </cell>
        </row>
        <row r="1835">
          <cell r="M1835" t="str">
            <v>JUAN</v>
          </cell>
          <cell r="N1835" t="str">
            <v>NUÑEZ</v>
          </cell>
          <cell r="AF1835">
            <v>25154640.000000004</v>
          </cell>
        </row>
        <row r="1836">
          <cell r="M1836" t="str">
            <v>JUAN</v>
          </cell>
          <cell r="N1836" t="str">
            <v>PEREIRA</v>
          </cell>
          <cell r="AF1836">
            <v>14380106.4</v>
          </cell>
        </row>
        <row r="1837">
          <cell r="M1837" t="str">
            <v>JUAN</v>
          </cell>
          <cell r="N1837" t="str">
            <v>SAYAGO</v>
          </cell>
          <cell r="AF1837">
            <v>24060960</v>
          </cell>
        </row>
        <row r="1838">
          <cell r="M1838" t="str">
            <v>JUAN ALEXANDER</v>
          </cell>
          <cell r="N1838" t="str">
            <v>HERNANDEZ</v>
          </cell>
          <cell r="AF1838">
            <v>15663506.4</v>
          </cell>
        </row>
        <row r="1839">
          <cell r="M1839" t="str">
            <v>JULIAN</v>
          </cell>
          <cell r="N1839" t="str">
            <v>FERNANDEZ</v>
          </cell>
          <cell r="AF1839">
            <v>13180406.4</v>
          </cell>
        </row>
        <row r="1840">
          <cell r="M1840" t="str">
            <v>JULIAN</v>
          </cell>
          <cell r="N1840" t="str">
            <v>MENDOZA</v>
          </cell>
          <cell r="AF1840">
            <v>13180406.4</v>
          </cell>
        </row>
        <row r="1841">
          <cell r="M1841" t="str">
            <v>JULIO</v>
          </cell>
          <cell r="N1841" t="str">
            <v>MEDINA</v>
          </cell>
          <cell r="AF1841">
            <v>12552619.198140003</v>
          </cell>
        </row>
        <row r="1842">
          <cell r="M1842" t="str">
            <v>JULIO</v>
          </cell>
          <cell r="N1842" t="str">
            <v>RODRIGUEZ</v>
          </cell>
          <cell r="AF1842">
            <v>15663506.4</v>
          </cell>
        </row>
        <row r="1843">
          <cell r="M1843" t="str">
            <v>JULIO</v>
          </cell>
          <cell r="N1843" t="str">
            <v>TORRES</v>
          </cell>
          <cell r="AF1843">
            <v>14380106.4</v>
          </cell>
        </row>
        <row r="1844">
          <cell r="M1844" t="str">
            <v>KATY</v>
          </cell>
          <cell r="N1844" t="str">
            <v>CARRERO</v>
          </cell>
          <cell r="AF1844">
            <v>12343406.4</v>
          </cell>
        </row>
        <row r="1845">
          <cell r="M1845" t="str">
            <v>LEDILA</v>
          </cell>
          <cell r="N1845" t="str">
            <v>MONTERO</v>
          </cell>
          <cell r="AF1845">
            <v>14380106.4</v>
          </cell>
        </row>
        <row r="1846">
          <cell r="M1846" t="str">
            <v>LENIN</v>
          </cell>
          <cell r="N1846" t="str">
            <v>PIÑA</v>
          </cell>
          <cell r="AF1846">
            <v>14380106.4</v>
          </cell>
        </row>
        <row r="1847">
          <cell r="M1847" t="str">
            <v>LENNY</v>
          </cell>
          <cell r="N1847" t="str">
            <v>AZUAJE</v>
          </cell>
          <cell r="AF1847">
            <v>49215600.000000007</v>
          </cell>
        </row>
        <row r="1848">
          <cell r="M1848" t="str">
            <v>LENNY</v>
          </cell>
          <cell r="N1848" t="str">
            <v>HERNANDEZ</v>
          </cell>
          <cell r="AF1848">
            <v>11435094</v>
          </cell>
        </row>
        <row r="1849">
          <cell r="M1849" t="str">
            <v>LEON</v>
          </cell>
          <cell r="N1849" t="str">
            <v>HERNANDEZ</v>
          </cell>
          <cell r="AF1849">
            <v>15663506.4</v>
          </cell>
        </row>
        <row r="1850">
          <cell r="M1850" t="str">
            <v>LEONCIO</v>
          </cell>
          <cell r="N1850" t="str">
            <v>CARBALLO</v>
          </cell>
          <cell r="AF1850">
            <v>12343406.4</v>
          </cell>
        </row>
        <row r="1851">
          <cell r="M1851" t="str">
            <v>LEONEL</v>
          </cell>
          <cell r="N1851" t="str">
            <v>BRICEÑO</v>
          </cell>
          <cell r="AF1851">
            <v>32549999.998140007</v>
          </cell>
        </row>
        <row r="1852">
          <cell r="M1852" t="str">
            <v>LIDYS</v>
          </cell>
          <cell r="N1852" t="str">
            <v>CASTILLO</v>
          </cell>
          <cell r="AF1852">
            <v>26035033.801859997</v>
          </cell>
        </row>
        <row r="1853">
          <cell r="M1853" t="str">
            <v>LIGNE</v>
          </cell>
          <cell r="N1853" t="str">
            <v>LORETO</v>
          </cell>
          <cell r="AF1853">
            <v>11435094</v>
          </cell>
        </row>
        <row r="1854">
          <cell r="M1854" t="str">
            <v>LIN</v>
          </cell>
          <cell r="N1854" t="str">
            <v>FLORES</v>
          </cell>
          <cell r="AF1854">
            <v>26040000.001860004</v>
          </cell>
        </row>
        <row r="1855">
          <cell r="M1855" t="str">
            <v>LISETH</v>
          </cell>
          <cell r="N1855" t="str">
            <v>VILLANUEVA</v>
          </cell>
          <cell r="AF1855">
            <v>11435094</v>
          </cell>
        </row>
        <row r="1856">
          <cell r="M1856" t="str">
            <v>LUCIBELL</v>
          </cell>
          <cell r="N1856" t="str">
            <v>VALLADARES</v>
          </cell>
          <cell r="AF1856">
            <v>42780000.001860008</v>
          </cell>
        </row>
        <row r="1857">
          <cell r="M1857" t="str">
            <v>LUCILO</v>
          </cell>
          <cell r="N1857" t="str">
            <v>MARIN</v>
          </cell>
          <cell r="AF1857">
            <v>15663506.4</v>
          </cell>
        </row>
        <row r="1858">
          <cell r="M1858" t="str">
            <v>LUIS</v>
          </cell>
          <cell r="N1858" t="str">
            <v>BRITO</v>
          </cell>
          <cell r="AF1858">
            <v>13180406.4</v>
          </cell>
        </row>
        <row r="1859">
          <cell r="M1859" t="str">
            <v>LUIS</v>
          </cell>
          <cell r="N1859" t="str">
            <v>GONZALEZ</v>
          </cell>
          <cell r="AF1859">
            <v>16751606.4</v>
          </cell>
        </row>
        <row r="1860">
          <cell r="M1860" t="str">
            <v>LUIS</v>
          </cell>
          <cell r="N1860" t="str">
            <v>GONZALEZ</v>
          </cell>
          <cell r="AF1860">
            <v>12343406.4</v>
          </cell>
        </row>
        <row r="1861">
          <cell r="M1861" t="str">
            <v>LUIS</v>
          </cell>
          <cell r="N1861" t="str">
            <v>MARQUEZ</v>
          </cell>
          <cell r="AF1861">
            <v>14380106.4</v>
          </cell>
        </row>
        <row r="1862">
          <cell r="M1862" t="str">
            <v>LUIS</v>
          </cell>
          <cell r="N1862" t="str">
            <v>MONTILLA</v>
          </cell>
          <cell r="AF1862">
            <v>14380106.4</v>
          </cell>
        </row>
        <row r="1863">
          <cell r="M1863" t="str">
            <v>LUIS</v>
          </cell>
          <cell r="N1863" t="str">
            <v>MORALES</v>
          </cell>
          <cell r="AF1863">
            <v>16751606.4</v>
          </cell>
        </row>
        <row r="1864">
          <cell r="M1864" t="str">
            <v>LUIS</v>
          </cell>
          <cell r="N1864" t="str">
            <v>RODRIGUEZ</v>
          </cell>
          <cell r="AF1864">
            <v>8576460</v>
          </cell>
        </row>
        <row r="1865">
          <cell r="M1865" t="str">
            <v>LUIS</v>
          </cell>
          <cell r="N1865" t="str">
            <v>SEQUERA</v>
          </cell>
          <cell r="AF1865">
            <v>12343406.4</v>
          </cell>
        </row>
        <row r="1866">
          <cell r="M1866" t="str">
            <v>LUIS</v>
          </cell>
          <cell r="N1866" t="str">
            <v>TORRES</v>
          </cell>
          <cell r="AF1866">
            <v>12552619.198140003</v>
          </cell>
        </row>
        <row r="1867">
          <cell r="M1867" t="str">
            <v>LUIS</v>
          </cell>
          <cell r="N1867" t="str">
            <v>VARGAS</v>
          </cell>
          <cell r="AF1867">
            <v>23250000.001860004</v>
          </cell>
        </row>
        <row r="1868">
          <cell r="M1868" t="str">
            <v>LUIS</v>
          </cell>
          <cell r="N1868" t="str">
            <v>VELA</v>
          </cell>
          <cell r="AF1868">
            <v>14380106.4</v>
          </cell>
        </row>
        <row r="1869">
          <cell r="M1869" t="str">
            <v>LUZ</v>
          </cell>
          <cell r="N1869" t="str">
            <v>REALES</v>
          </cell>
          <cell r="AF1869">
            <v>12343406.4</v>
          </cell>
        </row>
        <row r="1870">
          <cell r="M1870" t="str">
            <v>LUZMAR</v>
          </cell>
          <cell r="N1870" t="str">
            <v>VESPA</v>
          </cell>
          <cell r="AF1870">
            <v>65275184.050000004</v>
          </cell>
        </row>
        <row r="1871">
          <cell r="M1871" t="str">
            <v>MANUEL</v>
          </cell>
          <cell r="N1871" t="str">
            <v>DE LA ROSA</v>
          </cell>
          <cell r="AF1871">
            <v>25154640.000000004</v>
          </cell>
        </row>
        <row r="1872">
          <cell r="M1872" t="str">
            <v>MANUEL</v>
          </cell>
          <cell r="N1872" t="str">
            <v>GARCIA</v>
          </cell>
          <cell r="AF1872">
            <v>111291952.00000001</v>
          </cell>
        </row>
        <row r="1873">
          <cell r="M1873" t="str">
            <v>MANUEL</v>
          </cell>
          <cell r="N1873" t="str">
            <v>LEIDENZ</v>
          </cell>
          <cell r="AF1873">
            <v>105404468.35000001</v>
          </cell>
        </row>
        <row r="1874">
          <cell r="M1874" t="str">
            <v>MARBELLA</v>
          </cell>
          <cell r="N1874" t="str">
            <v>RAMIREZ</v>
          </cell>
          <cell r="AF1874">
            <v>34997760</v>
          </cell>
        </row>
        <row r="1875">
          <cell r="M1875" t="str">
            <v>MARCO</v>
          </cell>
          <cell r="N1875" t="str">
            <v>MELO</v>
          </cell>
          <cell r="AF1875">
            <v>24179999.998140004</v>
          </cell>
        </row>
        <row r="1876">
          <cell r="M1876" t="str">
            <v>MARELVIS</v>
          </cell>
          <cell r="N1876" t="str">
            <v>CASTILLO</v>
          </cell>
          <cell r="AF1876">
            <v>25154640.000000004</v>
          </cell>
        </row>
        <row r="1877">
          <cell r="M1877" t="str">
            <v>MARIA</v>
          </cell>
          <cell r="N1877" t="str">
            <v>BASTIDAS</v>
          </cell>
          <cell r="AF1877">
            <v>24341634</v>
          </cell>
        </row>
        <row r="1878">
          <cell r="M1878" t="str">
            <v>MARIA</v>
          </cell>
          <cell r="N1878" t="str">
            <v>BRACAMONTE</v>
          </cell>
          <cell r="AF1878">
            <v>12343406.4</v>
          </cell>
        </row>
        <row r="1879">
          <cell r="M1879" t="str">
            <v>MARIA</v>
          </cell>
          <cell r="N1879" t="str">
            <v>ESPINO</v>
          </cell>
          <cell r="AF1879">
            <v>14380106.4</v>
          </cell>
        </row>
        <row r="1880">
          <cell r="M1880" t="str">
            <v>MARIA</v>
          </cell>
          <cell r="N1880" t="str">
            <v>MENDEZ</v>
          </cell>
          <cell r="AF1880">
            <v>24341634</v>
          </cell>
        </row>
        <row r="1881">
          <cell r="M1881" t="str">
            <v>MARIA</v>
          </cell>
          <cell r="N1881" t="str">
            <v>PUERTA</v>
          </cell>
          <cell r="AF1881">
            <v>21018000.001860004</v>
          </cell>
        </row>
        <row r="1882">
          <cell r="M1882" t="str">
            <v>MARIA</v>
          </cell>
          <cell r="N1882" t="str">
            <v>RAMOS</v>
          </cell>
          <cell r="AF1882">
            <v>11435094</v>
          </cell>
        </row>
        <row r="1883">
          <cell r="M1883" t="str">
            <v>MARIA</v>
          </cell>
          <cell r="N1883" t="str">
            <v>RANGEL</v>
          </cell>
          <cell r="AF1883">
            <v>12343406.4</v>
          </cell>
        </row>
        <row r="1884">
          <cell r="M1884" t="str">
            <v>MARIA</v>
          </cell>
          <cell r="N1884" t="str">
            <v>ROJAS</v>
          </cell>
          <cell r="AF1884">
            <v>39568244.99814</v>
          </cell>
        </row>
        <row r="1885">
          <cell r="M1885" t="str">
            <v>MARIA</v>
          </cell>
          <cell r="N1885" t="str">
            <v>ROMERO</v>
          </cell>
          <cell r="AF1885">
            <v>11435094</v>
          </cell>
        </row>
        <row r="1886">
          <cell r="M1886" t="str">
            <v>MARIA</v>
          </cell>
          <cell r="N1886" t="str">
            <v>SALAS</v>
          </cell>
          <cell r="AF1886">
            <v>20519519.99814</v>
          </cell>
        </row>
        <row r="1887">
          <cell r="M1887" t="str">
            <v>MARIA</v>
          </cell>
          <cell r="N1887" t="str">
            <v>SOTO</v>
          </cell>
          <cell r="AF1887">
            <v>20088000</v>
          </cell>
        </row>
        <row r="1888">
          <cell r="M1888" t="str">
            <v>MARIA</v>
          </cell>
          <cell r="N1888" t="str">
            <v>TORRES</v>
          </cell>
          <cell r="AF1888">
            <v>12343406.4</v>
          </cell>
        </row>
        <row r="1889">
          <cell r="M1889" t="str">
            <v>MARIA</v>
          </cell>
          <cell r="N1889" t="str">
            <v>URQUIA</v>
          </cell>
          <cell r="AF1889">
            <v>22320000</v>
          </cell>
        </row>
        <row r="1890">
          <cell r="M1890" t="str">
            <v>MARIA</v>
          </cell>
          <cell r="N1890" t="str">
            <v>VENEGAS</v>
          </cell>
          <cell r="AF1890">
            <v>12343406.4</v>
          </cell>
        </row>
        <row r="1891">
          <cell r="M1891" t="str">
            <v>MARIANA</v>
          </cell>
          <cell r="N1891" t="str">
            <v>DIAZ</v>
          </cell>
          <cell r="AF1891">
            <v>17753700.00186</v>
          </cell>
        </row>
        <row r="1892">
          <cell r="M1892" t="str">
            <v>MARIANGEL</v>
          </cell>
          <cell r="N1892" t="str">
            <v>VELASQUEZ</v>
          </cell>
          <cell r="AF1892">
            <v>15400800.000000002</v>
          </cell>
        </row>
        <row r="1893">
          <cell r="M1893" t="str">
            <v>MARIO</v>
          </cell>
          <cell r="N1893" t="str">
            <v>MENCIA</v>
          </cell>
          <cell r="AF1893">
            <v>43896000.001860008</v>
          </cell>
        </row>
        <row r="1894">
          <cell r="M1894" t="str">
            <v>MARIO</v>
          </cell>
          <cell r="N1894" t="str">
            <v>PEREZ</v>
          </cell>
          <cell r="AF1894">
            <v>44193600</v>
          </cell>
        </row>
        <row r="1895">
          <cell r="M1895" t="str">
            <v>MARIO</v>
          </cell>
          <cell r="N1895" t="str">
            <v>RICCIO</v>
          </cell>
          <cell r="AF1895">
            <v>19904976</v>
          </cell>
        </row>
        <row r="1896">
          <cell r="M1896" t="str">
            <v>MARIO</v>
          </cell>
          <cell r="N1896" t="str">
            <v>RIVERO</v>
          </cell>
          <cell r="AF1896">
            <v>13180406.4</v>
          </cell>
        </row>
        <row r="1897">
          <cell r="M1897" t="str">
            <v>MARITZA</v>
          </cell>
          <cell r="N1897" t="str">
            <v>GONZALEZ</v>
          </cell>
          <cell r="AF1897">
            <v>12343406.4</v>
          </cell>
        </row>
        <row r="1898">
          <cell r="M1898" t="str">
            <v>MARLENE</v>
          </cell>
          <cell r="N1898" t="str">
            <v>ANGULO</v>
          </cell>
          <cell r="AF1898">
            <v>38155091.400000006</v>
          </cell>
        </row>
        <row r="1899">
          <cell r="M1899" t="str">
            <v>MAROA</v>
          </cell>
          <cell r="N1899" t="str">
            <v>VENEGAS</v>
          </cell>
          <cell r="AF1899">
            <v>20303071.798140001</v>
          </cell>
        </row>
        <row r="1900">
          <cell r="M1900" t="str">
            <v>MARY</v>
          </cell>
          <cell r="N1900" t="str">
            <v>RIVEROL</v>
          </cell>
          <cell r="AF1900">
            <v>86086037.599999994</v>
          </cell>
        </row>
        <row r="1901">
          <cell r="M1901" t="str">
            <v>MAYKEL</v>
          </cell>
          <cell r="N1901" t="str">
            <v>CRESPO</v>
          </cell>
          <cell r="AF1901">
            <v>14380106.4</v>
          </cell>
        </row>
        <row r="1902">
          <cell r="M1902" t="str">
            <v>MERCEDES</v>
          </cell>
          <cell r="N1902" t="str">
            <v>CASTILLO</v>
          </cell>
          <cell r="AF1902">
            <v>31248000.000000004</v>
          </cell>
        </row>
        <row r="1903">
          <cell r="M1903" t="str">
            <v>MERCEDES</v>
          </cell>
          <cell r="N1903" t="str">
            <v>COLMENARES</v>
          </cell>
          <cell r="AF1903">
            <v>14787000.000000002</v>
          </cell>
        </row>
        <row r="1904">
          <cell r="M1904" t="str">
            <v>MERCEDES</v>
          </cell>
          <cell r="N1904" t="str">
            <v>GRANADO</v>
          </cell>
          <cell r="AF1904">
            <v>12343406.4</v>
          </cell>
        </row>
        <row r="1905">
          <cell r="M1905" t="str">
            <v>MICHAEL</v>
          </cell>
          <cell r="N1905" t="str">
            <v>FREITEZ</v>
          </cell>
          <cell r="AF1905">
            <v>13180406.4</v>
          </cell>
        </row>
        <row r="1906">
          <cell r="M1906" t="str">
            <v>MIGUEL</v>
          </cell>
          <cell r="N1906" t="str">
            <v>COLMENARES</v>
          </cell>
          <cell r="AF1906">
            <v>12552619.198140003</v>
          </cell>
        </row>
        <row r="1907">
          <cell r="M1907" t="str">
            <v>MIGUEL</v>
          </cell>
          <cell r="N1907" t="str">
            <v>MOLINA</v>
          </cell>
          <cell r="AF1907">
            <v>16751606.4</v>
          </cell>
        </row>
        <row r="1908">
          <cell r="M1908" t="str">
            <v>MIGUEL</v>
          </cell>
          <cell r="N1908" t="str">
            <v>MUÑOZ</v>
          </cell>
          <cell r="AF1908">
            <v>14380106.4</v>
          </cell>
        </row>
        <row r="1909">
          <cell r="M1909" t="str">
            <v>MORELLYS</v>
          </cell>
          <cell r="N1909" t="str">
            <v>FERRER</v>
          </cell>
          <cell r="AF1909">
            <v>29912119.649999999</v>
          </cell>
        </row>
        <row r="1910">
          <cell r="M1910" t="str">
            <v>NAILETH</v>
          </cell>
          <cell r="N1910" t="str">
            <v>IZARRA</v>
          </cell>
          <cell r="AF1910">
            <v>12834000.000000002</v>
          </cell>
        </row>
        <row r="1911">
          <cell r="M1911" t="str">
            <v>NATAHALY</v>
          </cell>
          <cell r="N1911" t="str">
            <v>RAMOS</v>
          </cell>
          <cell r="AF1911">
            <v>118241322.95000002</v>
          </cell>
        </row>
        <row r="1912">
          <cell r="M1912" t="str">
            <v>NAUDY</v>
          </cell>
          <cell r="N1912" t="str">
            <v>PEREZ</v>
          </cell>
          <cell r="AF1912">
            <v>15663506.4</v>
          </cell>
        </row>
        <row r="1913">
          <cell r="M1913" t="str">
            <v>NAUDY</v>
          </cell>
          <cell r="N1913" t="str">
            <v>RAMOS</v>
          </cell>
          <cell r="AF1913">
            <v>8576460</v>
          </cell>
        </row>
        <row r="1914">
          <cell r="M1914" t="str">
            <v>NAVOR</v>
          </cell>
          <cell r="N1914" t="str">
            <v>FREITEZ</v>
          </cell>
          <cell r="AF1914">
            <v>14380106.4</v>
          </cell>
        </row>
        <row r="1915">
          <cell r="M1915" t="str">
            <v>NELSON</v>
          </cell>
          <cell r="N1915" t="str">
            <v>BRICEÑO</v>
          </cell>
          <cell r="AF1915">
            <v>12552619.198140003</v>
          </cell>
        </row>
        <row r="1916">
          <cell r="M1916" t="str">
            <v>NELSON</v>
          </cell>
          <cell r="N1916" t="str">
            <v>GIL</v>
          </cell>
          <cell r="AF1916">
            <v>14380106.4</v>
          </cell>
        </row>
        <row r="1917">
          <cell r="M1917" t="str">
            <v>NELSON</v>
          </cell>
          <cell r="N1917" t="str">
            <v>RODRIGUEZ</v>
          </cell>
          <cell r="AF1917">
            <v>34372800</v>
          </cell>
        </row>
        <row r="1918">
          <cell r="M1918" t="str">
            <v>NEREIDA</v>
          </cell>
          <cell r="N1918" t="str">
            <v>HERRERA</v>
          </cell>
          <cell r="AF1918">
            <v>34372800</v>
          </cell>
        </row>
        <row r="1919">
          <cell r="M1919" t="str">
            <v>NESTOR</v>
          </cell>
          <cell r="N1919" t="str">
            <v>GUEDEZ</v>
          </cell>
          <cell r="AF1919">
            <v>12343406.4</v>
          </cell>
        </row>
        <row r="1920">
          <cell r="M1920" t="str">
            <v>NESTOR</v>
          </cell>
          <cell r="N1920" t="str">
            <v>LOZADA</v>
          </cell>
          <cell r="AF1920">
            <v>15663506.4</v>
          </cell>
        </row>
        <row r="1921">
          <cell r="M1921" t="str">
            <v>NEUDY</v>
          </cell>
          <cell r="N1921" t="str">
            <v>MOGOLLON</v>
          </cell>
          <cell r="AF1921">
            <v>8576460</v>
          </cell>
        </row>
        <row r="1922">
          <cell r="M1922" t="str">
            <v>NICOLAS</v>
          </cell>
          <cell r="N1922" t="str">
            <v>GRANADO</v>
          </cell>
          <cell r="AF1922">
            <v>12343406.4</v>
          </cell>
        </row>
        <row r="1923">
          <cell r="M1923" t="str">
            <v>ODULIO</v>
          </cell>
          <cell r="N1923" t="str">
            <v>CASTILLO</v>
          </cell>
          <cell r="AF1923">
            <v>16751606.4</v>
          </cell>
        </row>
        <row r="1924">
          <cell r="M1924" t="str">
            <v>OMAR</v>
          </cell>
          <cell r="N1924" t="str">
            <v>RIVERO</v>
          </cell>
          <cell r="AF1924">
            <v>15663506.4</v>
          </cell>
        </row>
        <row r="1925">
          <cell r="M1925" t="str">
            <v>ORLANDO</v>
          </cell>
          <cell r="N1925" t="str">
            <v>JORDAS</v>
          </cell>
          <cell r="AF1925">
            <v>67779426.5</v>
          </cell>
        </row>
        <row r="1926">
          <cell r="M1926" t="str">
            <v>ORLANDO</v>
          </cell>
          <cell r="N1926" t="str">
            <v>MEJIAS</v>
          </cell>
          <cell r="AF1926">
            <v>15663506.4</v>
          </cell>
        </row>
        <row r="1927">
          <cell r="M1927" t="str">
            <v>ORLANDO</v>
          </cell>
          <cell r="N1927" t="str">
            <v>OJEDA</v>
          </cell>
          <cell r="AF1927">
            <v>16751606.4</v>
          </cell>
        </row>
        <row r="1928">
          <cell r="M1928" t="str">
            <v>ORLANDO</v>
          </cell>
          <cell r="N1928" t="str">
            <v>SANCHEZ</v>
          </cell>
          <cell r="AF1928">
            <v>13180406.4</v>
          </cell>
        </row>
        <row r="1929">
          <cell r="M1929" t="str">
            <v>ORLANDO</v>
          </cell>
          <cell r="N1929" t="str">
            <v>VALERA</v>
          </cell>
          <cell r="AF1929">
            <v>13180406.4</v>
          </cell>
        </row>
        <row r="1930">
          <cell r="M1930" t="str">
            <v>OSCAR</v>
          </cell>
          <cell r="N1930" t="str">
            <v>ESPINOZA</v>
          </cell>
          <cell r="AF1930">
            <v>12552619.198140003</v>
          </cell>
        </row>
        <row r="1931">
          <cell r="M1931" t="str">
            <v>OSCAR</v>
          </cell>
          <cell r="N1931" t="str">
            <v>MORENO</v>
          </cell>
          <cell r="AF1931">
            <v>14380106.4</v>
          </cell>
        </row>
        <row r="1932">
          <cell r="M1932" t="str">
            <v>OSCAR</v>
          </cell>
          <cell r="N1932" t="str">
            <v>TORRES</v>
          </cell>
          <cell r="AF1932">
            <v>13180406.4</v>
          </cell>
        </row>
        <row r="1933">
          <cell r="M1933" t="str">
            <v>OSWALDO</v>
          </cell>
          <cell r="N1933" t="str">
            <v>REVERON</v>
          </cell>
          <cell r="AF1933">
            <v>34372800</v>
          </cell>
        </row>
        <row r="1934">
          <cell r="M1934" t="str">
            <v>PABLO</v>
          </cell>
          <cell r="N1934" t="str">
            <v>CABRERA</v>
          </cell>
          <cell r="AF1934">
            <v>58442076.000000007</v>
          </cell>
        </row>
        <row r="1935">
          <cell r="M1935" t="str">
            <v>PABLO</v>
          </cell>
          <cell r="N1935" t="str">
            <v>CASTILLO</v>
          </cell>
          <cell r="AF1935">
            <v>12552619.198140003</v>
          </cell>
        </row>
        <row r="1936">
          <cell r="M1936" t="str">
            <v>PABLO</v>
          </cell>
          <cell r="N1936" t="str">
            <v>PEREZ</v>
          </cell>
          <cell r="AF1936">
            <v>13180406.4</v>
          </cell>
        </row>
        <row r="1937">
          <cell r="M1937" t="str">
            <v>PEDRO</v>
          </cell>
          <cell r="N1937" t="str">
            <v>BASTIDAS</v>
          </cell>
          <cell r="AF1937">
            <v>15663506.4</v>
          </cell>
        </row>
        <row r="1938">
          <cell r="M1938" t="str">
            <v>PEDRO</v>
          </cell>
          <cell r="N1938" t="str">
            <v>MATUTE</v>
          </cell>
          <cell r="AF1938">
            <v>14380106.4</v>
          </cell>
        </row>
        <row r="1939">
          <cell r="M1939" t="str">
            <v>PEDRO</v>
          </cell>
          <cell r="N1939" t="str">
            <v>VELASQUEZ</v>
          </cell>
          <cell r="AF1939">
            <v>58004100.000000007</v>
          </cell>
        </row>
        <row r="1940">
          <cell r="M1940" t="str">
            <v>RAFAEL</v>
          </cell>
          <cell r="N1940" t="str">
            <v>BENVENUTO</v>
          </cell>
          <cell r="AF1940">
            <v>8576460</v>
          </cell>
        </row>
        <row r="1941">
          <cell r="M1941" t="str">
            <v>RAFAEL</v>
          </cell>
          <cell r="N1941" t="str">
            <v>COLMENARES</v>
          </cell>
          <cell r="AF1941">
            <v>12552619.198140003</v>
          </cell>
        </row>
        <row r="1942">
          <cell r="M1942" t="str">
            <v>RAFAEL</v>
          </cell>
          <cell r="N1942" t="str">
            <v>FLORES</v>
          </cell>
          <cell r="AF1942">
            <v>20831999.99814</v>
          </cell>
        </row>
        <row r="1943">
          <cell r="M1943" t="str">
            <v>RAFAEL</v>
          </cell>
          <cell r="N1943" t="str">
            <v>MEJIAS</v>
          </cell>
          <cell r="AF1943">
            <v>14380106.4</v>
          </cell>
        </row>
        <row r="1944">
          <cell r="M1944" t="str">
            <v>RAFAEL</v>
          </cell>
          <cell r="N1944" t="str">
            <v>MONTILLA</v>
          </cell>
          <cell r="AF1944">
            <v>13180406.4</v>
          </cell>
        </row>
        <row r="1945">
          <cell r="M1945" t="str">
            <v>RAFAEL</v>
          </cell>
          <cell r="N1945" t="str">
            <v>RODRIGUEZ</v>
          </cell>
          <cell r="AF1945">
            <v>13180406.4</v>
          </cell>
        </row>
        <row r="1946">
          <cell r="M1946" t="str">
            <v>RAFAEL</v>
          </cell>
          <cell r="N1946" t="str">
            <v>VISCALLA</v>
          </cell>
          <cell r="AF1946">
            <v>12343406.4</v>
          </cell>
        </row>
        <row r="1947">
          <cell r="M1947" t="str">
            <v>RAFAEL</v>
          </cell>
          <cell r="N1947" t="str">
            <v>ZAPATA</v>
          </cell>
          <cell r="AF1947">
            <v>15663506.4</v>
          </cell>
        </row>
        <row r="1948">
          <cell r="M1948" t="str">
            <v>RAMIRO</v>
          </cell>
          <cell r="N1948" t="str">
            <v>GOYO</v>
          </cell>
          <cell r="AF1948">
            <v>13180406.4</v>
          </cell>
        </row>
        <row r="1949">
          <cell r="M1949" t="str">
            <v>RAMON</v>
          </cell>
          <cell r="N1949" t="str">
            <v>BLANCO</v>
          </cell>
          <cell r="AF1949">
            <v>68332350</v>
          </cell>
        </row>
        <row r="1950">
          <cell r="M1950" t="str">
            <v>RAMON</v>
          </cell>
          <cell r="N1950" t="str">
            <v>GODOY</v>
          </cell>
          <cell r="AF1950">
            <v>14380106.4</v>
          </cell>
        </row>
        <row r="1951">
          <cell r="M1951" t="str">
            <v>RAMON</v>
          </cell>
          <cell r="N1951" t="str">
            <v>GRATEROL</v>
          </cell>
          <cell r="AF1951">
            <v>15663506.4</v>
          </cell>
        </row>
        <row r="1952">
          <cell r="M1952" t="str">
            <v>RAMON</v>
          </cell>
          <cell r="N1952" t="str">
            <v>LUGO</v>
          </cell>
          <cell r="AF1952">
            <v>13180406.4</v>
          </cell>
        </row>
        <row r="1953">
          <cell r="M1953" t="str">
            <v>RAMON</v>
          </cell>
          <cell r="N1953" t="str">
            <v>MEDINA</v>
          </cell>
          <cell r="AF1953">
            <v>14380106.4</v>
          </cell>
        </row>
        <row r="1954">
          <cell r="M1954" t="str">
            <v>RAMON</v>
          </cell>
          <cell r="N1954" t="str">
            <v>SANCHEZ</v>
          </cell>
          <cell r="AF1954">
            <v>16751606.4</v>
          </cell>
        </row>
        <row r="1955">
          <cell r="M1955" t="str">
            <v>RAUL</v>
          </cell>
          <cell r="N1955" t="str">
            <v>ALBURJAS</v>
          </cell>
          <cell r="AF1955">
            <v>12343406.4</v>
          </cell>
        </row>
        <row r="1956">
          <cell r="M1956" t="str">
            <v>RAUL</v>
          </cell>
          <cell r="N1956" t="str">
            <v>UNDA</v>
          </cell>
          <cell r="AF1956">
            <v>195327668.43000004</v>
          </cell>
        </row>
        <row r="1957">
          <cell r="M1957" t="str">
            <v>RENNY</v>
          </cell>
          <cell r="N1957" t="str">
            <v>MONTOYA</v>
          </cell>
          <cell r="AF1957">
            <v>8576460</v>
          </cell>
        </row>
        <row r="1958">
          <cell r="M1958" t="str">
            <v>REYNALDO</v>
          </cell>
          <cell r="N1958" t="str">
            <v>LUQUE</v>
          </cell>
          <cell r="AF1958">
            <v>15663506.4</v>
          </cell>
        </row>
        <row r="1959">
          <cell r="M1959" t="str">
            <v>RICHARD</v>
          </cell>
          <cell r="N1959" t="str">
            <v>AVENDAÑO</v>
          </cell>
          <cell r="AF1959">
            <v>13180406.4</v>
          </cell>
        </row>
        <row r="1960">
          <cell r="M1960" t="str">
            <v>RICHARD</v>
          </cell>
          <cell r="N1960" t="str">
            <v>MEJIAS</v>
          </cell>
          <cell r="AF1960">
            <v>13180406.4</v>
          </cell>
        </row>
        <row r="1961">
          <cell r="M1961" t="str">
            <v>RICHARD</v>
          </cell>
          <cell r="N1961" t="str">
            <v>ZAPATA</v>
          </cell>
          <cell r="AF1961">
            <v>12343406.4</v>
          </cell>
        </row>
        <row r="1962">
          <cell r="M1962" t="str">
            <v>RIGOBERTO</v>
          </cell>
          <cell r="N1962" t="str">
            <v>MONGES</v>
          </cell>
          <cell r="AF1962">
            <v>16751606.4</v>
          </cell>
        </row>
        <row r="1963">
          <cell r="M1963" t="str">
            <v>ROBER</v>
          </cell>
          <cell r="N1963" t="str">
            <v>SANTANDER</v>
          </cell>
          <cell r="AF1963">
            <v>75797637.299999997</v>
          </cell>
        </row>
        <row r="1964">
          <cell r="M1964" t="str">
            <v>ROBERT</v>
          </cell>
          <cell r="N1964" t="str">
            <v>OLIVO</v>
          </cell>
          <cell r="AF1964">
            <v>13180406.4</v>
          </cell>
        </row>
        <row r="1965">
          <cell r="M1965" t="str">
            <v>RODOLFO</v>
          </cell>
          <cell r="N1965" t="str">
            <v>CRUCES</v>
          </cell>
          <cell r="AF1965">
            <v>14380106.4</v>
          </cell>
        </row>
        <row r="1966">
          <cell r="M1966" t="str">
            <v>ROGELIO</v>
          </cell>
          <cell r="N1966" t="str">
            <v>LINARES</v>
          </cell>
          <cell r="AF1966">
            <v>44193600</v>
          </cell>
        </row>
        <row r="1967">
          <cell r="M1967" t="str">
            <v>ROGER</v>
          </cell>
          <cell r="N1967" t="str">
            <v>VALERA</v>
          </cell>
          <cell r="AF1967">
            <v>15663506.4</v>
          </cell>
        </row>
        <row r="1968">
          <cell r="M1968" t="str">
            <v>ROMEL</v>
          </cell>
          <cell r="N1968" t="str">
            <v>ASIS</v>
          </cell>
          <cell r="AF1968">
            <v>14380106.4</v>
          </cell>
        </row>
        <row r="1969">
          <cell r="M1969" t="str">
            <v>RONALD</v>
          </cell>
          <cell r="N1969" t="str">
            <v>HIDALGO</v>
          </cell>
          <cell r="AF1969">
            <v>8576460</v>
          </cell>
        </row>
        <row r="1970">
          <cell r="M1970" t="str">
            <v>RONALD</v>
          </cell>
          <cell r="N1970" t="str">
            <v>JIMENEZ</v>
          </cell>
          <cell r="AF1970">
            <v>25154640.000000004</v>
          </cell>
        </row>
        <row r="1971">
          <cell r="M1971" t="str">
            <v>ROSA</v>
          </cell>
          <cell r="N1971" t="str">
            <v>DURAN</v>
          </cell>
          <cell r="AF1971">
            <v>25154640.000000004</v>
          </cell>
        </row>
        <row r="1972">
          <cell r="M1972" t="str">
            <v>ROSIBEL</v>
          </cell>
          <cell r="N1972" t="str">
            <v>ALVAREZ</v>
          </cell>
          <cell r="AF1972">
            <v>24447449.398140002</v>
          </cell>
        </row>
        <row r="1973">
          <cell r="M1973" t="str">
            <v>RUBEN</v>
          </cell>
          <cell r="N1973" t="str">
            <v>RODRIGUEZ</v>
          </cell>
          <cell r="AF1973">
            <v>13180406.4</v>
          </cell>
        </row>
        <row r="1974">
          <cell r="M1974" t="str">
            <v>SANDRO</v>
          </cell>
          <cell r="N1974" t="str">
            <v>CACERES</v>
          </cell>
          <cell r="AF1974">
            <v>12343406.4</v>
          </cell>
        </row>
        <row r="1975">
          <cell r="M1975" t="str">
            <v>SAUL</v>
          </cell>
          <cell r="N1975" t="str">
            <v>MENDOZA</v>
          </cell>
          <cell r="AF1975">
            <v>14787000.000000002</v>
          </cell>
        </row>
        <row r="1976">
          <cell r="M1976" t="str">
            <v>SEBASTIAN</v>
          </cell>
          <cell r="N1976" t="str">
            <v>PIÑERO</v>
          </cell>
          <cell r="AF1976">
            <v>13180406.4</v>
          </cell>
        </row>
        <row r="1977">
          <cell r="M1977" t="str">
            <v>STALIN</v>
          </cell>
          <cell r="N1977" t="str">
            <v>AVILES</v>
          </cell>
          <cell r="AF1977">
            <v>13180406.4</v>
          </cell>
        </row>
        <row r="1978">
          <cell r="M1978" t="str">
            <v>SUPLICIO</v>
          </cell>
          <cell r="N1978" t="str">
            <v>BASTIDAS</v>
          </cell>
          <cell r="AF1978">
            <v>12343406.4</v>
          </cell>
        </row>
        <row r="1979">
          <cell r="M1979" t="str">
            <v>TEODORO</v>
          </cell>
          <cell r="N1979" t="str">
            <v>CASTILLO</v>
          </cell>
          <cell r="AF1979">
            <v>12552619.198140003</v>
          </cell>
        </row>
        <row r="1980">
          <cell r="M1980" t="str">
            <v>TOMAS</v>
          </cell>
          <cell r="N1980" t="str">
            <v>MEJIA</v>
          </cell>
          <cell r="AF1980">
            <v>15663506.4</v>
          </cell>
        </row>
        <row r="1981">
          <cell r="M1981" t="str">
            <v>URELIS</v>
          </cell>
          <cell r="N1981" t="str">
            <v>TORRES</v>
          </cell>
          <cell r="AF1981">
            <v>15663506.4</v>
          </cell>
        </row>
        <row r="1982">
          <cell r="M1982" t="str">
            <v>VACANTE</v>
          </cell>
          <cell r="N1982" t="str">
            <v>VACANTE</v>
          </cell>
          <cell r="AF1982">
            <v>59520000.001860015</v>
          </cell>
        </row>
        <row r="1983">
          <cell r="M1983" t="str">
            <v>VACANTE</v>
          </cell>
          <cell r="N1983" t="str">
            <v>VACANTE</v>
          </cell>
          <cell r="AF1983">
            <v>24552000.000000004</v>
          </cell>
        </row>
        <row r="1984">
          <cell r="M1984" t="str">
            <v>VERONICA</v>
          </cell>
          <cell r="N1984" t="str">
            <v>MENDOZA</v>
          </cell>
          <cell r="AF1984">
            <v>24341634</v>
          </cell>
        </row>
        <row r="1985">
          <cell r="M1985" t="str">
            <v>VICTOR</v>
          </cell>
          <cell r="N1985" t="str">
            <v>ALDANA</v>
          </cell>
          <cell r="AF1985">
            <v>16751606.4</v>
          </cell>
        </row>
        <row r="1986">
          <cell r="M1986" t="str">
            <v>VICTOR</v>
          </cell>
          <cell r="N1986" t="str">
            <v>CAMACHO</v>
          </cell>
          <cell r="AF1986">
            <v>101658405</v>
          </cell>
        </row>
        <row r="1987">
          <cell r="M1987" t="str">
            <v>VICTOR</v>
          </cell>
          <cell r="N1987" t="str">
            <v>GOMEZ</v>
          </cell>
          <cell r="AF1987">
            <v>14380106.4</v>
          </cell>
        </row>
        <row r="1988">
          <cell r="M1988" t="str">
            <v>VICTOR</v>
          </cell>
          <cell r="N1988" t="str">
            <v>GUTIERREZ</v>
          </cell>
          <cell r="AF1988">
            <v>16554000.00186</v>
          </cell>
        </row>
        <row r="1989">
          <cell r="M1989" t="str">
            <v>VICTOR</v>
          </cell>
          <cell r="N1989" t="str">
            <v>RODRIGUEZ</v>
          </cell>
          <cell r="AF1989">
            <v>24924000.001860004</v>
          </cell>
        </row>
        <row r="1990">
          <cell r="M1990" t="str">
            <v>VICTORINO</v>
          </cell>
          <cell r="N1990" t="str">
            <v>HERNANDEZ</v>
          </cell>
          <cell r="AF1990">
            <v>15663506.4</v>
          </cell>
        </row>
        <row r="1991">
          <cell r="M1991" t="str">
            <v>WALTER</v>
          </cell>
          <cell r="N1991" t="str">
            <v>MEJIAS</v>
          </cell>
          <cell r="AF1991">
            <v>14380106.4</v>
          </cell>
        </row>
        <row r="1992">
          <cell r="M1992" t="str">
            <v>WILFREDO</v>
          </cell>
          <cell r="N1992" t="str">
            <v>ARROYO</v>
          </cell>
          <cell r="AF1992">
            <v>12343406.4</v>
          </cell>
        </row>
        <row r="1993">
          <cell r="M1993" t="str">
            <v>WILIAN</v>
          </cell>
          <cell r="N1993" t="str">
            <v>GRATEROL</v>
          </cell>
          <cell r="AF1993">
            <v>12343406.4</v>
          </cell>
        </row>
        <row r="1994">
          <cell r="M1994" t="str">
            <v>WILLIAM</v>
          </cell>
          <cell r="N1994" t="str">
            <v>BENITEZ</v>
          </cell>
          <cell r="AF1994">
            <v>35339999.998140007</v>
          </cell>
        </row>
        <row r="1995">
          <cell r="M1995" t="str">
            <v>WILLIAM</v>
          </cell>
          <cell r="N1995" t="str">
            <v>LINAREZ</v>
          </cell>
          <cell r="AF1995">
            <v>12343406.4</v>
          </cell>
        </row>
        <row r="1996">
          <cell r="M1996" t="str">
            <v>WILLIAMS</v>
          </cell>
          <cell r="N1996" t="str">
            <v>OJEDA</v>
          </cell>
          <cell r="AF1996">
            <v>15663506.4</v>
          </cell>
        </row>
        <row r="1997">
          <cell r="M1997" t="str">
            <v>WILMER</v>
          </cell>
          <cell r="N1997" t="str">
            <v>BRICEÑO</v>
          </cell>
          <cell r="AF1997">
            <v>13180406.4</v>
          </cell>
        </row>
        <row r="1998">
          <cell r="M1998" t="str">
            <v>WILMER</v>
          </cell>
          <cell r="N1998" t="str">
            <v>COLMENARES</v>
          </cell>
          <cell r="AF1998">
            <v>14380106.4</v>
          </cell>
        </row>
        <row r="1999">
          <cell r="M1999" t="str">
            <v>WILSON</v>
          </cell>
          <cell r="N1999" t="str">
            <v>MEJIA</v>
          </cell>
          <cell r="AF1999">
            <v>13180406.4</v>
          </cell>
        </row>
        <row r="2000">
          <cell r="M2000" t="str">
            <v>WOLLMAR</v>
          </cell>
          <cell r="N2000" t="str">
            <v>NELO</v>
          </cell>
          <cell r="AF2000">
            <v>12343406.4</v>
          </cell>
        </row>
        <row r="2001">
          <cell r="M2001" t="str">
            <v>WUILMER</v>
          </cell>
          <cell r="N2001" t="str">
            <v>MONTILLA</v>
          </cell>
          <cell r="AF2001">
            <v>14380106.4</v>
          </cell>
        </row>
        <row r="2002">
          <cell r="M2002" t="str">
            <v>YADIRA</v>
          </cell>
          <cell r="N2002" t="str">
            <v>GORDILLO</v>
          </cell>
          <cell r="AF2002">
            <v>25154640.000000004</v>
          </cell>
        </row>
        <row r="2003">
          <cell r="M2003" t="str">
            <v>YAMINA</v>
          </cell>
          <cell r="N2003" t="str">
            <v>GARCIA</v>
          </cell>
          <cell r="AF2003">
            <v>59520000.001860015</v>
          </cell>
        </row>
        <row r="2004">
          <cell r="M2004" t="str">
            <v>YBEL</v>
          </cell>
          <cell r="N2004" t="str">
            <v>PUERTA</v>
          </cell>
          <cell r="AF2004">
            <v>12552619.198140003</v>
          </cell>
        </row>
        <row r="2005">
          <cell r="M2005" t="str">
            <v>YECENIA</v>
          </cell>
          <cell r="N2005" t="str">
            <v>MORALES</v>
          </cell>
          <cell r="AF2005">
            <v>21947999.99814</v>
          </cell>
        </row>
        <row r="2006">
          <cell r="M2006" t="str">
            <v>YELITZA</v>
          </cell>
          <cell r="N2006" t="str">
            <v>MUJICA</v>
          </cell>
          <cell r="AF2006">
            <v>18599999.998140004</v>
          </cell>
        </row>
        <row r="2007">
          <cell r="M2007" t="str">
            <v>YENNY</v>
          </cell>
          <cell r="N2007" t="str">
            <v>PAEZ</v>
          </cell>
          <cell r="AF2007">
            <v>19157999.998140004</v>
          </cell>
        </row>
        <row r="2008">
          <cell r="M2008" t="str">
            <v>YENNY</v>
          </cell>
          <cell r="N2008" t="str">
            <v>VILLEGAS</v>
          </cell>
          <cell r="AF2008">
            <v>20460000.001860004</v>
          </cell>
        </row>
        <row r="2009">
          <cell r="M2009" t="str">
            <v>YINNER</v>
          </cell>
          <cell r="N2009" t="str">
            <v>BLANCO</v>
          </cell>
          <cell r="AF2009">
            <v>13180406.4</v>
          </cell>
        </row>
        <row r="2010">
          <cell r="M2010" t="str">
            <v>YOBELINDA</v>
          </cell>
          <cell r="N2010" t="str">
            <v>MARTIN</v>
          </cell>
          <cell r="AF2010">
            <v>21018000.001860004</v>
          </cell>
        </row>
        <row r="2011">
          <cell r="M2011" t="str">
            <v>YOHAN</v>
          </cell>
          <cell r="N2011" t="str">
            <v>BORJAS</v>
          </cell>
          <cell r="AF2011">
            <v>8576460</v>
          </cell>
        </row>
        <row r="2012">
          <cell r="M2012" t="str">
            <v>YOINER</v>
          </cell>
          <cell r="N2012" t="str">
            <v>HERNANDEZ</v>
          </cell>
          <cell r="AF2012">
            <v>8576460</v>
          </cell>
        </row>
        <row r="2013">
          <cell r="M2013" t="str">
            <v>YOKSAN</v>
          </cell>
          <cell r="N2013" t="str">
            <v>CORTEZ</v>
          </cell>
          <cell r="AF2013">
            <v>16751606.4</v>
          </cell>
        </row>
        <row r="2014">
          <cell r="M2014" t="str">
            <v>YOQUIRIA</v>
          </cell>
          <cell r="N2014" t="str">
            <v>PAZ</v>
          </cell>
          <cell r="AF2014">
            <v>24447449.398140002</v>
          </cell>
        </row>
        <row r="2015">
          <cell r="M2015" t="str">
            <v>YSIDRO</v>
          </cell>
          <cell r="N2015" t="str">
            <v>BADILLO</v>
          </cell>
          <cell r="AF2015">
            <v>13180406.4</v>
          </cell>
        </row>
        <row r="2016">
          <cell r="M2016" t="str">
            <v>YSMAEL</v>
          </cell>
          <cell r="N2016" t="str">
            <v>PACHECO</v>
          </cell>
          <cell r="AF2016">
            <v>14380106.4</v>
          </cell>
        </row>
        <row r="2017">
          <cell r="M2017" t="str">
            <v>YULEIMA</v>
          </cell>
          <cell r="N2017" t="str">
            <v>BOSA</v>
          </cell>
          <cell r="AF2017">
            <v>12343406.4</v>
          </cell>
        </row>
        <row r="2018">
          <cell r="M2018" t="str">
            <v>YUSMARY</v>
          </cell>
          <cell r="N2018" t="str">
            <v>BALAUSTRE</v>
          </cell>
          <cell r="AF2018">
            <v>19251000</v>
          </cell>
        </row>
        <row r="2019">
          <cell r="M2019" t="str">
            <v>ZULMARY</v>
          </cell>
          <cell r="N2019" t="str">
            <v>AGUILAR</v>
          </cell>
          <cell r="AF2019">
            <v>11435094</v>
          </cell>
        </row>
        <row r="2028">
          <cell r="AF2028">
            <v>31591608.524208747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LIGROS"/>
      <sheetName val="LISTAS"/>
      <sheetName val="VALORACIÓN"/>
      <sheetName val="FORMATO"/>
    </sheetNames>
    <sheetDataSet>
      <sheetData sheetId="0"/>
      <sheetData sheetId="1"/>
      <sheetData sheetId="2">
        <row r="2">
          <cell r="G2" t="str">
            <v>SI</v>
          </cell>
        </row>
        <row r="3">
          <cell r="G3" t="str">
            <v>NO</v>
          </cell>
        </row>
      </sheetData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E DATOS PROVEEDORES"/>
      <sheetName val="Hoja2"/>
    </sheetNames>
    <sheetDataSet>
      <sheetData sheetId="0"/>
      <sheetData sheetId="1">
        <row r="2">
          <cell r="A2" t="str">
            <v>ADECUACIONES CIVILES, ELECTRICAS Y CONTRUCCION DE FIBRA</v>
          </cell>
        </row>
        <row r="3">
          <cell r="A3" t="str">
            <v>SERVICIOS DE SOPORTE, MANTENIMIENTO E INSTALACION</v>
          </cell>
        </row>
        <row r="4">
          <cell r="A4" t="str">
            <v>SUMINISTRO DE BIENES Y LICENCIAS</v>
          </cell>
        </row>
        <row r="5">
          <cell r="A5" t="str">
            <v xml:space="preserve"> SERVICIOS Y/O ARRENDAMIENTOS DE TELECOMUNICACIONES </v>
          </cell>
        </row>
        <row r="6">
          <cell r="A6" t="str">
            <v>SERVICIOS GENERALES, SERVICIOS LOGISTICOS Y ADMINISTRATIVOS.</v>
          </cell>
        </row>
        <row r="7">
          <cell r="A7" t="str">
            <v>SERVICIOS DE PRESTACION DE ASESORIA Y CONSULTORIA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LIGROS"/>
      <sheetName val="Listas"/>
      <sheetName val="valoracion"/>
      <sheetName val="Gráfico1"/>
      <sheetName val="FORMATO"/>
    </sheetNames>
    <sheetDataSet>
      <sheetData sheetId="0" refreshError="1"/>
      <sheetData sheetId="1"/>
      <sheetData sheetId="2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os"/>
      <sheetName val="Compras y Ventas"/>
      <sheetName val="Auxiliar"/>
      <sheetName val="Saldo de Stock"/>
      <sheetName val="planilla-de-excel-para-control-"/>
    </sheetNames>
    <sheetDataSet>
      <sheetData sheetId="0"/>
      <sheetData sheetId="1"/>
      <sheetData sheetId="2">
        <row r="3">
          <cell r="A3" t="str">
            <v>Compra</v>
          </cell>
        </row>
        <row r="4">
          <cell r="A4" t="str">
            <v>Venta</v>
          </cell>
        </row>
        <row r="5">
          <cell r="A5" t="str">
            <v>Existencia</v>
          </cell>
        </row>
      </sheetData>
      <sheetData sheetId="3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 de Comprobante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SSST029"/>
      <sheetName val="Datos"/>
    </sheetNames>
    <sheetDataSet>
      <sheetData sheetId="0" refreshError="1"/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LIGROS"/>
      <sheetName val="Listas"/>
      <sheetName val="valoracion"/>
      <sheetName val="FORMATO"/>
    </sheetNames>
    <sheetDataSet>
      <sheetData sheetId="0" refreshError="1"/>
      <sheetData sheetId="1" refreshError="1"/>
      <sheetData sheetId="2">
        <row r="27">
          <cell r="B27">
            <v>4</v>
          </cell>
        </row>
        <row r="28">
          <cell r="B28">
            <v>3</v>
          </cell>
        </row>
        <row r="29">
          <cell r="B29">
            <v>2</v>
          </cell>
        </row>
        <row r="30">
          <cell r="B30">
            <v>1</v>
          </cell>
        </row>
      </sheetData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LIGROS"/>
      <sheetName val="LISTAS"/>
      <sheetName val="VALORACIÓN"/>
      <sheetName val="FORMATO"/>
    </sheetNames>
    <sheetDataSet>
      <sheetData sheetId="0"/>
      <sheetData sheetId="1">
        <row r="1">
          <cell r="I1" t="str">
            <v>INTERVENCION POR ELIMINACION</v>
          </cell>
          <cell r="M1" t="str">
            <v>INTERVENCION POR EPP</v>
          </cell>
        </row>
        <row r="2">
          <cell r="M2" t="str">
            <v>Casco tipo A</v>
          </cell>
        </row>
        <row r="3">
          <cell r="C3" t="str">
            <v>1.1. Ruido (Impacto, Intermitente, Continúo)</v>
          </cell>
          <cell r="E3" t="str">
            <v xml:space="preserve">1.1. Volumen alto de aparatos telefónicos y de comunicación usados (celulares, audífonos, radios, etc.)    </v>
          </cell>
          <cell r="I3" t="str">
            <v>Aislamiento o encerramiento de máquinas generadoras de ruido.</v>
          </cell>
          <cell r="M3" t="str">
            <v>Casco dielectrico</v>
          </cell>
        </row>
        <row r="4">
          <cell r="C4" t="str">
            <v>1.2. Iluminación inadecuada ( Exceso ó deficiencia)</v>
          </cell>
          <cell r="E4" t="str">
            <v xml:space="preserve">1.1. Generado por ruidos del área (impresoras, gente conversando y/o aparatos sonando) </v>
          </cell>
          <cell r="I4" t="str">
            <v>Regular los niveles de volumen de telefonos fijos, celulares, itercomunicadores y música.</v>
          </cell>
          <cell r="M4" t="str">
            <v>Cofías</v>
          </cell>
        </row>
        <row r="5">
          <cell r="C5" t="str">
            <v>1.3. Calor</v>
          </cell>
          <cell r="E5" t="str">
            <v>1.1. Ubicado cerca de Zona Vehicular</v>
          </cell>
          <cell r="I5" t="str">
            <v>Disponer los equipos o máquinas ruidosas sobre superficies estables no vibratorias.</v>
          </cell>
          <cell r="M5" t="str">
            <v>Capuchas de asbesto</v>
          </cell>
        </row>
        <row r="6">
          <cell r="C6" t="str">
            <v>1.4. Frío</v>
          </cell>
          <cell r="E6" t="str">
            <v>1.1. Generado  por máquinas y herramientas en la planta de producción</v>
          </cell>
          <cell r="I6" t="str">
            <v>Sistemas de sujeción o anclaje de máquinas a pisos y/o paredes.</v>
          </cell>
          <cell r="M6" t="str">
            <v>Protección auditiva tipo inserción</v>
          </cell>
        </row>
        <row r="7">
          <cell r="C7" t="str">
            <v>1.5. Radiaciones no ionizantes (Láser, ultravioleta, infraroja, radiofrecuencia, microondas)</v>
          </cell>
          <cell r="I7" t="str">
            <v>Dotación de silenciadores en las máquinas.</v>
          </cell>
          <cell r="M7" t="str">
            <v>Protección auditiva tipo copa</v>
          </cell>
        </row>
        <row r="8">
          <cell r="C8" t="str">
            <v>1.6 Radiaciones ionizantes (Rayos X, Gama, Beta)</v>
          </cell>
          <cell r="E8" t="str">
            <v>1.2. Luz artificial y/o natural (exceso o deficiente)</v>
          </cell>
          <cell r="I8" t="str">
            <v>Ayudas mecánicas para transporte de cargas</v>
          </cell>
          <cell r="M8" t="str">
            <v>Protección facial</v>
          </cell>
        </row>
        <row r="9">
          <cell r="C9" t="str">
            <v>1.7. Humedad</v>
          </cell>
          <cell r="E9" t="str">
            <v>1.2. Inadecuada ubicación del monitor con respecto a las fuentes de luz (natural y/o artificial).</v>
          </cell>
          <cell r="I9" t="str">
            <v>Ayudas mecánicas para el trabajo en maquínas y equipos</v>
          </cell>
          <cell r="M9" t="str">
            <v>Yelmo</v>
          </cell>
        </row>
        <row r="10">
          <cell r="C10" t="str">
            <v>1.8. Vibraciones</v>
          </cell>
          <cell r="E10" t="str">
            <v>1.2. Inadecuada ubicación de luminarias</v>
          </cell>
          <cell r="I10" t="str">
            <v>Reposición oportuna de luminarias deficientes.</v>
          </cell>
          <cell r="M10" t="str">
            <v>Gafas de seguridad</v>
          </cell>
        </row>
        <row r="11">
          <cell r="C11" t="str">
            <v>1.9. Presiones anormales</v>
          </cell>
          <cell r="I11" t="str">
            <v>Eliminar superficies reflectivas en el entorno como vidrios sobre mesas de escritorio.</v>
          </cell>
          <cell r="M11" t="str">
            <v>Gafas con protección UVB</v>
          </cell>
        </row>
        <row r="12">
          <cell r="E12" t="str">
            <v>1.3. Asinamiento de personas por areas de trabajo</v>
          </cell>
          <cell r="I12" t="str">
            <v>Ubicación de monitor del computador de forma perpedicular a la ubicación de ventanas,  no ubicar de frente ni detrás de ellas.</v>
          </cell>
          <cell r="M12" t="str">
            <v>Monogafas</v>
          </cell>
        </row>
        <row r="13">
          <cell r="C13" t="str">
            <v>2.1. Material Particulado (orgánicos, inorgánicos)</v>
          </cell>
          <cell r="E13" t="str">
            <v>1.3. Ausencia o fallas en el  sistemas de aire acondicionado</v>
          </cell>
          <cell r="I13" t="str">
            <v>Instalacion de guardas de seguridad</v>
          </cell>
          <cell r="M13" t="str">
            <v>Mascara Respiratoria</v>
          </cell>
        </row>
        <row r="14">
          <cell r="C14" t="str">
            <v>2.2. Fibras</v>
          </cell>
          <cell r="E14" t="str">
            <v>1.3. Generado por hornos térmicos en producción</v>
          </cell>
          <cell r="I14" t="str">
            <v>Rediseño de máquinas</v>
          </cell>
          <cell r="M14" t="str">
            <v>Respiradores de filtro o cartucho químico</v>
          </cell>
        </row>
        <row r="20">
          <cell r="C20" t="str">
            <v>2.3. Líquidos (nieblas y rocíos)</v>
          </cell>
          <cell r="E20" t="str">
            <v>1.4. Exposicion a bajas  temperaturas de aires acondicionados utilizados para el enfriamiento de equipos</v>
          </cell>
          <cell r="I20" t="str">
            <v>Rediseño de procesos</v>
          </cell>
          <cell r="M20" t="str">
            <v xml:space="preserve">Mascarillas con fuente exterior  de aire </v>
          </cell>
        </row>
        <row r="21">
          <cell r="C21" t="str">
            <v>2.4. Gases y Vapores</v>
          </cell>
          <cell r="E21" t="str">
            <v>1.4. Trabajo en cavas</v>
          </cell>
          <cell r="I21" t="str">
            <v>Inspecciones de seguridad planeadas</v>
          </cell>
          <cell r="M21" t="str">
            <v>Guantes de caucho dielectrico</v>
          </cell>
        </row>
        <row r="22">
          <cell r="C22" t="str">
            <v>2.5. Humos metálicos, no metálicos</v>
          </cell>
          <cell r="I22" t="str">
            <v>Suministro de herramientas adecuadas y en buen estado</v>
          </cell>
          <cell r="M22" t="str">
            <v>Guantes de carnaza</v>
          </cell>
        </row>
        <row r="23">
          <cell r="E23" t="str">
            <v>1.5. Exposicion a rayos solares (UV), instalaciones en campo abierto</v>
          </cell>
          <cell r="I23" t="str">
            <v>Programa de mantenimiento preventivo a máquinas</v>
          </cell>
          <cell r="M23" t="str">
            <v>Guantes de cuero grueso</v>
          </cell>
        </row>
        <row r="24">
          <cell r="M24" t="str">
            <v>Guantes anticorte</v>
          </cell>
        </row>
        <row r="25">
          <cell r="M25" t="str">
            <v>Guantes amortiguadores de vibración</v>
          </cell>
        </row>
        <row r="26">
          <cell r="E26" t="str">
            <v>1.5. Inhalación de humos por procesos de soldadura</v>
          </cell>
          <cell r="M26" t="str">
            <v>Guantes de malla de acero</v>
          </cell>
        </row>
        <row r="27">
          <cell r="C27" t="str">
            <v>3.1. Atrapamiento</v>
          </cell>
          <cell r="E27" t="str">
            <v>1.6. Exposicion a rayos X, Gamma, Beta</v>
          </cell>
          <cell r="I27" t="str">
            <v>Identificación y divulgación de riesgos existentes</v>
          </cell>
          <cell r="M27" t="str">
            <v>Guantes  de  hule,  caucho  o  plástico</v>
          </cell>
        </row>
        <row r="28">
          <cell r="C28" t="str">
            <v>3.2.  Mecanismos en movimiento</v>
          </cell>
          <cell r="E28" t="str">
            <v>1.7. Humedad</v>
          </cell>
          <cell r="I28" t="str">
            <v>Implementación del programa para prevención de accidentes de trabajo por riesgo mecánico</v>
          </cell>
          <cell r="M28" t="str">
            <v xml:space="preserve">Guantes de  tela asbesto </v>
          </cell>
        </row>
        <row r="29">
          <cell r="C29" t="str">
            <v>3.3. Proyección de partículas</v>
          </cell>
          <cell r="I29" t="str">
            <v>Documentar los riesgos mecánicos en cada área</v>
          </cell>
          <cell r="M29" t="str">
            <v>Mitones y mangas de tela de asbesto</v>
          </cell>
        </row>
        <row r="30">
          <cell r="C30" t="str">
            <v>3.4. Caidas y resbalones</v>
          </cell>
          <cell r="E30" t="str">
            <v>1.8. Generado por máquinas motorizadas, eléctricas o neumáticas</v>
          </cell>
          <cell r="I30" t="str">
            <v>Dotación de cintas antideslizantes</v>
          </cell>
          <cell r="M30" t="str">
            <v>Guanteletes con cubrimiento del antebrazo</v>
          </cell>
        </row>
        <row r="31">
          <cell r="C31" t="str">
            <v>3.5.  Manejo de herramientas cortopunzantes</v>
          </cell>
          <cell r="E31" t="str">
            <v>1.8. Vehiculos pesados</v>
          </cell>
          <cell r="M31" t="str">
            <v xml:space="preserve">Guantes  de  maniobra  </v>
          </cell>
        </row>
        <row r="32">
          <cell r="C32" t="str">
            <v>3.6.  Manejo de materiales,  objetos o sustancias calientes</v>
          </cell>
          <cell r="E32" t="str">
            <v>1.8. Maquinaria sin sistemas de amortiguación (trituradoras, centrifugas, etc.)</v>
          </cell>
          <cell r="I32" t="str">
            <v>Procedimiento para la limpieza de regueros que puedan generar caídas</v>
          </cell>
          <cell r="M32" t="str">
            <v xml:space="preserve">Calzado  de  seguridad con  punteras de acero </v>
          </cell>
        </row>
        <row r="33">
          <cell r="C33" t="str">
            <v>3.7. Golpes por o contra objetos o máquinas</v>
          </cell>
          <cell r="E33" t="str">
            <v>1.8. Maquinaria sin puntos de sujeción o anclaje en piso o pared.</v>
          </cell>
          <cell r="I33" t="str">
            <v>Dotación y/o mantenimiento de  escaleras</v>
          </cell>
          <cell r="M33" t="str">
            <v>Calzado de seguridad de puntera de acero y suela de acero</v>
          </cell>
        </row>
        <row r="34">
          <cell r="C34" t="str">
            <v>3.8. Caidas de un nivel superior</v>
          </cell>
          <cell r="E34" t="str">
            <v>1.9. Aire comprimido: perforación de túneles</v>
          </cell>
          <cell r="I34" t="str">
            <v>Certificar al personal expuesto a trabajos en alturas</v>
          </cell>
          <cell r="M34" t="str">
            <v xml:space="preserve">Calzado dieléctrico  </v>
          </cell>
        </row>
        <row r="35">
          <cell r="C35" t="str">
            <v>3.9 Caidas a un mismo nivel</v>
          </cell>
          <cell r="E35" t="str">
            <v>1.9. Aire enrarecido: altitudes elevadas, aviación</v>
          </cell>
          <cell r="I35" t="str">
            <v>Implementación de estándares de seguridad</v>
          </cell>
          <cell r="M35" t="str">
            <v xml:space="preserve">Polainas de seguridad hasta   la rodilla  de  asbesto  u  otro material  resistente  al  calor </v>
          </cell>
        </row>
        <row r="36">
          <cell r="E36" t="str">
            <v>1.9. Espacios confinados, camaras con presencia de gases y/o falta de oxigeno</v>
          </cell>
          <cell r="I36" t="str">
            <v>Implementación de sistemas de ventilación o extracción</v>
          </cell>
          <cell r="M36" t="str">
            <v>Polainas de seguridad en cuero</v>
          </cell>
        </row>
        <row r="37">
          <cell r="C37" t="str">
            <v>3.10. Contacto físico directo</v>
          </cell>
          <cell r="I37" t="str">
            <v>Desenergizar maquinas y equipos para su limpieza y mantenimiento</v>
          </cell>
          <cell r="M37" t="str">
            <v xml:space="preserve">Protectores  de  canilla  </v>
          </cell>
        </row>
        <row r="38">
          <cell r="C38" t="str">
            <v>3.11. Contacto físico indirecto</v>
          </cell>
          <cell r="E38" t="str">
            <v xml:space="preserve">2.1. Polvo  acumulado en áreas de oficinas como lugares de archivo.       </v>
          </cell>
          <cell r="I38" t="str">
            <v>Control y alimentación remotos, protecciones de colocación o expulsión</v>
          </cell>
          <cell r="M38" t="str">
            <v>Botas de caucho de caña alta o de caña mediana</v>
          </cell>
        </row>
        <row r="39">
          <cell r="C39" t="str">
            <v>3.12.  Arco eléctrico</v>
          </cell>
          <cell r="E39" t="str">
            <v>2.1. Trabajos en mina de asbesto, Carbón. Etc.</v>
          </cell>
          <cell r="M39" t="str">
            <v>Mandiles de distintos materiales</v>
          </cell>
        </row>
        <row r="40">
          <cell r="C40" t="str">
            <v>3.13.  Descarga atmosférica</v>
          </cell>
          <cell r="E40" t="str">
            <v>2.1. Preparación de fibra vegetal (algodón, lino, cáñamo, etc)</v>
          </cell>
          <cell r="M40" t="str">
            <v>Mandiles  resistente al fuego</v>
          </cell>
        </row>
        <row r="41">
          <cell r="C41" t="str">
            <v>3.14.   Condiciones inadecuadas de visibilidad</v>
          </cell>
          <cell r="E41" t="str">
            <v>2.1. Preparación de troncos y madera</v>
          </cell>
          <cell r="M41" t="str">
            <v xml:space="preserve">Vestidos  de  amianto  (tela-asbesto)  completo con su capuchón, guantes y botas adheridas.  </v>
          </cell>
        </row>
        <row r="42">
          <cell r="C42" t="str">
            <v>3.15.    Superficie o locación de trabajo (defectuosa, irregular, resbalosa)</v>
          </cell>
          <cell r="E42" t="str">
            <v>2.1. Panaderias</v>
          </cell>
          <cell r="M42" t="str">
            <v xml:space="preserve">Mandiles o delantales de caucho natural o sintético u otro material resistente a la corrosión.  </v>
          </cell>
        </row>
        <row r="43">
          <cell r="C43" t="str">
            <v>3.16. Espacios confinados</v>
          </cell>
          <cell r="E43" t="str">
            <v>2.2.  Fibras vegetales y/o sinteticas en procesos textiles, etc</v>
          </cell>
          <cell r="M43" t="str">
            <v xml:space="preserve">Mandiles de caucho plomizo u otro material a prueba de agua,  </v>
          </cell>
        </row>
        <row r="44">
          <cell r="C44" t="str">
            <v>3.17. Falta de orden y aseo</v>
          </cell>
          <cell r="E44" t="str">
            <v>2.3. Condensación y atomización mecánica de un líquido. Operación de spray (pintura con pistola)</v>
          </cell>
          <cell r="M44" t="str">
            <v>Protector solar y gorra</v>
          </cell>
        </row>
        <row r="45">
          <cell r="C45" t="str">
            <v>3.18. Falta de señalización o señalización inadecuada</v>
          </cell>
          <cell r="E45" t="str">
            <v>2.4. Manipulacion de productos quimicos (alcohol etilico, tiner, varsol, pinturas, lacas, amoniaco, acetonas).</v>
          </cell>
          <cell r="M45" t="str">
            <v>Epp dielectricos</v>
          </cell>
        </row>
        <row r="46">
          <cell r="C46" t="str">
            <v>3.19.  Almacenamiento inadecuado</v>
          </cell>
          <cell r="E46" t="str">
            <v>2.4. Uso permanente de reactivos para el analisis de muestras</v>
          </cell>
          <cell r="M46" t="str">
            <v>Epp para trabajos en alturas</v>
          </cell>
        </row>
        <row r="47">
          <cell r="C47" t="str">
            <v>3.20.  Ubicación o diseño inadecuado de equipos y estructuras</v>
          </cell>
          <cell r="E47" t="str">
            <v>2.4. Uso de desinfectantes durante lavado de material</v>
          </cell>
        </row>
        <row r="48">
          <cell r="C48" t="str">
            <v>3.21 Almacenamiento de material combustible</v>
          </cell>
          <cell r="E48" t="str">
            <v>2.4. Manipulación de gases como Nitrogeno, Hidrogeno, Helio, Metano, etc.</v>
          </cell>
        </row>
        <row r="49">
          <cell r="C49" t="str">
            <v>3.22. Manipulación, almacenamiento o transporte de sólidos y líquidos inflamables</v>
          </cell>
          <cell r="E49" t="str">
            <v>2.4. Espacios confinados, camaras con presencia de gases y/o falta de oxigeno</v>
          </cell>
        </row>
        <row r="50">
          <cell r="C50" t="str">
            <v>3.23. Manejo, almacenamiento o transporte de vapores o gases inflamables</v>
          </cell>
          <cell r="E50" t="str">
            <v>2.5. Fundición de metales</v>
          </cell>
        </row>
        <row r="51">
          <cell r="C51" t="str">
            <v>3.24.  Manejo de material explosivo</v>
          </cell>
        </row>
        <row r="52">
          <cell r="C52" t="str">
            <v>3.25.       Delincuencia común (robos, atracos, atentados, desorden público)</v>
          </cell>
          <cell r="E52" t="str">
            <v>3.1. Guardas de seguridad inexistentes o inadecuadas</v>
          </cell>
        </row>
        <row r="53">
          <cell r="C53" t="str">
            <v>3.26.       Grupos armados al margen de la ley</v>
          </cell>
          <cell r="E53" t="str">
            <v>3.1. Puntos de operación de maquinas, prensa, torno, cizalla, etc.</v>
          </cell>
        </row>
        <row r="54">
          <cell r="C54" t="str">
            <v>3.27.       Otras situaciones de orden social</v>
          </cell>
          <cell r="E54" t="str">
            <v>3.1. Sistemas de transmisión de fuerza sin guardas de seguridad</v>
          </cell>
        </row>
        <row r="55">
          <cell r="C55" t="str">
            <v>3.28. Conducción o transporte en vehículos</v>
          </cell>
          <cell r="E55" t="str">
            <v>3.2. Manipulación de aparejos de izar</v>
          </cell>
        </row>
        <row r="56">
          <cell r="C56" t="str">
            <v>3.29. Trabajo en vías o áreas públicas</v>
          </cell>
          <cell r="E56" t="str">
            <v>3.2. Maquinas con elementos móviles, mecanismos de prensa, troqueladoras, trituración</v>
          </cell>
        </row>
        <row r="57">
          <cell r="C57" t="str">
            <v>3.30. Desplazamiento como peatón</v>
          </cell>
          <cell r="E57" t="str">
            <v>3.2. Mecanismos en movimiento, bandas transportadoras, rodillos, etc.</v>
          </cell>
        </row>
        <row r="58">
          <cell r="C58" t="str">
            <v>3.31  Trabajos en alturas</v>
          </cell>
          <cell r="E58" t="str">
            <v>3.3. Limpieza de maquinas y materiales con aire a presión</v>
          </cell>
        </row>
        <row r="59">
          <cell r="C59" t="str">
            <v>3.32  Trabajos en espacios confinados</v>
          </cell>
          <cell r="E59" t="str">
            <v>3.3. Viruta generada en el procesamiento de maderas, plásticos, laminas,  por tornos, taladros de banco, fresadoras, pulidoras, etc. Incrustación de particulas</v>
          </cell>
        </row>
        <row r="60">
          <cell r="E60" t="str">
            <v>3.4. Derrames de aceite y grasas en el piso</v>
          </cell>
        </row>
        <row r="61">
          <cell r="C61" t="str">
            <v xml:space="preserve">4.1.  Posturas inadecuadas </v>
          </cell>
          <cell r="E61" t="str">
            <v>3.4. Pisos humedos</v>
          </cell>
        </row>
        <row r="62">
          <cell r="C62" t="str">
            <v>4.2. Esfuerzos</v>
          </cell>
          <cell r="E62" t="str">
            <v>3.5. Cortes con implementos de oficina ( legajadores y ganchos )</v>
          </cell>
        </row>
        <row r="63">
          <cell r="C63" t="str">
            <v>4.3. Movimiento repetitivo</v>
          </cell>
          <cell r="E63" t="str">
            <v>3.5. Partes cortopunzantes expuestas, cuchillas, tijeras, etc.</v>
          </cell>
        </row>
        <row r="64">
          <cell r="C64" t="str">
            <v>4.4. Manipulación de cargas</v>
          </cell>
          <cell r="E64" t="str">
            <v>3.5. Uso de herramientas de corte (tijeras, cuchillas, etc)</v>
          </cell>
        </row>
        <row r="65">
          <cell r="E65" t="str">
            <v>3.6. Contacto con piezas de producción calientes</v>
          </cell>
        </row>
        <row r="66">
          <cell r="C66" t="str">
            <v xml:space="preserve">5.1. Microorganismos (bacterias, parásitos, hongos o virus) </v>
          </cell>
          <cell r="E66" t="str">
            <v>3.6.  Trabajos con tanques con sustacias quimicas a altas temperaturas</v>
          </cell>
        </row>
        <row r="67">
          <cell r="C67" t="str">
            <v>5.2. Ricketsias</v>
          </cell>
          <cell r="E67" t="str">
            <v>3.7. Por Caída de objetos.</v>
          </cell>
        </row>
        <row r="68">
          <cell r="E68" t="str">
            <v>3.7. Disposición inadecuada de materiales</v>
          </cell>
        </row>
        <row r="69">
          <cell r="C69" t="str">
            <v>6.1. Gestión Organizacional</v>
          </cell>
          <cell r="E69" t="str">
            <v>3.8. Caídas desde camiones, plataformas y zonas de carga</v>
          </cell>
        </row>
        <row r="70">
          <cell r="C70" t="str">
            <v>6.2. Características de la organización del trabajo</v>
          </cell>
          <cell r="E70" t="str">
            <v>3.8. Desplazamiento por escaleras fijas</v>
          </cell>
        </row>
        <row r="71">
          <cell r="C71" t="str">
            <v>6.3. Características del grupo social del trabajo</v>
          </cell>
          <cell r="E71" t="str">
            <v>3.9. Objetos dispuestos por el piso</v>
          </cell>
        </row>
        <row r="72">
          <cell r="C72" t="str">
            <v>6.4. Condiciones de la tarea</v>
          </cell>
          <cell r="E72" t="str">
            <v>3.9.  Pisos de trabajo irregulares, resbalosas</v>
          </cell>
        </row>
        <row r="73">
          <cell r="C73" t="str">
            <v>6.5. Interfase Persona - Tarea</v>
          </cell>
          <cell r="E73" t="str">
            <v>3.10. Contacto con sistema electrico y conexiones</v>
          </cell>
        </row>
        <row r="74">
          <cell r="C74" t="str">
            <v>6.6. Jornada de trabajo</v>
          </cell>
          <cell r="E74" t="str">
            <v>3.11. Cajas de toma corriente sin tapa, cables pelados y sin canalizar</v>
          </cell>
        </row>
        <row r="75">
          <cell r="E75" t="str">
            <v>3.11. Defectuoso sistema electrico en maquinas</v>
          </cell>
        </row>
        <row r="76">
          <cell r="C76" t="str">
            <v>7.1 Fenomenos naturales</v>
          </cell>
          <cell r="E76" t="str">
            <v>3.11. Presencia de cables dispuesto por el piso</v>
          </cell>
        </row>
        <row r="77">
          <cell r="E77" t="str">
            <v>3.12.  Trabajos con soldadura</v>
          </cell>
        </row>
        <row r="78">
          <cell r="E78" t="str">
            <v>3.13.  Rayos, Truenos, relampagos</v>
          </cell>
        </row>
        <row r="79">
          <cell r="E79" t="str">
            <v>3.14. Barandas defectuosas o ausentes</v>
          </cell>
        </row>
        <row r="80">
          <cell r="E80" t="str">
            <v>3.14. Condiciones inadecuadas de visibilidad</v>
          </cell>
        </row>
        <row r="81">
          <cell r="E81" t="str">
            <v>3.14. Escaleras defectuosas</v>
          </cell>
        </row>
        <row r="82">
          <cell r="E82" t="str">
            <v>3.14. Ventanas defectuosas o en mal estado</v>
          </cell>
        </row>
        <row r="83">
          <cell r="E83" t="str">
            <v>3.15. Pisos defectuosos</v>
          </cell>
        </row>
        <row r="84">
          <cell r="E84" t="str">
            <v>3.15. Sobresaltos en la superficie de trabajo</v>
          </cell>
        </row>
        <row r="85">
          <cell r="E85" t="str">
            <v>3.16. Trabajos en espacios confinados</v>
          </cell>
        </row>
        <row r="86">
          <cell r="E86" t="str">
            <v>3.17. Falta de orden y aseo</v>
          </cell>
        </row>
        <row r="87">
          <cell r="E87" t="str">
            <v>3.18. Maquinaria y partes de ella sin demarcar</v>
          </cell>
        </row>
        <row r="88">
          <cell r="E88" t="str">
            <v>3.18. Señalización y demarcación deficiente</v>
          </cell>
        </row>
        <row r="89">
          <cell r="E89" t="str">
            <v>3.19. Almacenamiento, arrumes con altura inadecuada</v>
          </cell>
        </row>
        <row r="90">
          <cell r="E90" t="str">
            <v>3.19. Almacenamiento, estanteria en mal estado</v>
          </cell>
        </row>
        <row r="91">
          <cell r="E91" t="str">
            <v>3.20. Mobiliario, estanterias, sillas en mal estado</v>
          </cell>
        </row>
        <row r="92">
          <cell r="E92" t="str">
            <v>3.20. Ubicación o diseño inadecuado de equipos y estructuras</v>
          </cell>
        </row>
        <row r="93">
          <cell r="E93" t="str">
            <v>3.21 Almacenamiento de material combustible</v>
          </cell>
        </row>
        <row r="94">
          <cell r="E94" t="str">
            <v>3.22. Manipulación, almacenamiento o transporte de sólidos y líquidos inflamables</v>
          </cell>
        </row>
        <row r="95">
          <cell r="E95" t="str">
            <v>3.23. Manejo, almacenamiento o transporte de vapores o gases inflamables</v>
          </cell>
        </row>
        <row r="96">
          <cell r="E96" t="str">
            <v>3.24.  Manejo de material explosivo</v>
          </cell>
        </row>
        <row r="97">
          <cell r="E97" t="str">
            <v>3.25. Bandalismo</v>
          </cell>
        </row>
        <row r="98">
          <cell r="E98" t="str">
            <v>3.26. Agresión por terceros</v>
          </cell>
        </row>
        <row r="99">
          <cell r="E99" t="str">
            <v>3.27. Robo</v>
          </cell>
        </row>
        <row r="100">
          <cell r="E100" t="str">
            <v>3.28. Desplazamientos en vehiculos a lugares de trabajo e instalaciones.</v>
          </cell>
        </row>
        <row r="101">
          <cell r="E101" t="str">
            <v xml:space="preserve">3.28. Desplazamiento en vías publicas (urbano e intermunicipal)  en vehículo propio (moto). </v>
          </cell>
        </row>
        <row r="102">
          <cell r="E102" t="str">
            <v>3.28. Desplazamiento en vías publicas (urbano e intermunicipal) en transporte suministrado por la empresa (movilización en taxi).</v>
          </cell>
        </row>
        <row r="103">
          <cell r="E103" t="str">
            <v>3.29. Trabajo en vías o áreas públicas (instalación de cableados,  obras públicas, vías)</v>
          </cell>
        </row>
        <row r="104">
          <cell r="E104" t="str">
            <v>3.30. Desplazamiento en vías publicas como peatón</v>
          </cell>
        </row>
        <row r="105">
          <cell r="E105" t="str">
            <v>3.31  Trabajos en alturas ( postes, árboles, escaleras, estructuras)</v>
          </cell>
        </row>
        <row r="106">
          <cell r="E106" t="str">
            <v>3.32  Trabajos en espacios confinados</v>
          </cell>
        </row>
        <row r="108">
          <cell r="E108" t="str">
            <v>4.1. Altura inadecuacuada del plano de trabajo ( Uso de Pórtatil)</v>
          </cell>
        </row>
        <row r="109">
          <cell r="E109" t="str">
            <v>4.1. Desplazamientos constantes por la empresa</v>
          </cell>
        </row>
        <row r="110">
          <cell r="E110" t="str">
            <v>4.1. Distribución de espacios y ubicación de estación de trabajo</v>
          </cell>
        </row>
        <row r="111">
          <cell r="E111" t="str">
            <v>4.1. Hiperextensiones del tronco y miembros superiores</v>
          </cell>
        </row>
        <row r="112">
          <cell r="E112" t="str">
            <v>4.1. Postura prolongada mantenida de pie</v>
          </cell>
        </row>
        <row r="113">
          <cell r="E113" t="str">
            <v>4.1. Posturas antigravitacionales (Girar)</v>
          </cell>
        </row>
        <row r="114">
          <cell r="E114" t="str">
            <v>4.1. Trabajo con pantallas de visualización de datos</v>
          </cell>
        </row>
        <row r="115">
          <cell r="E115" t="str">
            <v>4.2. Postura prolongada mantenida sentado</v>
          </cell>
        </row>
        <row r="116">
          <cell r="E116" t="str">
            <v>4.2. Trabajos por encima de la altura de los hombros</v>
          </cell>
        </row>
        <row r="117">
          <cell r="E117" t="str">
            <v>4.3. Empaque, manipulación de herramientas manuales</v>
          </cell>
        </row>
        <row r="118">
          <cell r="E118" t="str">
            <v>4.3. Movimientos repetitivos de miembros inferiores</v>
          </cell>
        </row>
        <row r="119">
          <cell r="E119" t="str">
            <v>4.3. Movimientos repetitivos de miembros superiores</v>
          </cell>
        </row>
        <row r="120">
          <cell r="E120" t="str">
            <v>4.3. Postura Forzada</v>
          </cell>
        </row>
        <row r="121">
          <cell r="E121" t="str">
            <v>4.4. Manipulación de ayudas mecánicas de transporte</v>
          </cell>
        </row>
        <row r="122">
          <cell r="E122" t="str">
            <v>4.4. Manipulación de cargas</v>
          </cell>
        </row>
        <row r="123">
          <cell r="E123" t="str">
            <v>4.4. Materiales con pesos superiores a 12 kg para mujeres y 25 kg para hombres</v>
          </cell>
        </row>
        <row r="124">
          <cell r="E124" t="str">
            <v>4.4. Sobreesfuerzos</v>
          </cell>
        </row>
        <row r="125">
          <cell r="E125" t="str">
            <v>4.4. Traslado de materiales en canecas,, carretillas, etc</v>
          </cell>
        </row>
        <row r="130">
          <cell r="E130" t="str">
            <v>5.1. Manipulación de productos en descomposición</v>
          </cell>
        </row>
        <row r="131">
          <cell r="E131" t="str">
            <v>5.1. Manipulación de alimentos sin procesar</v>
          </cell>
        </row>
        <row r="132">
          <cell r="E132" t="str">
            <v>5.1. Manipulación de tubos de ensayo con fluidos corporales</v>
          </cell>
        </row>
        <row r="133">
          <cell r="E133" t="str">
            <v xml:space="preserve">5.1. Manipulacion y disposición final de elementos cortopunzantes contaminados </v>
          </cell>
        </row>
        <row r="134">
          <cell r="E134" t="str">
            <v>5.2. Realización de curaciones potencialmente infectadas</v>
          </cell>
        </row>
        <row r="135">
          <cell r="E135" t="str">
            <v>5.2. Aerosoles, mordeduras, picaduras, rasguños, aguas y alimentos contaminados</v>
          </cell>
        </row>
        <row r="137">
          <cell r="E137" t="str">
            <v>6.1. Estilo de mando</v>
          </cell>
        </row>
        <row r="138">
          <cell r="E138" t="str">
            <v>6.1. Contratación, pago, participación</v>
          </cell>
        </row>
        <row r="139">
          <cell r="E139" t="str">
            <v>6.1. Inducción, capacitación y bienestar social</v>
          </cell>
        </row>
        <row r="140">
          <cell r="E140" t="str">
            <v>6.2. Evaluación de desempeño, manejo de cambios</v>
          </cell>
        </row>
        <row r="141">
          <cell r="E141" t="str">
            <v>6.3. Comunicación</v>
          </cell>
        </row>
        <row r="142">
          <cell r="E142" t="str">
            <v>6.4. Tecnología</v>
          </cell>
        </row>
        <row r="143">
          <cell r="E143" t="str">
            <v>6.2. Organización del trabajo</v>
          </cell>
        </row>
        <row r="144">
          <cell r="E144" t="str">
            <v>6.2. Demandas cualitativas y cuatitativas de la labor</v>
          </cell>
        </row>
        <row r="145">
          <cell r="E145" t="str">
            <v>6.3. Relaciones interpersonales</v>
          </cell>
        </row>
        <row r="146">
          <cell r="E146" t="str">
            <v>6.3. Trabajo en equipo</v>
          </cell>
        </row>
        <row r="147">
          <cell r="E147" t="str">
            <v>6.4. Carga mental, contenido de la tarea</v>
          </cell>
        </row>
        <row r="148">
          <cell r="E148" t="str">
            <v>6.4. Demandas emocionales</v>
          </cell>
        </row>
        <row r="149">
          <cell r="E149" t="str">
            <v>6.4. Sistemas de control, definicion de roles</v>
          </cell>
        </row>
        <row r="150">
          <cell r="E150" t="str">
            <v>6.4. Monotonía</v>
          </cell>
        </row>
        <row r="151">
          <cell r="E151" t="str">
            <v>6.5. Conocimientos y habilidad Vs Demanda de la tarea</v>
          </cell>
        </row>
        <row r="152">
          <cell r="E152" t="str">
            <v>6.5. Iniciativa, autonomía y reconocimiento</v>
          </cell>
        </row>
        <row r="153">
          <cell r="E153" t="str">
            <v>6.5. Identificación de la persona con la tarea y la organización</v>
          </cell>
        </row>
        <row r="154">
          <cell r="E154" t="str">
            <v>6.6. Pausas , descansos, compensatorios</v>
          </cell>
        </row>
        <row r="155">
          <cell r="E155" t="str">
            <v>6.6. Trabajo nocturno</v>
          </cell>
        </row>
        <row r="156">
          <cell r="E156" t="str">
            <v>6.6. Rotación, horas extras</v>
          </cell>
        </row>
        <row r="158">
          <cell r="E158" t="str">
            <v>7.1. Sismo</v>
          </cell>
        </row>
        <row r="159">
          <cell r="E159" t="str">
            <v>7.2. Terremoto</v>
          </cell>
        </row>
        <row r="160">
          <cell r="E160" t="str">
            <v>7.3. Vendaval</v>
          </cell>
        </row>
        <row r="161">
          <cell r="E161" t="str">
            <v>7.4. Inundación</v>
          </cell>
        </row>
        <row r="162">
          <cell r="E162" t="str">
            <v>7.5. Derrumbe</v>
          </cell>
        </row>
        <row r="163">
          <cell r="E163" t="str">
            <v>7.8. Precipitaciones (Lluvias granizadas, heladas)</v>
          </cell>
        </row>
      </sheetData>
      <sheetData sheetId="2">
        <row r="15">
          <cell r="B15">
            <v>10</v>
          </cell>
        </row>
        <row r="16">
          <cell r="B16">
            <v>6</v>
          </cell>
        </row>
        <row r="17">
          <cell r="B17">
            <v>2</v>
          </cell>
        </row>
        <row r="18">
          <cell r="B18">
            <v>0</v>
          </cell>
        </row>
      </sheetData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 AYUDA -"/>
      <sheetName val="PARAMETROS"/>
      <sheetName val="PLANTILLA"/>
      <sheetName val="RESUMEN GRÁFICO"/>
      <sheetName val="6"/>
    </sheetNames>
    <sheetDataSet>
      <sheetData sheetId="0" refreshError="1"/>
      <sheetData sheetId="1">
        <row r="2">
          <cell r="A2" t="str">
            <v>No iniciada</v>
          </cell>
        </row>
        <row r="3">
          <cell r="A3" t="str">
            <v>En progreso</v>
          </cell>
        </row>
        <row r="4">
          <cell r="A4" t="str">
            <v>Bloqueada</v>
          </cell>
        </row>
        <row r="5">
          <cell r="A5" t="str">
            <v>Terminada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UAL"/>
      <sheetName val="INSTRUCTIVO"/>
      <sheetName val="CONSOLIDADO AL 2017"/>
      <sheetName val="TABLAS "/>
      <sheetName val="INFORME ANALISIS DE AT"/>
      <sheetName val="INDICADORES AT 2017 "/>
      <sheetName val="TRAZABILIDAD 2016 2017"/>
      <sheetName val="GUIA CAUSAS BASICAS"/>
      <sheetName val="LI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B3" t="str">
            <v>VIOLENCIA</v>
          </cell>
          <cell r="E3" t="str">
            <v>DIURNA</v>
          </cell>
          <cell r="F3" t="str">
            <v>SI</v>
          </cell>
          <cell r="L3" t="str">
            <v>LEVE</v>
          </cell>
        </row>
        <row r="4">
          <cell r="E4" t="str">
            <v>NOCTURNA</v>
          </cell>
          <cell r="F4" t="str">
            <v>NO</v>
          </cell>
          <cell r="L4" t="str">
            <v>SEVERO</v>
          </cell>
        </row>
        <row r="5">
          <cell r="E5" t="str">
            <v>MIXTA</v>
          </cell>
          <cell r="L5" t="str">
            <v>GRAVE</v>
          </cell>
        </row>
        <row r="6">
          <cell r="E6" t="str">
            <v>TURNOS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 0. Base"/>
      <sheetName val="Tabla 1. CG"/>
      <sheetName val="Parametros"/>
      <sheetName val="ECP-DHS-F-018"/>
      <sheetName val="3 QUE"/>
      <sheetName val="3 QUÉ"/>
      <sheetName val="Lista de Chequeo"/>
      <sheetName val="Anexo_CGeograf."/>
      <sheetName val="Personal_BTCOM"/>
      <sheetName val="CentrosAtención_BTCOM"/>
    </sheetNames>
    <sheetDataSet>
      <sheetData sheetId="0" refreshError="1">
        <row r="5">
          <cell r="E5" t="str">
            <v>CORPORATIVO</v>
          </cell>
        </row>
        <row r="6">
          <cell r="E6" t="str">
            <v>SUPERINTENDENCIA DE PRODUCCIÓN APIAY</v>
          </cell>
        </row>
        <row r="7">
          <cell r="E7" t="str">
            <v>SUPERINTENDENCIA DE OPERACIONES CUSIANA</v>
          </cell>
        </row>
        <row r="8">
          <cell r="E8" t="str">
            <v>SUPERINTENDENCIA DE OPERACIONES CASTILLA CHICHIMENE</v>
          </cell>
        </row>
        <row r="9">
          <cell r="E9" t="str">
            <v>SUPERINTENDENCIA DE OPERACIONES TIBÚ</v>
          </cell>
        </row>
        <row r="10">
          <cell r="E10" t="str">
            <v>SUPERINTENDENCIA DE OPERACIONES NORORIENTE</v>
          </cell>
        </row>
        <row r="11">
          <cell r="E11" t="str">
            <v>SUPERINTENDENCIA DE OPERACIONES DE MARES</v>
          </cell>
        </row>
        <row r="12">
          <cell r="E12" t="str">
            <v>SUPERINTENDENCIA DE OPERACIONES DEL RIO</v>
          </cell>
        </row>
        <row r="13">
          <cell r="E13" t="str">
            <v>SUPERINTENDENCIA DE OPERACIONES HUILA / TOLIMA</v>
          </cell>
        </row>
        <row r="14">
          <cell r="E14" t="str">
            <v>SUPERINTENDENCIA DE OPERACIONES ORITO</v>
          </cell>
        </row>
        <row r="15">
          <cell r="E15" t="str">
            <v>GERENCIA DE OLEODUCTOS</v>
          </cell>
        </row>
        <row r="16">
          <cell r="E16" t="str">
            <v>GERENCIA DE POLIDUCTOS</v>
          </cell>
        </row>
        <row r="17">
          <cell r="E17" t="str">
            <v>GERENCIA DE OPERACIÓN CENTRALIZADA</v>
          </cell>
        </row>
        <row r="18">
          <cell r="E18" t="str">
            <v>GERENCIA REFINERIA DE BARRANCABERMEJA</v>
          </cell>
        </row>
        <row r="19">
          <cell r="E19" t="str">
            <v>GERENCIA REFINERIA DE CARTAGENA</v>
          </cell>
        </row>
      </sheetData>
      <sheetData sheetId="1"/>
      <sheetData sheetId="2" refreshError="1">
        <row r="4">
          <cell r="C4" t="str">
            <v>Amazonas</v>
          </cell>
          <cell r="E4" t="str">
            <v>1X8</v>
          </cell>
        </row>
        <row r="5">
          <cell r="C5" t="str">
            <v>Antioquia</v>
          </cell>
          <cell r="E5" t="str">
            <v>2X8</v>
          </cell>
        </row>
        <row r="6">
          <cell r="C6" t="str">
            <v>Arauca</v>
          </cell>
          <cell r="E6" t="str">
            <v>5 X 10</v>
          </cell>
        </row>
        <row r="7">
          <cell r="C7" t="str">
            <v>Atlántico</v>
          </cell>
          <cell r="E7" t="str">
            <v>5 X 12</v>
          </cell>
        </row>
        <row r="8">
          <cell r="C8" t="str">
            <v>Bolívar</v>
          </cell>
          <cell r="E8" t="str">
            <v>5 X 12 + 1 X 8</v>
          </cell>
        </row>
        <row r="9">
          <cell r="C9" t="str">
            <v>Boyacá</v>
          </cell>
          <cell r="E9" t="str">
            <v>5 X 12 + 2 X 8</v>
          </cell>
        </row>
        <row r="10">
          <cell r="C10" t="str">
            <v>Caldas</v>
          </cell>
          <cell r="E10" t="str">
            <v>6 X 12</v>
          </cell>
        </row>
        <row r="11">
          <cell r="C11" t="str">
            <v>Caquetá</v>
          </cell>
          <cell r="E11" t="str">
            <v>7x12</v>
          </cell>
        </row>
        <row r="12">
          <cell r="C12" t="str">
            <v>Casanare</v>
          </cell>
          <cell r="E12" t="str">
            <v>7x24</v>
          </cell>
        </row>
        <row r="13">
          <cell r="C13" t="str">
            <v>Cauca</v>
          </cell>
          <cell r="E13" t="str">
            <v>N/A</v>
          </cell>
        </row>
        <row r="14">
          <cell r="C14" t="str">
            <v>Cesar</v>
          </cell>
        </row>
        <row r="15">
          <cell r="C15" t="str">
            <v>Chocó</v>
          </cell>
        </row>
        <row r="16">
          <cell r="C16" t="str">
            <v>Córdoba</v>
          </cell>
        </row>
        <row r="17">
          <cell r="C17" t="str">
            <v>Cundinamarca</v>
          </cell>
        </row>
        <row r="18">
          <cell r="C18" t="str">
            <v>Guainia</v>
          </cell>
        </row>
        <row r="19">
          <cell r="C19" t="str">
            <v>Guaviare</v>
          </cell>
        </row>
        <row r="20">
          <cell r="C20" t="str">
            <v>Huila</v>
          </cell>
        </row>
        <row r="21">
          <cell r="C21" t="str">
            <v>La Guajira</v>
          </cell>
        </row>
        <row r="22">
          <cell r="C22" t="str">
            <v>Magdalena</v>
          </cell>
        </row>
        <row r="23">
          <cell r="C23" t="str">
            <v>Meta</v>
          </cell>
        </row>
        <row r="24">
          <cell r="C24" t="str">
            <v>Nariño</v>
          </cell>
        </row>
        <row r="25">
          <cell r="C25" t="str">
            <v>Norte de Santander</v>
          </cell>
        </row>
        <row r="26">
          <cell r="C26" t="str">
            <v>Putumayo</v>
          </cell>
        </row>
        <row r="27">
          <cell r="C27" t="str">
            <v>Quindío</v>
          </cell>
        </row>
        <row r="28">
          <cell r="C28" t="str">
            <v>Risaralda</v>
          </cell>
        </row>
        <row r="29">
          <cell r="C29" t="str">
            <v>San Andrés, Providencia</v>
          </cell>
        </row>
        <row r="30">
          <cell r="C30" t="str">
            <v>Santander</v>
          </cell>
        </row>
        <row r="31">
          <cell r="C31" t="str">
            <v>Sucre</v>
          </cell>
        </row>
        <row r="32">
          <cell r="C32" t="str">
            <v xml:space="preserve">Tolima </v>
          </cell>
        </row>
        <row r="33">
          <cell r="C33" t="str">
            <v>Valle del Cauca</v>
          </cell>
        </row>
        <row r="34">
          <cell r="C34" t="str">
            <v>Vaupes</v>
          </cell>
        </row>
        <row r="35">
          <cell r="C35" t="str">
            <v>Vichada</v>
          </cell>
        </row>
        <row r="36">
          <cell r="C36" t="str">
            <v>Sucumbios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LIGROS"/>
      <sheetName val="Definiciones"/>
      <sheetName val="Listas"/>
      <sheetName val="valoracion"/>
      <sheetName val="TECNICOS DE AIRES ACONDICIONADO"/>
    </sheetNames>
    <sheetDataSet>
      <sheetData sheetId="0"/>
      <sheetData sheetId="1"/>
      <sheetData sheetId="2"/>
      <sheetData sheetId="3">
        <row r="2">
          <cell r="G2" t="str">
            <v>SI</v>
          </cell>
        </row>
        <row r="3">
          <cell r="G3" t="str">
            <v>NO</v>
          </cell>
        </row>
        <row r="15">
          <cell r="B15">
            <v>10</v>
          </cell>
        </row>
        <row r="16">
          <cell r="B16">
            <v>6</v>
          </cell>
        </row>
        <row r="17">
          <cell r="B17">
            <v>2</v>
          </cell>
        </row>
        <row r="18">
          <cell r="B18">
            <v>0</v>
          </cell>
        </row>
        <row r="27">
          <cell r="B27">
            <v>4</v>
          </cell>
        </row>
        <row r="28">
          <cell r="B28">
            <v>3</v>
          </cell>
        </row>
        <row r="29">
          <cell r="B29">
            <v>2</v>
          </cell>
        </row>
        <row r="30">
          <cell r="B30">
            <v>1</v>
          </cell>
        </row>
        <row r="64">
          <cell r="B64">
            <v>100</v>
          </cell>
        </row>
        <row r="65">
          <cell r="B65">
            <v>60</v>
          </cell>
        </row>
        <row r="66">
          <cell r="B66">
            <v>25</v>
          </cell>
        </row>
        <row r="67">
          <cell r="B67">
            <v>10</v>
          </cell>
        </row>
      </sheetData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 QUÉ"/>
      <sheetName val="ATS"/>
      <sheetName val="MATRIZ RAM"/>
      <sheetName val="Lista de Chequeo"/>
      <sheetName val="Anexo_CGeograf."/>
      <sheetName val="Personal_BTCOM"/>
      <sheetName val="CentrosAtención_BTCOM"/>
    </sheetNames>
    <sheetDataSet>
      <sheetData sheetId="0" refreshError="1"/>
      <sheetData sheetId="1"/>
      <sheetData sheetId="2" refreshError="1"/>
      <sheetData sheetId="3"/>
      <sheetData sheetId="4">
        <row r="5">
          <cell r="G5" t="str">
            <v>Apiay - Bodega 8</v>
          </cell>
        </row>
        <row r="6">
          <cell r="G6" t="str">
            <v>Bateria 1 - Orito</v>
          </cell>
        </row>
        <row r="7">
          <cell r="G7" t="str">
            <v>Bateria 2 - Orito</v>
          </cell>
        </row>
        <row r="8">
          <cell r="G8" t="str">
            <v>Bateria Caribe - Campo Orito</v>
          </cell>
        </row>
        <row r="9">
          <cell r="G9" t="str">
            <v>Bateria Chichimene</v>
          </cell>
        </row>
        <row r="10">
          <cell r="G10" t="str">
            <v>Bateria Churuyaco - Campo Orito</v>
          </cell>
        </row>
        <row r="11">
          <cell r="G11" t="str">
            <v>Bateria Colon - Campo La Hormiga</v>
          </cell>
        </row>
        <row r="12">
          <cell r="G12" t="str">
            <v>Bateria El Loro - Campo La Hormiga</v>
          </cell>
        </row>
        <row r="13">
          <cell r="G13" t="str">
            <v>Bateria Isla 4</v>
          </cell>
        </row>
        <row r="14">
          <cell r="G14" t="str">
            <v>Bateria Isla 6</v>
          </cell>
        </row>
        <row r="15">
          <cell r="G15" t="str">
            <v>Bateria Mansoya - Campo Orito</v>
          </cell>
        </row>
        <row r="16">
          <cell r="G16" t="str">
            <v>Bateria Santa Ana - Base Militar - Campo Orito</v>
          </cell>
        </row>
        <row r="17">
          <cell r="G17" t="str">
            <v>Bateria Santa Rita</v>
          </cell>
        </row>
        <row r="18">
          <cell r="G18" t="str">
            <v>Bateria Sucumbios</v>
          </cell>
        </row>
        <row r="19">
          <cell r="G19" t="str">
            <v>Cali</v>
          </cell>
        </row>
        <row r="20">
          <cell r="G20" t="str">
            <v>Campo Andalucia</v>
          </cell>
        </row>
        <row r="21">
          <cell r="G21" t="str">
            <v>Campo Arauca</v>
          </cell>
        </row>
        <row r="22">
          <cell r="G22" t="str">
            <v>Campo Bonanza</v>
          </cell>
        </row>
        <row r="23">
          <cell r="G23" t="str">
            <v>Campo Cantagallo - CGO</v>
          </cell>
        </row>
        <row r="24">
          <cell r="G24" t="str">
            <v>Campo Casabe - Caseta Telefonica</v>
          </cell>
        </row>
        <row r="25">
          <cell r="G25" t="str">
            <v>Campo Casabe - Estación de Bombeo</v>
          </cell>
        </row>
        <row r="26">
          <cell r="G26" t="str">
            <v>Campo Casabe - Estación Recolectora 3</v>
          </cell>
        </row>
        <row r="27">
          <cell r="G27" t="str">
            <v>Campo Casabe - Loma de Transmisores</v>
          </cell>
        </row>
        <row r="28">
          <cell r="G28" t="str">
            <v>Campo Casabe - Planta Inyeccion</v>
          </cell>
        </row>
        <row r="29">
          <cell r="G29" t="str">
            <v>Campo Casabe - SE Electrica</v>
          </cell>
        </row>
        <row r="30">
          <cell r="G30" t="str">
            <v>Campo Casabe - SR500</v>
          </cell>
        </row>
        <row r="31">
          <cell r="G31" t="str">
            <v>Campo Casabe -CBE</v>
          </cell>
        </row>
        <row r="32">
          <cell r="G32" t="str">
            <v>Campo Castilla 1</v>
          </cell>
        </row>
        <row r="33">
          <cell r="G33" t="str">
            <v>Campo Castilla 2</v>
          </cell>
        </row>
        <row r="34">
          <cell r="G34" t="str">
            <v>Campo Castilla Oficinas</v>
          </cell>
        </row>
        <row r="35">
          <cell r="G35" t="str">
            <v>Campo Cicuco</v>
          </cell>
        </row>
        <row r="36">
          <cell r="G36" t="str">
            <v>Campo Cicuco - Planta de Gas</v>
          </cell>
        </row>
        <row r="37">
          <cell r="G37" t="str">
            <v>Campo Cocorna</v>
          </cell>
        </row>
        <row r="38">
          <cell r="G38" t="str">
            <v>Campo DINA - Bateria Brisas</v>
          </cell>
        </row>
        <row r="39">
          <cell r="G39" t="str">
            <v>Campo DINA - Bateria Cebu</v>
          </cell>
        </row>
        <row r="40">
          <cell r="G40" t="str">
            <v>Campo DINA - Bateria Santa Clara</v>
          </cell>
        </row>
        <row r="41">
          <cell r="G41" t="str">
            <v>Campo DINA - Bateria Terciarios</v>
          </cell>
        </row>
        <row r="42">
          <cell r="G42" t="str">
            <v>Campo DINA - BJ Service</v>
          </cell>
        </row>
        <row r="43">
          <cell r="G43" t="str">
            <v>Campo DINA - Campo Tenay</v>
          </cell>
        </row>
        <row r="44">
          <cell r="G44" t="str">
            <v>Campo DINA - Comunicaciones</v>
          </cell>
        </row>
        <row r="45">
          <cell r="G45" t="str">
            <v>Campo DINA - Planta Inyeccion Agua</v>
          </cell>
        </row>
        <row r="46">
          <cell r="G46" t="str">
            <v>Campo DINA - Pozo BR 2-4-9</v>
          </cell>
        </row>
        <row r="47">
          <cell r="G47" t="str">
            <v>Campo DINA - Pozo CB7</v>
          </cell>
        </row>
        <row r="48">
          <cell r="G48" t="str">
            <v>Campo DINA - Pozo DK 02</v>
          </cell>
        </row>
        <row r="49">
          <cell r="G49" t="str">
            <v>Campo DINA - Pozo DK 15</v>
          </cell>
        </row>
        <row r="50">
          <cell r="G50" t="str">
            <v>Campo DINA - Pozo DK 16</v>
          </cell>
        </row>
        <row r="51">
          <cell r="G51" t="str">
            <v>Campo DINA - Pozo DK 18</v>
          </cell>
        </row>
        <row r="52">
          <cell r="G52" t="str">
            <v>Campo DINA - Pozo DK 19</v>
          </cell>
        </row>
        <row r="53">
          <cell r="G53" t="str">
            <v>Campo DINA - Pozo DK 20</v>
          </cell>
        </row>
        <row r="54">
          <cell r="G54" t="str">
            <v>Campo DINA - Pozo DK 23</v>
          </cell>
        </row>
        <row r="55">
          <cell r="G55" t="str">
            <v>Campo DINA - Pozo DK 24</v>
          </cell>
        </row>
        <row r="56">
          <cell r="G56" t="str">
            <v>Campo DINA - Pozo DK 25</v>
          </cell>
        </row>
        <row r="57">
          <cell r="G57" t="str">
            <v>Campo DINA - Pozo DK 27</v>
          </cell>
        </row>
        <row r="58">
          <cell r="G58" t="str">
            <v>Campo DINA - Pozo DK 5</v>
          </cell>
        </row>
        <row r="59">
          <cell r="G59" t="str">
            <v>Campo DINA - Pozo DT 63</v>
          </cell>
        </row>
        <row r="60">
          <cell r="G60" t="str">
            <v>Campo DINA - Pozo DT 74</v>
          </cell>
        </row>
        <row r="61">
          <cell r="G61" t="str">
            <v>Campo DINA - Pozo DT 75</v>
          </cell>
        </row>
        <row r="62">
          <cell r="G62" t="str">
            <v>Campo DINA - Pozo PG (AU)</v>
          </cell>
        </row>
        <row r="63">
          <cell r="G63" t="str">
            <v>Campo DINA - Pozo PG 11</v>
          </cell>
        </row>
        <row r="64">
          <cell r="G64" t="str">
            <v>Campo DINA - Pozo PG 12</v>
          </cell>
        </row>
        <row r="65">
          <cell r="G65" t="str">
            <v>Campo DINA - Pozo PG 13</v>
          </cell>
        </row>
        <row r="66">
          <cell r="G66" t="str">
            <v>Campo DINA - Pozo PG 14</v>
          </cell>
        </row>
        <row r="67">
          <cell r="G67" t="str">
            <v>Campo DINA - Pozo PG 16</v>
          </cell>
        </row>
        <row r="68">
          <cell r="G68" t="str">
            <v>Campo DINA - Pozo PG 19</v>
          </cell>
        </row>
        <row r="69">
          <cell r="G69" t="str">
            <v>Campo DINA - Pozo PG 22</v>
          </cell>
        </row>
        <row r="70">
          <cell r="G70" t="str">
            <v>Campo DINA - Pozo PG 23</v>
          </cell>
        </row>
        <row r="71">
          <cell r="G71" t="str">
            <v>Campo DINA - Pozo PG 24 (Rep)</v>
          </cell>
        </row>
        <row r="72">
          <cell r="G72" t="str">
            <v>Campo DINA - Pozo PG 28</v>
          </cell>
        </row>
        <row r="73">
          <cell r="G73" t="str">
            <v>Campo DINA - Pozo PG 30</v>
          </cell>
        </row>
        <row r="74">
          <cell r="G74" t="str">
            <v>Campo DINA - Pozo PG 7</v>
          </cell>
        </row>
        <row r="75">
          <cell r="G75" t="str">
            <v>Campo DINA - Pozo PJ 1</v>
          </cell>
        </row>
        <row r="76">
          <cell r="G76" t="str">
            <v>Campo DINA - Pozo PJ 10</v>
          </cell>
        </row>
        <row r="77">
          <cell r="G77" t="str">
            <v>Campo DINA - Pozo PJ 3</v>
          </cell>
        </row>
        <row r="78">
          <cell r="G78" t="str">
            <v>Campo DINA - Pozo PJ 6</v>
          </cell>
        </row>
        <row r="79">
          <cell r="G79" t="str">
            <v>Campo DINA - Pozo SC 03</v>
          </cell>
        </row>
        <row r="80">
          <cell r="G80" t="str">
            <v>Campo DINA - Pozo TN 3</v>
          </cell>
        </row>
        <row r="81">
          <cell r="G81" t="str">
            <v>Campo DINA - Pozo TN-02</v>
          </cell>
        </row>
        <row r="82">
          <cell r="G82" t="str">
            <v>Campo El Centro - Campo 22</v>
          </cell>
        </row>
        <row r="83">
          <cell r="G83" t="str">
            <v>Campo El Centro - Campo 23</v>
          </cell>
        </row>
        <row r="84">
          <cell r="G84" t="str">
            <v>Campo El Centro - Campo 38</v>
          </cell>
        </row>
        <row r="85">
          <cell r="G85" t="str">
            <v>Campo El Centro - Campo 50</v>
          </cell>
        </row>
        <row r="86">
          <cell r="G86" t="str">
            <v>Campo El Centro - Campo Llanito</v>
          </cell>
        </row>
        <row r="87">
          <cell r="G87" t="str">
            <v>Campo El Centro - Casas</v>
          </cell>
        </row>
        <row r="88">
          <cell r="G88" t="str">
            <v>Campo El Centro - Caseta Telefonica</v>
          </cell>
        </row>
        <row r="89">
          <cell r="G89" t="str">
            <v>Campo El Centro - Compresora Llanito</v>
          </cell>
        </row>
        <row r="90">
          <cell r="G90" t="str">
            <v>Campo El Centro - Deshidratadora la Cira</v>
          </cell>
        </row>
        <row r="91">
          <cell r="G91" t="str">
            <v>Campo El Centro - Estación de Recoleccion 1</v>
          </cell>
        </row>
        <row r="92">
          <cell r="G92" t="str">
            <v>Campo El Centro - Estación de Recoleccion 2</v>
          </cell>
        </row>
        <row r="93">
          <cell r="G93" t="str">
            <v>Campo El Centro - Estación de Recoleccion 4</v>
          </cell>
        </row>
        <row r="94">
          <cell r="G94" t="str">
            <v>Campo El Centro - Estación de Recoleccion 5</v>
          </cell>
        </row>
        <row r="95">
          <cell r="G95" t="str">
            <v>Campo El Centro - Estación de Recoleccion 6</v>
          </cell>
        </row>
        <row r="96">
          <cell r="G96" t="str">
            <v>Campo El Centro - Estación de Recoleccion 7</v>
          </cell>
        </row>
        <row r="97">
          <cell r="G97" t="str">
            <v>Campo El Centro - La Forest</v>
          </cell>
        </row>
        <row r="98">
          <cell r="G98" t="str">
            <v>Campo El Centro - Loma de Transmision</v>
          </cell>
        </row>
        <row r="99">
          <cell r="G99" t="str">
            <v>Campo El Centro - Manifold 2</v>
          </cell>
        </row>
        <row r="100">
          <cell r="G100" t="str">
            <v>Campo El Centro - Manifold 3</v>
          </cell>
        </row>
        <row r="101">
          <cell r="G101" t="str">
            <v>Campo El Centro - Manifold 4</v>
          </cell>
        </row>
        <row r="102">
          <cell r="G102" t="str">
            <v>Campo El Centro - Manifold 5</v>
          </cell>
        </row>
        <row r="103">
          <cell r="G103" t="str">
            <v>Campo El Centro - Planta 5</v>
          </cell>
        </row>
        <row r="104">
          <cell r="G104" t="str">
            <v>Campo El Centro - Planta de Tratamiento La Llana</v>
          </cell>
        </row>
        <row r="105">
          <cell r="G105" t="str">
            <v>Campo El Centro - Repetidora Infantas</v>
          </cell>
        </row>
        <row r="106">
          <cell r="G106" t="str">
            <v>Campo El Centro - Sala Computo</v>
          </cell>
        </row>
        <row r="107">
          <cell r="G107" t="str">
            <v>Campo El Centro - Seguridad y Vigilancia</v>
          </cell>
        </row>
        <row r="108">
          <cell r="G108" t="str">
            <v>Campo Gala</v>
          </cell>
        </row>
        <row r="109">
          <cell r="G109" t="str">
            <v>Campo Lizama - Compresora</v>
          </cell>
        </row>
        <row r="110">
          <cell r="G110" t="str">
            <v>Campo Lizama - Estación Central</v>
          </cell>
        </row>
        <row r="111">
          <cell r="G111" t="str">
            <v>Campo Lizama - Repetidora La Sol</v>
          </cell>
        </row>
        <row r="112">
          <cell r="G112" t="str">
            <v>Campo Lizama - Subestacion Electrica</v>
          </cell>
        </row>
        <row r="113">
          <cell r="G113" t="str">
            <v>Campo Orito - Aeropuerto</v>
          </cell>
        </row>
        <row r="114">
          <cell r="G114" t="str">
            <v xml:space="preserve">Campo Palagua </v>
          </cell>
        </row>
        <row r="115">
          <cell r="G115" t="str">
            <v>Campo Provincia - Campamentos</v>
          </cell>
        </row>
        <row r="116">
          <cell r="G116" t="str">
            <v>Campo Provincia - Oficinas</v>
          </cell>
        </row>
        <row r="117">
          <cell r="G117" t="str">
            <v>Campo Rio Zulia</v>
          </cell>
        </row>
        <row r="118">
          <cell r="G118" t="str">
            <v>Campo TECA</v>
          </cell>
        </row>
        <row r="119">
          <cell r="G119" t="str">
            <v>Campo Tello</v>
          </cell>
        </row>
        <row r="120">
          <cell r="G120" t="str">
            <v>Campo Tello- Base Militar</v>
          </cell>
        </row>
        <row r="121">
          <cell r="G121" t="str">
            <v>Campo Toldado</v>
          </cell>
        </row>
        <row r="122">
          <cell r="G122" t="str">
            <v>Campo Toldado - Bateria Quimbaya</v>
          </cell>
        </row>
        <row r="123">
          <cell r="G123" t="str">
            <v>Campo Toldado - Bateria Toy</v>
          </cell>
        </row>
        <row r="124">
          <cell r="G124" t="str">
            <v>Campo Velasquez</v>
          </cell>
        </row>
        <row r="125">
          <cell r="G125" t="str">
            <v>Campo Zuria</v>
          </cell>
        </row>
        <row r="126">
          <cell r="G126" t="str">
            <v>Casa Archivo</v>
          </cell>
        </row>
        <row r="127">
          <cell r="G127" t="str">
            <v>CCMO</v>
          </cell>
        </row>
        <row r="128">
          <cell r="G128" t="str">
            <v>CCMOA</v>
          </cell>
        </row>
        <row r="129">
          <cell r="G129" t="str">
            <v>Centro de Control de Telecomunicaciones</v>
          </cell>
        </row>
        <row r="130">
          <cell r="G130" t="str">
            <v>Cerro 100</v>
          </cell>
        </row>
        <row r="131">
          <cell r="G131" t="str">
            <v>Cerro Alto Amarillo - Nariz</v>
          </cell>
        </row>
        <row r="132">
          <cell r="G132" t="str">
            <v>Cerro Bijagual</v>
          </cell>
        </row>
        <row r="133">
          <cell r="G133" t="str">
            <v>Cerro Cabrito</v>
          </cell>
        </row>
        <row r="134">
          <cell r="G134" t="str">
            <v>Cerro de Transmision de Pozos Colorados</v>
          </cell>
        </row>
        <row r="135">
          <cell r="G135" t="str">
            <v>Cerro El Son</v>
          </cell>
        </row>
        <row r="136">
          <cell r="G136" t="str">
            <v>Cerro Este 1</v>
          </cell>
        </row>
        <row r="137">
          <cell r="G137" t="str">
            <v>Cerro Fetibre</v>
          </cell>
        </row>
        <row r="138">
          <cell r="G138" t="str">
            <v>Cerro Guali</v>
          </cell>
        </row>
        <row r="139">
          <cell r="G139" t="str">
            <v>Cerro Jurisdicciones</v>
          </cell>
        </row>
        <row r="140">
          <cell r="G140" t="str">
            <v>Cerro Kennedy</v>
          </cell>
        </row>
        <row r="141">
          <cell r="G141" t="str">
            <v>Cerro La Flor</v>
          </cell>
        </row>
        <row r="142">
          <cell r="G142" t="str">
            <v>Cerro La Virgen</v>
          </cell>
        </row>
        <row r="143">
          <cell r="G143" t="str">
            <v>Cerro Las Indias</v>
          </cell>
        </row>
        <row r="144">
          <cell r="G144" t="str">
            <v>Cerro Los Venados (El Mayor)</v>
          </cell>
        </row>
        <row r="145">
          <cell r="G145" t="str">
            <v>Cerro Maco</v>
          </cell>
        </row>
        <row r="146">
          <cell r="G146" t="str">
            <v>Cerro Mejue</v>
          </cell>
        </row>
        <row r="147">
          <cell r="G147" t="str">
            <v>Cerro Merchan</v>
          </cell>
        </row>
        <row r="148">
          <cell r="G148" t="str">
            <v>Cerro Monte 907</v>
          </cell>
        </row>
        <row r="149">
          <cell r="G149" t="str">
            <v>Cerro Negro</v>
          </cell>
        </row>
        <row r="150">
          <cell r="G150" t="str">
            <v>Cerro Neiva</v>
          </cell>
        </row>
        <row r="151">
          <cell r="G151" t="str">
            <v>Cerro Orito</v>
          </cell>
        </row>
        <row r="152">
          <cell r="G152" t="str">
            <v>Cerro Padre Amaya</v>
          </cell>
        </row>
        <row r="153">
          <cell r="G153" t="str">
            <v>Cerro Palacio</v>
          </cell>
        </row>
        <row r="154">
          <cell r="G154" t="str">
            <v>Cerro Paramo</v>
          </cell>
        </row>
        <row r="155">
          <cell r="G155" t="str">
            <v>Cerro Perico</v>
          </cell>
        </row>
        <row r="156">
          <cell r="G156" t="str">
            <v>Cerro Picacho</v>
          </cell>
        </row>
        <row r="157">
          <cell r="G157" t="str">
            <v>Cerro Piojo</v>
          </cell>
        </row>
        <row r="158">
          <cell r="G158" t="str">
            <v>Cerro Saboya</v>
          </cell>
        </row>
        <row r="159">
          <cell r="G159" t="str">
            <v>Cerro San Diego</v>
          </cell>
        </row>
        <row r="160">
          <cell r="G160" t="str">
            <v>Cerro San Gil (Barichara)</v>
          </cell>
        </row>
        <row r="161">
          <cell r="G161" t="str">
            <v>Cerro Santuario</v>
          </cell>
        </row>
        <row r="162">
          <cell r="G162" t="str">
            <v>Cerro Tasajero</v>
          </cell>
        </row>
        <row r="163">
          <cell r="G163" t="str">
            <v>Cerro Todos los Santos</v>
          </cell>
        </row>
        <row r="164">
          <cell r="G164" t="str">
            <v>CIT (Calle 5 N° 20 - 50 Bogotá)</v>
          </cell>
        </row>
        <row r="165">
          <cell r="G165" t="str">
            <v>Co location</v>
          </cell>
        </row>
        <row r="166">
          <cell r="G166" t="str">
            <v>Convención</v>
          </cell>
        </row>
        <row r="167">
          <cell r="G167" t="str">
            <v>Cupiagua</v>
          </cell>
        </row>
        <row r="168">
          <cell r="G168" t="str">
            <v>Edificio ARK</v>
          </cell>
        </row>
        <row r="169">
          <cell r="G169" t="str">
            <v>Edificio Brigadier</v>
          </cell>
        </row>
        <row r="170">
          <cell r="G170" t="str">
            <v>Edificio Cavipetrol</v>
          </cell>
        </row>
        <row r="171">
          <cell r="G171" t="str">
            <v>Edificio Caxdac</v>
          </cell>
        </row>
        <row r="172">
          <cell r="G172" t="str">
            <v>Edificio Colgas</v>
          </cell>
        </row>
        <row r="173">
          <cell r="G173" t="str">
            <v>Edificio Credisocial</v>
          </cell>
        </row>
        <row r="174">
          <cell r="G174" t="str">
            <v>Edificio Davivienda</v>
          </cell>
        </row>
        <row r="175">
          <cell r="G175" t="str">
            <v>Edificio Fonade</v>
          </cell>
        </row>
        <row r="176">
          <cell r="G176" t="str">
            <v>Edificio Guadalupe</v>
          </cell>
        </row>
        <row r="177">
          <cell r="G177" t="str">
            <v>Edificio La Cabrera</v>
          </cell>
        </row>
        <row r="178">
          <cell r="G178" t="str">
            <v>Edificio Lutaima</v>
          </cell>
        </row>
        <row r="179">
          <cell r="G179" t="str">
            <v>Edificio Principal Ecopetrol</v>
          </cell>
        </row>
        <row r="180">
          <cell r="G180" t="str">
            <v>Edificio Teusacá</v>
          </cell>
        </row>
        <row r="181">
          <cell r="G181" t="str">
            <v>Edificio UGI</v>
          </cell>
        </row>
        <row r="182">
          <cell r="G182" t="str">
            <v>Embarcacion Gabarra, Orito y Barracuda - Estación terminal Tumaco</v>
          </cell>
        </row>
        <row r="183">
          <cell r="G183" t="str">
            <v>Estación 1 - OTA - Orito Putumayo</v>
          </cell>
        </row>
        <row r="184">
          <cell r="G184" t="str">
            <v>Estación 2 - OTA - Orito Putumayo</v>
          </cell>
        </row>
        <row r="185">
          <cell r="G185" t="str">
            <v>Estación 3 - OTA - Alisales</v>
          </cell>
        </row>
        <row r="186">
          <cell r="G186" t="str">
            <v>Estación ACACIAS</v>
          </cell>
        </row>
        <row r="187">
          <cell r="G187" t="str">
            <v>Estación Alban</v>
          </cell>
        </row>
        <row r="188">
          <cell r="G188" t="str">
            <v>Estación Alisales - Oficinas</v>
          </cell>
        </row>
        <row r="189">
          <cell r="G189" t="str">
            <v>Estación Altos de Porvenir</v>
          </cell>
        </row>
        <row r="190">
          <cell r="G190" t="str">
            <v>Estación Araguaney</v>
          </cell>
        </row>
        <row r="191">
          <cell r="G191" t="str">
            <v>Estación Ayacucho</v>
          </cell>
        </row>
        <row r="192">
          <cell r="G192" t="str">
            <v>Estación Banadia</v>
          </cell>
        </row>
        <row r="193">
          <cell r="G193" t="str">
            <v>Estación Baranoa</v>
          </cell>
        </row>
        <row r="194">
          <cell r="G194" t="str">
            <v>Estación Buenaventura</v>
          </cell>
        </row>
        <row r="195">
          <cell r="G195" t="str">
            <v>Estación Buga Terpel</v>
          </cell>
        </row>
        <row r="196">
          <cell r="G196" t="str">
            <v>Estación Caño Limón</v>
          </cell>
        </row>
        <row r="197">
          <cell r="G197" t="str">
            <v>Estación Cartago</v>
          </cell>
        </row>
        <row r="198">
          <cell r="G198" t="str">
            <v>Estación Caucasia</v>
          </cell>
        </row>
        <row r="199">
          <cell r="G199" t="str">
            <v>Estación Chimita</v>
          </cell>
        </row>
        <row r="200">
          <cell r="G200" t="str">
            <v>Estación Cisneros</v>
          </cell>
        </row>
        <row r="201">
          <cell r="G201" t="str">
            <v>Estación Cisneros - Oficinas EDATEL</v>
          </cell>
        </row>
        <row r="202">
          <cell r="G202" t="str">
            <v>Estación Copey</v>
          </cell>
        </row>
        <row r="203">
          <cell r="G203" t="str">
            <v>Estación Coveñas</v>
          </cell>
        </row>
        <row r="204">
          <cell r="G204" t="str">
            <v>Estación Dagua</v>
          </cell>
        </row>
        <row r="205">
          <cell r="G205" t="str">
            <v>Estación Fresno</v>
          </cell>
        </row>
        <row r="206">
          <cell r="G206" t="str">
            <v>Estación Galán</v>
          </cell>
        </row>
        <row r="207">
          <cell r="G207" t="str">
            <v>Estación Galan - Comunicaciones</v>
          </cell>
        </row>
        <row r="208">
          <cell r="G208" t="str">
            <v>Estación Guaduero</v>
          </cell>
        </row>
        <row r="209">
          <cell r="G209" t="str">
            <v>Estación Herveo</v>
          </cell>
        </row>
        <row r="210">
          <cell r="G210" t="str">
            <v>Estación La Pintada Terpel</v>
          </cell>
        </row>
        <row r="211">
          <cell r="G211" t="str">
            <v>Estación Lago Agrio</v>
          </cell>
        </row>
        <row r="212">
          <cell r="G212" t="str">
            <v>Estación Lizama Terpel</v>
          </cell>
        </row>
        <row r="213">
          <cell r="G213" t="str">
            <v>Estación Manizales</v>
          </cell>
        </row>
        <row r="214">
          <cell r="G214" t="str">
            <v>Estación Mansilla</v>
          </cell>
        </row>
        <row r="215">
          <cell r="G215" t="str">
            <v>Estación Mariquita La Parroquia</v>
          </cell>
        </row>
        <row r="216">
          <cell r="G216" t="str">
            <v>Estación Mariquita Terpel</v>
          </cell>
        </row>
        <row r="217">
          <cell r="G217" t="str">
            <v>Estación Medellín</v>
          </cell>
        </row>
        <row r="218">
          <cell r="G218" t="str">
            <v>Estación Miraflores</v>
          </cell>
        </row>
        <row r="219">
          <cell r="G219" t="str">
            <v>Estación Monterrey</v>
          </cell>
        </row>
        <row r="220">
          <cell r="G220" t="str">
            <v>Estación Mulaló Terpel</v>
          </cell>
        </row>
        <row r="221">
          <cell r="G221" t="str">
            <v>Estación Neiva Terpel</v>
          </cell>
        </row>
        <row r="222">
          <cell r="G222" t="str">
            <v>Estación Orú</v>
          </cell>
        </row>
        <row r="223">
          <cell r="G223" t="str">
            <v>Estación Pereira Terpel</v>
          </cell>
        </row>
        <row r="224">
          <cell r="G224" t="str">
            <v>Estación Porvenir</v>
          </cell>
        </row>
        <row r="225">
          <cell r="G225" t="str">
            <v>Estación Pozos Colorados</v>
          </cell>
        </row>
        <row r="226">
          <cell r="G226" t="str">
            <v>Estación Puente Aranda</v>
          </cell>
        </row>
        <row r="227">
          <cell r="G227" t="str">
            <v>Estación Puerto Salgar</v>
          </cell>
        </row>
        <row r="228">
          <cell r="G228" t="str">
            <v>Estación Retiro</v>
          </cell>
        </row>
        <row r="229">
          <cell r="G229" t="str">
            <v>Estación Samoré</v>
          </cell>
        </row>
        <row r="230">
          <cell r="G230" t="str">
            <v>Estación Santa Rosa</v>
          </cell>
        </row>
        <row r="231">
          <cell r="G231" t="str">
            <v>Estación Sebastopol</v>
          </cell>
        </row>
        <row r="232">
          <cell r="G232" t="str">
            <v>Estación Since</v>
          </cell>
        </row>
        <row r="233">
          <cell r="G233" t="str">
            <v>Estación Terminal Gualanday (Terpel)</v>
          </cell>
        </row>
        <row r="234">
          <cell r="G234" t="str">
            <v>Estación Terminal Tumaco</v>
          </cell>
        </row>
        <row r="235">
          <cell r="G235" t="str">
            <v>Estación Terminal Tumaco - Estación 5</v>
          </cell>
        </row>
        <row r="236">
          <cell r="G236" t="str">
            <v>Estación Tocancipa</v>
          </cell>
        </row>
        <row r="237">
          <cell r="G237" t="str">
            <v>Estación Toledo</v>
          </cell>
        </row>
        <row r="238">
          <cell r="G238" t="str">
            <v>Estación Vasconia</v>
          </cell>
        </row>
        <row r="239">
          <cell r="G239" t="str">
            <v>Estación Villeta</v>
          </cell>
        </row>
        <row r="240">
          <cell r="G240" t="str">
            <v>Estación Yumbo</v>
          </cell>
        </row>
        <row r="241">
          <cell r="G241" t="str">
            <v>Gerencia de Oleoductos</v>
          </cell>
        </row>
        <row r="242">
          <cell r="G242" t="str">
            <v>Gerencia de Operación Centralizada</v>
          </cell>
        </row>
        <row r="243">
          <cell r="G243" t="str">
            <v>Gerencia de Poliductos</v>
          </cell>
        </row>
        <row r="244">
          <cell r="G244" t="str">
            <v>Gerencia Refineria Barrancabermeja -GRB</v>
          </cell>
        </row>
        <row r="245">
          <cell r="G245" t="str">
            <v>Gerencia Refineria Cartagena - GRC</v>
          </cell>
        </row>
        <row r="246">
          <cell r="G246" t="str">
            <v xml:space="preserve">Gerencia Regional Catatumbo Orinoquia </v>
          </cell>
        </row>
        <row r="247">
          <cell r="G247" t="str">
            <v xml:space="preserve">Gerencia Regional Central - GEC </v>
          </cell>
        </row>
        <row r="248">
          <cell r="G248" t="str">
            <v>Gerencia Regional Magdalena Medio - GRMM</v>
          </cell>
        </row>
        <row r="249">
          <cell r="G249" t="str">
            <v>Gerencia Regional Nororiente</v>
          </cell>
        </row>
        <row r="250">
          <cell r="G250" t="str">
            <v>Gerencia Regional Sur</v>
          </cell>
        </row>
        <row r="251">
          <cell r="G251" t="str">
            <v>GRB - Casa de Bombas 5</v>
          </cell>
        </row>
        <row r="252">
          <cell r="G252" t="str">
            <v>GRB - Casa de Bombas 8</v>
          </cell>
        </row>
        <row r="253">
          <cell r="G253" t="str">
            <v>GRB - CCP</v>
          </cell>
        </row>
        <row r="254">
          <cell r="G254" t="str">
            <v>GRB - Comunicaciones Tx</v>
          </cell>
        </row>
        <row r="255">
          <cell r="G255" t="str">
            <v>GRB - ET005</v>
          </cell>
        </row>
        <row r="256">
          <cell r="G256" t="str">
            <v>GRB - ET006 (U-2950)</v>
          </cell>
        </row>
        <row r="257">
          <cell r="G257" t="str">
            <v>GRB - ET007 (U-2400)</v>
          </cell>
        </row>
        <row r="258">
          <cell r="G258" t="str">
            <v>GRB - ET009 (U-900)</v>
          </cell>
        </row>
        <row r="259">
          <cell r="G259" t="str">
            <v>GRB - Nodo Balance</v>
          </cell>
        </row>
        <row r="260">
          <cell r="G260" t="str">
            <v>GRB - Nodo CCP</v>
          </cell>
        </row>
        <row r="261">
          <cell r="G261" t="str">
            <v>GRB - Nodo Comunicaciones</v>
          </cell>
        </row>
        <row r="262">
          <cell r="G262" t="str">
            <v>GRB - Nodo Proyectos</v>
          </cell>
        </row>
        <row r="263">
          <cell r="G263" t="str">
            <v>GRB - Nodo Refinacion</v>
          </cell>
        </row>
        <row r="264">
          <cell r="G264" t="str">
            <v>GRB - Nodo Rosario</v>
          </cell>
        </row>
        <row r="265">
          <cell r="G265" t="str">
            <v>GRB - Nodo tecnico</v>
          </cell>
        </row>
        <row r="266">
          <cell r="G266" t="str">
            <v>GRB - San Silvestre</v>
          </cell>
        </row>
        <row r="267">
          <cell r="G267" t="str">
            <v>GRB - Termobarranca</v>
          </cell>
        </row>
        <row r="268">
          <cell r="G268" t="str">
            <v>Instituto Colombiano del Petróleo - ICP</v>
          </cell>
        </row>
        <row r="269">
          <cell r="G269" t="str">
            <v>Magangue</v>
          </cell>
        </row>
        <row r="270">
          <cell r="G270" t="str">
            <v>Oficina de Gestión Social de Monterrey</v>
          </cell>
        </row>
        <row r="271">
          <cell r="G271" t="str">
            <v>Oficina de Gestión Social de Yopal</v>
          </cell>
        </row>
        <row r="272">
          <cell r="G272" t="str">
            <v>Oficina Pensionados Bucaramanga</v>
          </cell>
        </row>
        <row r="273">
          <cell r="G273" t="str">
            <v>Oficinas Oleoducto Caño Limón Coveñas - Cucuta</v>
          </cell>
        </row>
        <row r="274">
          <cell r="G274" t="str">
            <v>Oripaya</v>
          </cell>
        </row>
        <row r="275">
          <cell r="G275" t="str">
            <v>Planta Castilla VIT (Antigua ATC)</v>
          </cell>
        </row>
        <row r="276">
          <cell r="G276" t="str">
            <v>Planta Deshidratadora Galan</v>
          </cell>
        </row>
        <row r="277">
          <cell r="G277" t="str">
            <v>Planta VIT Apiay</v>
          </cell>
        </row>
        <row r="278">
          <cell r="G278" t="str">
            <v>Plataforma marina Nestor Pineda</v>
          </cell>
        </row>
        <row r="279">
          <cell r="G279" t="str">
            <v>Superintendencia de Operaciones Castilla Chichimene</v>
          </cell>
        </row>
        <row r="280">
          <cell r="G280" t="str">
            <v>Superintendencia de Operaciones Cusiana</v>
          </cell>
        </row>
        <row r="281">
          <cell r="G281" t="str">
            <v>Superintendencia de Operaciones De Mares</v>
          </cell>
        </row>
        <row r="282">
          <cell r="G282" t="str">
            <v>Superintendencia de Operaciones Del Rio</v>
          </cell>
        </row>
        <row r="283">
          <cell r="G283" t="str">
            <v>Superintendencia de Operaciones Huila / Tolima</v>
          </cell>
        </row>
        <row r="284">
          <cell r="G284" t="str">
            <v>Superintendencia de Operaciones Nororiente</v>
          </cell>
        </row>
        <row r="285">
          <cell r="G285" t="str">
            <v>Superintendencia de Operaciones Orito</v>
          </cell>
        </row>
        <row r="286">
          <cell r="G286" t="str">
            <v>Superintendencia de Operaciones Tibu</v>
          </cell>
        </row>
        <row r="287">
          <cell r="G287" t="str">
            <v>Superintendencia de Producción Apiay</v>
          </cell>
        </row>
        <row r="288">
          <cell r="G288" t="str">
            <v>Terminal Nestor Pineda</v>
          </cell>
        </row>
        <row r="289">
          <cell r="G289" t="str">
            <v>Termocoa</v>
          </cell>
        </row>
        <row r="290">
          <cell r="G290" t="str">
            <v>Termosuria</v>
          </cell>
        </row>
        <row r="291">
          <cell r="G291" t="str">
            <v>Unidad de Salud  Cali</v>
          </cell>
        </row>
        <row r="292">
          <cell r="G292" t="str">
            <v>Unidad de Salud Apiay</v>
          </cell>
        </row>
        <row r="293">
          <cell r="G293" t="str">
            <v>Unidad de Salud Barranquilla</v>
          </cell>
        </row>
        <row r="294">
          <cell r="G294" t="str">
            <v>Unidad de Salud Bucaramanga</v>
          </cell>
        </row>
        <row r="295">
          <cell r="G295" t="str">
            <v>Unidad de Salud Cartagena</v>
          </cell>
        </row>
        <row r="296">
          <cell r="G296" t="str">
            <v>Unidad de Salud Coveñas</v>
          </cell>
        </row>
        <row r="297">
          <cell r="G297" t="str">
            <v>Unidad de Salud Cucuta</v>
          </cell>
        </row>
        <row r="298">
          <cell r="G298" t="str">
            <v>Unidad de Salud Medellín</v>
          </cell>
        </row>
        <row r="299">
          <cell r="G299" t="str">
            <v>Unidad de Salud Neiva</v>
          </cell>
        </row>
        <row r="300">
          <cell r="G300" t="str">
            <v>Unidad de Salud Orito</v>
          </cell>
        </row>
        <row r="301">
          <cell r="G301" t="str">
            <v xml:space="preserve">Unidad de Salud Puerto Salgar </v>
          </cell>
        </row>
        <row r="302">
          <cell r="G302" t="str">
            <v>Unidad de Salud RSMM (Policlinica)</v>
          </cell>
        </row>
        <row r="303">
          <cell r="G303" t="str">
            <v>UTPI Apoyo ECOPETROL</v>
          </cell>
        </row>
        <row r="304">
          <cell r="G304" t="str">
            <v>Valvula Aguas Claras</v>
          </cell>
        </row>
        <row r="305">
          <cell r="G305" t="str">
            <v>Valvula Arrayan</v>
          </cell>
        </row>
        <row r="306">
          <cell r="G306" t="str">
            <v>Valvula Betania</v>
          </cell>
        </row>
        <row r="307">
          <cell r="G307" t="str">
            <v>Valvula Camaroneras</v>
          </cell>
        </row>
        <row r="308">
          <cell r="G308" t="str">
            <v>Valvula Carare</v>
          </cell>
        </row>
        <row r="309">
          <cell r="G309" t="str">
            <v>Valvula Chilvicito</v>
          </cell>
        </row>
        <row r="310">
          <cell r="G310" t="str">
            <v>Valvula Chucunes</v>
          </cell>
        </row>
        <row r="311">
          <cell r="G311" t="str">
            <v>Valvula Cordoba</v>
          </cell>
        </row>
        <row r="312">
          <cell r="G312" t="str">
            <v xml:space="preserve">Valvula Cusungo </v>
          </cell>
        </row>
        <row r="313">
          <cell r="G313" t="str">
            <v>Valvula Diviso</v>
          </cell>
        </row>
        <row r="314">
          <cell r="G314" t="str">
            <v>Valvula Guabo</v>
          </cell>
        </row>
        <row r="315">
          <cell r="G315" t="str">
            <v>Valvula Gualmatan</v>
          </cell>
        </row>
        <row r="316">
          <cell r="G316" t="str">
            <v>Valvula Guayacana</v>
          </cell>
        </row>
        <row r="317">
          <cell r="G317" t="str">
            <v>Valvula Hacienda Escocia</v>
          </cell>
        </row>
        <row r="318">
          <cell r="G318" t="str">
            <v>Valvula Incensario</v>
          </cell>
        </row>
        <row r="319">
          <cell r="G319" t="str">
            <v>Valvula Junin</v>
          </cell>
        </row>
        <row r="320">
          <cell r="G320" t="str">
            <v>Valvula Llorente</v>
          </cell>
        </row>
        <row r="321">
          <cell r="G321" t="str">
            <v>Valvula Monterrey (OTA)</v>
          </cell>
        </row>
        <row r="322">
          <cell r="G322" t="str">
            <v>Valvula Ospina Perez</v>
          </cell>
        </row>
        <row r="323">
          <cell r="G323" t="str">
            <v>Valvula Pailon</v>
          </cell>
        </row>
        <row r="324">
          <cell r="G324" t="str">
            <v>Valvula Polioriente - Hato de Rojas</v>
          </cell>
        </row>
        <row r="325">
          <cell r="G325" t="str">
            <v>Valvula Polioriente - La Candelaria</v>
          </cell>
        </row>
        <row r="326">
          <cell r="G326" t="str">
            <v>Valvula Polioriente - Lagunetas Bajo</v>
          </cell>
        </row>
        <row r="327">
          <cell r="G327" t="str">
            <v>Valvula Polioriente - Lenguazaque</v>
          </cell>
        </row>
        <row r="328">
          <cell r="G328" t="str">
            <v>Valvula Polioriente - Muchileros</v>
          </cell>
        </row>
        <row r="329">
          <cell r="G329" t="str">
            <v>Valvula Polioriente - Qubrada Honda</v>
          </cell>
        </row>
        <row r="330">
          <cell r="G330" t="str">
            <v>Valvula Polioriente - Rio Carare</v>
          </cell>
        </row>
        <row r="331">
          <cell r="G331" t="str">
            <v>Valvula Polioriente - Rio Orta</v>
          </cell>
        </row>
        <row r="332">
          <cell r="G332" t="str">
            <v>Valvula Polioriente - Rio Suarez</v>
          </cell>
        </row>
        <row r="333">
          <cell r="G333" t="str">
            <v>Valvula Polioriente - Santa Sofia</v>
          </cell>
        </row>
        <row r="334">
          <cell r="G334" t="str">
            <v>Valvula Polioriente - Suesca</v>
          </cell>
        </row>
        <row r="335">
          <cell r="G335" t="str">
            <v>Valvula Polioriente - Sutamarchan</v>
          </cell>
        </row>
        <row r="336">
          <cell r="G336" t="str">
            <v>Valvula Polioriente - Vía La India</v>
          </cell>
        </row>
        <row r="337">
          <cell r="G337" t="str">
            <v>Valvula Polioriente - Vía Panamericana</v>
          </cell>
        </row>
        <row r="338">
          <cell r="G338" t="str">
            <v>Valvula Pueblo Nuevo</v>
          </cell>
        </row>
        <row r="339">
          <cell r="G339" t="str">
            <v>Valvula Puerto Niño</v>
          </cell>
        </row>
        <row r="340">
          <cell r="G340" t="str">
            <v>Valvula Rio Negrito</v>
          </cell>
        </row>
        <row r="341">
          <cell r="G341" t="str">
            <v>Valvula San Juan de la Carrilera</v>
          </cell>
        </row>
        <row r="342">
          <cell r="G342" t="str">
            <v>Valvula San Juan I</v>
          </cell>
        </row>
        <row r="343">
          <cell r="G343" t="str">
            <v>Valvula San Juan II</v>
          </cell>
        </row>
        <row r="344">
          <cell r="G344" t="str">
            <v>valvula San Ramon</v>
          </cell>
        </row>
        <row r="345">
          <cell r="G345" t="str">
            <v>Villa del Rosario</v>
          </cell>
        </row>
      </sheetData>
      <sheetData sheetId="5">
        <row r="3">
          <cell r="B3" t="str">
            <v>Adolfo Gomez Roa</v>
          </cell>
        </row>
        <row r="4">
          <cell r="B4" t="str">
            <v>Adriana Patricia Florez Zambrano</v>
          </cell>
        </row>
        <row r="5">
          <cell r="B5" t="str">
            <v>Alcides Salamanca Chacón</v>
          </cell>
        </row>
        <row r="6">
          <cell r="B6" t="str">
            <v>Alexander Correa Ruiz</v>
          </cell>
        </row>
        <row r="7">
          <cell r="B7" t="str">
            <v>Alexander Díaz Rodriguez</v>
          </cell>
        </row>
        <row r="8">
          <cell r="B8" t="str">
            <v>Alfredo Almeida</v>
          </cell>
        </row>
        <row r="9">
          <cell r="B9" t="str">
            <v>Alfredo Florez Llerena</v>
          </cell>
        </row>
        <row r="10">
          <cell r="B10" t="str">
            <v>Andrés Mauricio Casallas Gómez</v>
          </cell>
        </row>
        <row r="11">
          <cell r="B11" t="str">
            <v>Armiro Hernandez Molina</v>
          </cell>
        </row>
        <row r="12">
          <cell r="B12" t="str">
            <v>Betsy Sequea Castillo</v>
          </cell>
        </row>
        <row r="13">
          <cell r="B13" t="str">
            <v>Camilo Andres Llerena</v>
          </cell>
        </row>
        <row r="14">
          <cell r="B14" t="str">
            <v>Camilo Andres Palacios Gomez</v>
          </cell>
        </row>
        <row r="15">
          <cell r="B15" t="str">
            <v>Carlos Andrés Cañon Lara</v>
          </cell>
        </row>
        <row r="16">
          <cell r="B16" t="str">
            <v>Carlos Andres Uriza Fontecha</v>
          </cell>
        </row>
        <row r="17">
          <cell r="B17" t="str">
            <v>Carlos Eduardo Gonzalez Lopez</v>
          </cell>
        </row>
        <row r="18">
          <cell r="B18" t="str">
            <v>Carolina Cruz Escobar</v>
          </cell>
        </row>
        <row r="19">
          <cell r="B19" t="str">
            <v>Dich Jaro Ortiz Pallares</v>
          </cell>
        </row>
        <row r="20">
          <cell r="B20" t="str">
            <v>Diego Alejandro Zamudio Alvarez</v>
          </cell>
        </row>
        <row r="21">
          <cell r="B21" t="str">
            <v>Diego Alvarán Romero</v>
          </cell>
        </row>
        <row r="22">
          <cell r="B22" t="str">
            <v>Diego Enrique Romero</v>
          </cell>
        </row>
        <row r="23">
          <cell r="B23" t="str">
            <v>Edgar Gustavo Mendez Dominguez</v>
          </cell>
        </row>
        <row r="24">
          <cell r="B24" t="str">
            <v xml:space="preserve">Edwar Alexander Arizala Lucas </v>
          </cell>
        </row>
        <row r="25">
          <cell r="B25" t="str">
            <v>Edwin Andrés Rodriguez Vargas</v>
          </cell>
        </row>
        <row r="26">
          <cell r="B26" t="str">
            <v>Eilyn Patricia Moreno Valderrama</v>
          </cell>
        </row>
        <row r="27">
          <cell r="B27" t="str">
            <v>Elkin Benjamin Peña Linares</v>
          </cell>
        </row>
        <row r="28">
          <cell r="B28" t="str">
            <v>Elkin de Jesus Rodriguez Vargas</v>
          </cell>
        </row>
        <row r="29">
          <cell r="B29" t="str">
            <v>Enrique Alfonso Martinez</v>
          </cell>
        </row>
        <row r="30">
          <cell r="B30" t="str">
            <v>Erick Rene Delgado Sandoval</v>
          </cell>
        </row>
        <row r="31">
          <cell r="B31" t="str">
            <v>Esteban José España Hinestrosa</v>
          </cell>
        </row>
        <row r="32">
          <cell r="B32" t="str">
            <v>Fabio Alonso Betancourth Alvarez</v>
          </cell>
        </row>
        <row r="33">
          <cell r="B33" t="str">
            <v>Farid Manuel Barrios Sarmiento</v>
          </cell>
        </row>
        <row r="34">
          <cell r="B34" t="str">
            <v>Francisco Javier Avila</v>
          </cell>
        </row>
        <row r="35">
          <cell r="B35" t="str">
            <v>Francisco Javier Garcia Rivera</v>
          </cell>
        </row>
        <row r="36">
          <cell r="B36" t="str">
            <v>Francoiye Urbina Estrada</v>
          </cell>
        </row>
        <row r="37">
          <cell r="B37" t="str">
            <v>Freddy Efren Vega Bernal</v>
          </cell>
        </row>
        <row r="38">
          <cell r="B38" t="str">
            <v>Gerardo Gonzalez Barrera</v>
          </cell>
        </row>
        <row r="39">
          <cell r="B39" t="str">
            <v>Giovany Bustacara Castillo</v>
          </cell>
        </row>
        <row r="40">
          <cell r="B40" t="str">
            <v>Henry Moreno Arenas</v>
          </cell>
        </row>
        <row r="41">
          <cell r="B41" t="str">
            <v>Henser Fernando Palacio</v>
          </cell>
        </row>
        <row r="42">
          <cell r="B42" t="str">
            <v>Hernan Rodriguez Peña</v>
          </cell>
        </row>
        <row r="43">
          <cell r="B43" t="str">
            <v>Hernando Ardila Meneses</v>
          </cell>
        </row>
        <row r="44">
          <cell r="B44" t="str">
            <v>Hugo Alberto Ruiz Suarez</v>
          </cell>
        </row>
        <row r="45">
          <cell r="B45" t="str">
            <v>Hugo Alirio Tapias Borda</v>
          </cell>
        </row>
        <row r="46">
          <cell r="B46" t="str">
            <v>Jairo Adolfo Rodriguez Dominguez</v>
          </cell>
        </row>
        <row r="47">
          <cell r="B47" t="str">
            <v>Jairo Gualdron Martinez</v>
          </cell>
        </row>
        <row r="48">
          <cell r="B48" t="str">
            <v>Jameson Estrada Guarnizo</v>
          </cell>
        </row>
        <row r="49">
          <cell r="B49" t="str">
            <v>Javier Albeiro Vargas Gil</v>
          </cell>
        </row>
        <row r="50">
          <cell r="B50" t="str">
            <v>Javier Alonso Salas Araujo</v>
          </cell>
        </row>
        <row r="51">
          <cell r="B51" t="str">
            <v>Javier Perez Sandoval</v>
          </cell>
        </row>
        <row r="52">
          <cell r="B52" t="str">
            <v>Jenny Paola Ambrosio Villegas</v>
          </cell>
        </row>
        <row r="53">
          <cell r="B53" t="str">
            <v>JISELA CANTOR MORALES</v>
          </cell>
        </row>
        <row r="54">
          <cell r="B54" t="str">
            <v>Jhon Alexander Alvarez Moreno</v>
          </cell>
        </row>
        <row r="55">
          <cell r="B55" t="str">
            <v>Jhon Breyner Caceres Daza</v>
          </cell>
        </row>
        <row r="56">
          <cell r="B56" t="str">
            <v>Jhon Delfín Villamil Angarita</v>
          </cell>
        </row>
        <row r="57">
          <cell r="B57" t="str">
            <v>Jhon Francisco Neira Ramos</v>
          </cell>
        </row>
        <row r="58">
          <cell r="B58" t="str">
            <v>Jhon Jairo Benavides Jimenez</v>
          </cell>
        </row>
        <row r="59">
          <cell r="B59" t="str">
            <v>John Alexander Briñez Bilbao</v>
          </cell>
        </row>
        <row r="60">
          <cell r="B60" t="str">
            <v>John Alexander Lopez Alvarez</v>
          </cell>
        </row>
        <row r="61">
          <cell r="B61" t="str">
            <v>John Alexander Sanchez Peña</v>
          </cell>
        </row>
        <row r="62">
          <cell r="B62" t="str">
            <v xml:space="preserve">Jorge Enrique  Castilla  Aurela </v>
          </cell>
        </row>
        <row r="63">
          <cell r="B63" t="str">
            <v>Jorge Mario Salazar Tamayo</v>
          </cell>
        </row>
        <row r="64">
          <cell r="B64" t="str">
            <v>JORGE VELANDIA CLARK</v>
          </cell>
        </row>
        <row r="65">
          <cell r="B65" t="str">
            <v>Jose Ferney Salazar Martinez</v>
          </cell>
        </row>
        <row r="66">
          <cell r="B66" t="str">
            <v>José Ismael Navarro Pérez</v>
          </cell>
        </row>
        <row r="67">
          <cell r="B67" t="str">
            <v>Jose Luis Vanegas</v>
          </cell>
        </row>
        <row r="68">
          <cell r="B68" t="str">
            <v>JUAN CAMILO JIMENEZ ROJAS</v>
          </cell>
        </row>
        <row r="69">
          <cell r="B69" t="str">
            <v>Juan Guillermo Cabrera Delgado</v>
          </cell>
        </row>
        <row r="70">
          <cell r="B70" t="str">
            <v>Juan José Ramírez Duran</v>
          </cell>
        </row>
        <row r="71">
          <cell r="B71" t="str">
            <v>Julian Andres Castaño Roa</v>
          </cell>
        </row>
        <row r="72">
          <cell r="B72" t="str">
            <v>Julio Cesar Jimenez Peinado</v>
          </cell>
        </row>
        <row r="73">
          <cell r="B73" t="str">
            <v>Julio Roberto Sierra Castillo</v>
          </cell>
        </row>
        <row r="74">
          <cell r="B74" t="str">
            <v>July Andrea Sanabria Marcelo</v>
          </cell>
        </row>
        <row r="75">
          <cell r="B75" t="str">
            <v>KERVIN JAIR CALA CALA</v>
          </cell>
        </row>
        <row r="76">
          <cell r="B76" t="str">
            <v>Laura Catalina Herrera García</v>
          </cell>
        </row>
        <row r="77">
          <cell r="B77" t="str">
            <v>Leonardo Andres Espinel Gonzalez</v>
          </cell>
        </row>
        <row r="78">
          <cell r="B78" t="str">
            <v>Liliana Arias Moreno</v>
          </cell>
        </row>
        <row r="79">
          <cell r="B79" t="str">
            <v>Lina Maria Mosquera Colorado</v>
          </cell>
        </row>
        <row r="80">
          <cell r="B80" t="str">
            <v>Luis Fernando Zapata</v>
          </cell>
        </row>
        <row r="81">
          <cell r="B81" t="str">
            <v>Luz Marina Calderon Corredor</v>
          </cell>
        </row>
        <row r="82">
          <cell r="B82" t="str">
            <v>Manuel Ardila Meneses</v>
          </cell>
        </row>
        <row r="83">
          <cell r="B83" t="str">
            <v>María Cristina Muñoz Ramirez</v>
          </cell>
        </row>
        <row r="84">
          <cell r="B84" t="str">
            <v>Mario Enrique Quiroz Otero</v>
          </cell>
        </row>
        <row r="85">
          <cell r="B85" t="str">
            <v>Mauricio Sneyder Ordoñez Hernandez</v>
          </cell>
        </row>
        <row r="86">
          <cell r="B86" t="str">
            <v>Michel Andres Galeano Soto</v>
          </cell>
        </row>
        <row r="87">
          <cell r="B87" t="str">
            <v>Miguel Gómez Oquendo</v>
          </cell>
        </row>
        <row r="88">
          <cell r="B88" t="str">
            <v>Miller Gustavo Ocampo  Martinez</v>
          </cell>
        </row>
        <row r="89">
          <cell r="B89" t="str">
            <v>Mónica Rodriguez</v>
          </cell>
        </row>
        <row r="90">
          <cell r="B90" t="str">
            <v>Nestor Julio Varela Jimenez</v>
          </cell>
        </row>
        <row r="91">
          <cell r="B91" t="str">
            <v>Nestor Salvador Medina Zorro</v>
          </cell>
        </row>
        <row r="92">
          <cell r="B92" t="str">
            <v>Nury Andrea Palomino Martinez</v>
          </cell>
        </row>
        <row r="93">
          <cell r="B93" t="str">
            <v>Omar Francisco Turizo Bastidas</v>
          </cell>
        </row>
        <row r="94">
          <cell r="B94" t="str">
            <v>Omar Sosa Rengifo</v>
          </cell>
        </row>
        <row r="95">
          <cell r="B95" t="str">
            <v>Otto Quintero Calonge</v>
          </cell>
        </row>
        <row r="96">
          <cell r="B96" t="str">
            <v>Ricardo Arturo Duarte Diaz</v>
          </cell>
        </row>
        <row r="97">
          <cell r="B97" t="str">
            <v>Richard James Lozada Galvis</v>
          </cell>
        </row>
        <row r="98">
          <cell r="B98" t="str">
            <v>Rodrigo Alejandro Fuentes Doncel</v>
          </cell>
        </row>
        <row r="99">
          <cell r="B99" t="str">
            <v>Rodrigo Ivan Vargas Calvo</v>
          </cell>
        </row>
        <row r="100">
          <cell r="B100" t="str">
            <v>Roxana Mateus Benitez</v>
          </cell>
        </row>
        <row r="101">
          <cell r="B101" t="str">
            <v>Sonia Milena León Florez</v>
          </cell>
        </row>
        <row r="102">
          <cell r="B102" t="str">
            <v>Tito Fernando Cepeda Sanchez</v>
          </cell>
        </row>
        <row r="103">
          <cell r="B103" t="str">
            <v>Tommy Madero Vergara</v>
          </cell>
        </row>
        <row r="104">
          <cell r="B104" t="str">
            <v>Victor Alfonso Orozco Quintero</v>
          </cell>
        </row>
        <row r="105">
          <cell r="B105" t="str">
            <v>Victor Andres Tello</v>
          </cell>
        </row>
        <row r="106">
          <cell r="B106" t="str">
            <v>Vivian Alicia Rubio Hernandez</v>
          </cell>
        </row>
        <row r="107">
          <cell r="B107" t="str">
            <v>Walter Arevalo Guillin</v>
          </cell>
        </row>
        <row r="108">
          <cell r="B108" t="str">
            <v>William Rivera Parra</v>
          </cell>
        </row>
      </sheetData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2">
          <cell r="M12" t="str">
            <v>Critico</v>
          </cell>
        </row>
        <row r="13">
          <cell r="M13" t="str">
            <v>Urgente</v>
          </cell>
        </row>
        <row r="14">
          <cell r="M14" t="str">
            <v>Estandar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Z1002"/>
  <sheetViews>
    <sheetView showGridLines="0" workbookViewId="0">
      <selection activeCell="D4" sqref="D4:F4"/>
    </sheetView>
  </sheetViews>
  <sheetFormatPr baseColWidth="10" defaultColWidth="14.42578125" defaultRowHeight="15" customHeight="1"/>
  <cols>
    <col min="1" max="1" width="1.140625" customWidth="1"/>
    <col min="2" max="2" width="25.42578125" customWidth="1"/>
    <col min="3" max="3" width="24" customWidth="1"/>
    <col min="4" max="5" width="20.7109375" customWidth="1"/>
    <col min="6" max="6" width="27" customWidth="1"/>
    <col min="7" max="7" width="3.7109375" customWidth="1"/>
    <col min="8" max="8" width="16" customWidth="1"/>
    <col min="9" max="9" width="13.85546875" customWidth="1"/>
    <col min="10" max="10" width="19.85546875" customWidth="1"/>
    <col min="11" max="24" width="10.7109375" customWidth="1"/>
  </cols>
  <sheetData>
    <row r="1" spans="1:26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/>
      <c r="Z1" s="2"/>
    </row>
    <row r="2" spans="1:26" ht="16.5">
      <c r="A2" s="1"/>
      <c r="B2" s="3" t="s">
        <v>0</v>
      </c>
      <c r="C2" s="3"/>
      <c r="D2" s="260" t="s">
        <v>329</v>
      </c>
      <c r="E2" s="261"/>
      <c r="F2" s="261"/>
      <c r="G2" s="261"/>
      <c r="H2" s="261"/>
      <c r="I2" s="261"/>
      <c r="J2" s="26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2"/>
      <c r="Z2" s="2"/>
    </row>
    <row r="3" spans="1:26" ht="6" customHeight="1">
      <c r="A3" s="1"/>
      <c r="B3" s="4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2"/>
      <c r="Z3" s="2"/>
    </row>
    <row r="4" spans="1:26" ht="16.5">
      <c r="A4" s="1"/>
      <c r="B4" s="3" t="s">
        <v>1</v>
      </c>
      <c r="C4" s="3"/>
      <c r="D4" s="263"/>
      <c r="E4" s="264"/>
      <c r="F4" s="26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2"/>
      <c r="Z4" s="2"/>
    </row>
    <row r="5" spans="1:26" ht="6" customHeight="1">
      <c r="A5" s="1"/>
      <c r="B5" s="4"/>
      <c r="C5" s="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2"/>
      <c r="Z5" s="2"/>
    </row>
    <row r="6" spans="1:26" ht="16.5">
      <c r="A6" s="1"/>
      <c r="B6" s="3" t="s">
        <v>2</v>
      </c>
      <c r="C6" s="3"/>
      <c r="D6" s="5" t="s">
        <v>3</v>
      </c>
      <c r="E6" s="1"/>
      <c r="F6" s="1"/>
      <c r="G6" s="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2"/>
      <c r="Z6" s="2"/>
    </row>
    <row r="7" spans="1:26" ht="6" customHeight="1">
      <c r="A7" s="1"/>
      <c r="B7" s="4"/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2"/>
      <c r="Z7" s="2"/>
    </row>
    <row r="8" spans="1:26" ht="16.5">
      <c r="A8" s="1"/>
      <c r="B8" s="3" t="s">
        <v>4</v>
      </c>
      <c r="C8" s="3"/>
      <c r="D8" s="7"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2"/>
      <c r="Z8" s="2"/>
    </row>
    <row r="9" spans="1:26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2"/>
      <c r="Z9" s="2"/>
    </row>
    <row r="10" spans="1:26" ht="16.5">
      <c r="A10" s="1"/>
      <c r="B10" s="266" t="s">
        <v>5</v>
      </c>
      <c r="C10" s="264"/>
      <c r="D10" s="264"/>
      <c r="E10" s="264"/>
      <c r="F10" s="264"/>
      <c r="G10" s="264"/>
      <c r="H10" s="264"/>
      <c r="I10" s="264"/>
      <c r="J10" s="26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2"/>
      <c r="Z10" s="2"/>
    </row>
    <row r="11" spans="1:26" ht="6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2"/>
      <c r="Z11" s="2"/>
    </row>
    <row r="12" spans="1:26" ht="27" customHeight="1">
      <c r="A12" s="1"/>
      <c r="B12" s="8" t="s">
        <v>6</v>
      </c>
      <c r="C12" s="9" t="s">
        <v>7</v>
      </c>
      <c r="D12" s="9" t="s">
        <v>8</v>
      </c>
      <c r="E12" s="9" t="s">
        <v>9</v>
      </c>
      <c r="F12" s="10" t="s">
        <v>10</v>
      </c>
      <c r="G12" s="1"/>
      <c r="H12" s="11" t="s">
        <v>11</v>
      </c>
      <c r="I12" s="11" t="s">
        <v>12</v>
      </c>
      <c r="J12" s="11" t="s">
        <v>13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2"/>
      <c r="Z12" s="2"/>
    </row>
    <row r="13" spans="1:26" ht="15.75" customHeight="1">
      <c r="A13" s="1"/>
      <c r="B13" s="12" t="s">
        <v>14</v>
      </c>
      <c r="C13" s="13">
        <v>0</v>
      </c>
      <c r="D13" s="14">
        <f>C13*1</f>
        <v>0</v>
      </c>
      <c r="E13" s="254" t="s">
        <v>319</v>
      </c>
      <c r="F13" s="267" t="s">
        <v>320</v>
      </c>
      <c r="G13" s="1"/>
      <c r="H13" s="13">
        <v>2</v>
      </c>
      <c r="I13" s="13" t="s">
        <v>15</v>
      </c>
      <c r="J13" s="13" t="s">
        <v>30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2"/>
      <c r="Z13" s="2"/>
    </row>
    <row r="14" spans="1:26" ht="15.75" customHeight="1">
      <c r="A14" s="1"/>
      <c r="B14" s="12" t="s">
        <v>16</v>
      </c>
      <c r="C14" s="13">
        <v>0</v>
      </c>
      <c r="D14" s="14">
        <f>C14*2</f>
        <v>0</v>
      </c>
      <c r="E14" s="255"/>
      <c r="F14" s="258"/>
      <c r="G14" s="1"/>
      <c r="H14" s="1" t="s">
        <v>299</v>
      </c>
      <c r="I14" s="16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2"/>
      <c r="Z14" s="2"/>
    </row>
    <row r="15" spans="1:26" ht="15.75" customHeight="1">
      <c r="A15" s="1"/>
      <c r="B15" s="12" t="s">
        <v>17</v>
      </c>
      <c r="C15" s="13">
        <v>0</v>
      </c>
      <c r="D15" s="14">
        <f>C15*3</f>
        <v>0</v>
      </c>
      <c r="E15" s="255"/>
      <c r="F15" s="25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2"/>
      <c r="Z15" s="2"/>
    </row>
    <row r="16" spans="1:26" ht="15.75" customHeight="1">
      <c r="A16" s="1"/>
      <c r="B16" s="268" t="s">
        <v>18</v>
      </c>
      <c r="C16" s="269"/>
      <c r="D16" s="16">
        <f>SUM(D13:D15)</f>
        <v>0</v>
      </c>
      <c r="E16" s="256"/>
      <c r="F16" s="25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2"/>
      <c r="Z16" s="2"/>
    </row>
    <row r="17" spans="1:26" ht="16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2"/>
      <c r="Z17" s="2"/>
    </row>
    <row r="18" spans="1:26" ht="27">
      <c r="A18" s="1"/>
      <c r="B18" s="8" t="s">
        <v>19</v>
      </c>
      <c r="C18" s="9" t="s">
        <v>20</v>
      </c>
      <c r="D18" s="9" t="s">
        <v>21</v>
      </c>
      <c r="E18" s="9" t="s">
        <v>9</v>
      </c>
      <c r="F18" s="10" t="s">
        <v>22</v>
      </c>
      <c r="G18" s="1"/>
      <c r="H18" s="17" t="s">
        <v>23</v>
      </c>
      <c r="I18" s="17" t="s">
        <v>24</v>
      </c>
      <c r="J18" s="17" t="s">
        <v>25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2"/>
      <c r="Z18" s="2"/>
    </row>
    <row r="19" spans="1:26" ht="15.75" customHeight="1">
      <c r="A19" s="1"/>
      <c r="B19" s="18" t="s">
        <v>26</v>
      </c>
      <c r="C19" s="13">
        <v>1</v>
      </c>
      <c r="D19" s="270" t="s">
        <v>27</v>
      </c>
      <c r="E19" s="254" t="s">
        <v>28</v>
      </c>
      <c r="F19" s="257"/>
      <c r="G19" s="1"/>
      <c r="H19" s="19">
        <v>2</v>
      </c>
      <c r="I19" s="13" t="s">
        <v>29</v>
      </c>
      <c r="J19" s="20" t="s">
        <v>30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2"/>
      <c r="Z19" s="2"/>
    </row>
    <row r="20" spans="1:26" ht="15.75" customHeight="1">
      <c r="A20" s="1"/>
      <c r="B20" s="18" t="s">
        <v>31</v>
      </c>
      <c r="C20" s="13">
        <v>0</v>
      </c>
      <c r="D20" s="255"/>
      <c r="E20" s="255"/>
      <c r="F20" s="258"/>
      <c r="G20" s="1"/>
      <c r="H20" s="1"/>
      <c r="I20" s="16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2"/>
      <c r="Z20" s="2"/>
    </row>
    <row r="21" spans="1:26" ht="15.75" customHeight="1">
      <c r="A21" s="1"/>
      <c r="B21" s="21" t="s">
        <v>32</v>
      </c>
      <c r="C21" s="16">
        <f>SUM(C19:C20)</f>
        <v>1</v>
      </c>
      <c r="D21" s="256"/>
      <c r="E21" s="256"/>
      <c r="F21" s="259"/>
      <c r="G21" s="1"/>
      <c r="H21" s="1">
        <f>+(0.35+0.35+0.35+0.35)*2</f>
        <v>2.8</v>
      </c>
      <c r="I21" s="1" t="s">
        <v>33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2"/>
      <c r="Z21" s="2"/>
    </row>
    <row r="22" spans="1:26" ht="16.5">
      <c r="A22" s="1"/>
      <c r="B22" s="1"/>
      <c r="C22" s="1"/>
      <c r="D22" s="162"/>
      <c r="E22" s="1"/>
      <c r="F22" s="1"/>
      <c r="G22" s="1"/>
      <c r="H22" s="1">
        <f>+(0.76+0.76+0.76+0.76)*60</f>
        <v>182.4</v>
      </c>
      <c r="I22" s="1" t="s">
        <v>33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2"/>
      <c r="Z22" s="2"/>
    </row>
    <row r="23" spans="1:26" ht="16.5">
      <c r="A23" s="1"/>
      <c r="B23" s="251" t="s">
        <v>34</v>
      </c>
      <c r="C23" s="252"/>
      <c r="D23" s="252"/>
      <c r="E23" s="252"/>
      <c r="F23" s="253"/>
      <c r="G23" s="1"/>
      <c r="H23" s="1">
        <f>+H22/H21</f>
        <v>65.142857142857153</v>
      </c>
      <c r="I23" s="1" t="s">
        <v>35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2"/>
      <c r="Z23" s="2"/>
    </row>
    <row r="24" spans="1:26" ht="25.5">
      <c r="A24" s="1"/>
      <c r="B24" s="22" t="s">
        <v>36</v>
      </c>
      <c r="C24" s="11" t="s">
        <v>20</v>
      </c>
      <c r="D24" s="11" t="s">
        <v>37</v>
      </c>
      <c r="E24" s="11" t="s">
        <v>38</v>
      </c>
      <c r="F24" s="23" t="s">
        <v>39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2"/>
      <c r="Z24" s="2"/>
    </row>
    <row r="25" spans="1:26" ht="22.5" customHeight="1">
      <c r="A25" s="1"/>
      <c r="B25" s="24" t="s">
        <v>328</v>
      </c>
      <c r="C25" s="20">
        <v>1</v>
      </c>
      <c r="D25" s="25" t="s">
        <v>37</v>
      </c>
      <c r="E25" s="26">
        <v>35000</v>
      </c>
      <c r="F25" s="27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2"/>
      <c r="Z25" s="2"/>
    </row>
    <row r="26" spans="1:26" ht="16.5">
      <c r="A26" s="1"/>
      <c r="B26" s="24"/>
      <c r="C26" s="20"/>
      <c r="D26" s="25" t="s">
        <v>37</v>
      </c>
      <c r="E26" s="26"/>
      <c r="F26" s="2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2"/>
      <c r="Z26" s="2"/>
    </row>
    <row r="27" spans="1:26" ht="43.5" customHeight="1">
      <c r="A27" s="1"/>
      <c r="B27" s="24"/>
      <c r="C27" s="20"/>
      <c r="D27" s="25" t="s">
        <v>37</v>
      </c>
      <c r="E27" s="26"/>
      <c r="F27" s="2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2"/>
      <c r="Z27" s="2"/>
    </row>
    <row r="28" spans="1:26" ht="43.5" customHeight="1">
      <c r="A28" s="1"/>
      <c r="B28" s="28"/>
      <c r="C28" s="15"/>
      <c r="D28" s="25" t="s">
        <v>37</v>
      </c>
      <c r="E28" s="29"/>
      <c r="F28" s="30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2"/>
      <c r="Z28" s="2"/>
    </row>
    <row r="29" spans="1:26" ht="16.5">
      <c r="A29" s="1"/>
      <c r="B29" s="31"/>
      <c r="C29" s="32"/>
      <c r="D29" s="33" t="s">
        <v>37</v>
      </c>
      <c r="E29" s="29"/>
      <c r="F29" s="3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2"/>
      <c r="Z29" s="2"/>
    </row>
    <row r="30" spans="1:26" ht="16.5">
      <c r="A30" s="1"/>
      <c r="B30" s="1"/>
      <c r="C30" s="1"/>
      <c r="D30" s="35" t="s">
        <v>40</v>
      </c>
      <c r="E30" s="36">
        <f>SUM(E25:E29)</f>
        <v>35000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2"/>
      <c r="Z30" s="2"/>
    </row>
    <row r="31" spans="1:26" ht="16.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8"/>
      <c r="Z31" s="38"/>
    </row>
    <row r="32" spans="1:26" ht="16.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8"/>
      <c r="Z32" s="38"/>
    </row>
    <row r="33" spans="1:26" ht="16.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8"/>
      <c r="Z33" s="38"/>
    </row>
    <row r="34" spans="1:26" ht="16.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8"/>
      <c r="Z34" s="38"/>
    </row>
    <row r="35" spans="1:26" ht="16.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8"/>
      <c r="Z35" s="38"/>
    </row>
    <row r="36" spans="1:26" ht="16.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8"/>
      <c r="Z36" s="38"/>
    </row>
    <row r="37" spans="1:26" ht="16.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8"/>
      <c r="Z37" s="38"/>
    </row>
    <row r="38" spans="1:26" ht="16.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8"/>
      <c r="Z38" s="38"/>
    </row>
    <row r="39" spans="1:26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8"/>
      <c r="Z39" s="38"/>
    </row>
    <row r="40" spans="1:26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8"/>
      <c r="Z40" s="38"/>
    </row>
    <row r="41" spans="1:26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8"/>
      <c r="Z41" s="38"/>
    </row>
    <row r="42" spans="1:26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8"/>
      <c r="Z42" s="38"/>
    </row>
    <row r="43" spans="1:26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8"/>
      <c r="Z43" s="38"/>
    </row>
    <row r="44" spans="1:26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8"/>
      <c r="Z44" s="38"/>
    </row>
    <row r="45" spans="1:26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8"/>
      <c r="Z45" s="38"/>
    </row>
    <row r="46" spans="1:2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8"/>
      <c r="Z46" s="38"/>
    </row>
    <row r="47" spans="1:26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8"/>
      <c r="Z47" s="38"/>
    </row>
    <row r="48" spans="1:26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8"/>
      <c r="Z48" s="38"/>
    </row>
    <row r="49" spans="1:26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8"/>
      <c r="Z49" s="38"/>
    </row>
    <row r="50" spans="1:26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8"/>
      <c r="Z50" s="38"/>
    </row>
    <row r="51" spans="1:26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8"/>
      <c r="Z51" s="38"/>
    </row>
    <row r="52" spans="1:26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8"/>
      <c r="Z52" s="38"/>
    </row>
    <row r="53" spans="1:26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8"/>
      <c r="Z53" s="38"/>
    </row>
    <row r="54" spans="1:26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8"/>
      <c r="Z54" s="38"/>
    </row>
    <row r="55" spans="1:26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8"/>
      <c r="Z55" s="38"/>
    </row>
    <row r="56" spans="1:2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8"/>
      <c r="Z56" s="38"/>
    </row>
    <row r="57" spans="1:26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8"/>
      <c r="Z57" s="38"/>
    </row>
    <row r="58" spans="1:26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8"/>
      <c r="Z58" s="38"/>
    </row>
    <row r="59" spans="1:26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8"/>
      <c r="Z59" s="38"/>
    </row>
    <row r="60" spans="1:26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8"/>
      <c r="Z60" s="38"/>
    </row>
    <row r="61" spans="1:26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8"/>
      <c r="Z61" s="38"/>
    </row>
    <row r="62" spans="1:26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8"/>
      <c r="Z62" s="38"/>
    </row>
    <row r="63" spans="1:26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8"/>
      <c r="Z63" s="38"/>
    </row>
    <row r="64" spans="1:26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8"/>
      <c r="Z64" s="38"/>
    </row>
    <row r="65" spans="1:26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8"/>
      <c r="Z65" s="38"/>
    </row>
    <row r="66" spans="1:2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8"/>
      <c r="Z66" s="38"/>
    </row>
    <row r="67" spans="1:26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8"/>
      <c r="Z67" s="38"/>
    </row>
    <row r="68" spans="1:26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8"/>
      <c r="Z68" s="38"/>
    </row>
    <row r="69" spans="1:26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8"/>
      <c r="Z69" s="38"/>
    </row>
    <row r="70" spans="1:26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8"/>
      <c r="Z70" s="38"/>
    </row>
    <row r="71" spans="1:26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8"/>
      <c r="Z71" s="38"/>
    </row>
    <row r="72" spans="1:26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8"/>
      <c r="Z72" s="38"/>
    </row>
    <row r="73" spans="1:26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8"/>
      <c r="Z73" s="38"/>
    </row>
    <row r="74" spans="1:26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8"/>
      <c r="Z74" s="38"/>
    </row>
    <row r="75" spans="1:26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8"/>
      <c r="Z75" s="38"/>
    </row>
    <row r="76" spans="1:2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8"/>
      <c r="Z76" s="38"/>
    </row>
    <row r="77" spans="1:26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8"/>
      <c r="Z77" s="38"/>
    </row>
    <row r="78" spans="1:26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8"/>
      <c r="Z78" s="38"/>
    </row>
    <row r="79" spans="1:26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8"/>
      <c r="Z79" s="38"/>
    </row>
    <row r="80" spans="1:26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8"/>
      <c r="Z80" s="38"/>
    </row>
    <row r="81" spans="1:26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8"/>
      <c r="Z81" s="38"/>
    </row>
    <row r="82" spans="1:26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8"/>
      <c r="Z82" s="38"/>
    </row>
    <row r="83" spans="1:26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8"/>
      <c r="Z83" s="38"/>
    </row>
    <row r="84" spans="1:26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8"/>
      <c r="Z84" s="38"/>
    </row>
    <row r="85" spans="1:26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8"/>
      <c r="Z85" s="38"/>
    </row>
    <row r="86" spans="1:2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8"/>
      <c r="Z86" s="38"/>
    </row>
    <row r="87" spans="1:26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8"/>
      <c r="Z87" s="38"/>
    </row>
    <row r="88" spans="1:26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8"/>
      <c r="Z88" s="38"/>
    </row>
    <row r="89" spans="1:26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8"/>
      <c r="Z89" s="38"/>
    </row>
    <row r="90" spans="1:26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8"/>
      <c r="Z90" s="38"/>
    </row>
    <row r="91" spans="1:26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8"/>
      <c r="Z91" s="38"/>
    </row>
    <row r="92" spans="1:26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8"/>
      <c r="Z92" s="38"/>
    </row>
    <row r="93" spans="1:26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8"/>
      <c r="Z93" s="38"/>
    </row>
    <row r="94" spans="1:26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8"/>
      <c r="Z94" s="38"/>
    </row>
    <row r="95" spans="1:26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8"/>
      <c r="Z95" s="38"/>
    </row>
    <row r="96" spans="1:2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8"/>
      <c r="Z96" s="38"/>
    </row>
    <row r="97" spans="1:26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8"/>
      <c r="Z97" s="38"/>
    </row>
    <row r="98" spans="1:26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8"/>
      <c r="Z98" s="38"/>
    </row>
    <row r="99" spans="1:26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8"/>
      <c r="Z99" s="38"/>
    </row>
    <row r="100" spans="1:26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8"/>
      <c r="Z100" s="38"/>
    </row>
    <row r="101" spans="1:26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8"/>
      <c r="Z101" s="38"/>
    </row>
    <row r="102" spans="1:26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8"/>
      <c r="Z102" s="38"/>
    </row>
    <row r="103" spans="1:26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8"/>
      <c r="Z103" s="38"/>
    </row>
    <row r="104" spans="1:26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8"/>
      <c r="Z104" s="38"/>
    </row>
    <row r="105" spans="1:26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8"/>
      <c r="Z105" s="38"/>
    </row>
    <row r="106" spans="1:2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8"/>
      <c r="Z106" s="38"/>
    </row>
    <row r="107" spans="1:26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8"/>
      <c r="Z107" s="38"/>
    </row>
    <row r="108" spans="1:26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8"/>
      <c r="Z108" s="38"/>
    </row>
    <row r="109" spans="1:26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8"/>
      <c r="Z109" s="38"/>
    </row>
    <row r="110" spans="1:26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8"/>
      <c r="Z110" s="38"/>
    </row>
    <row r="111" spans="1:26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8"/>
      <c r="Z111" s="38"/>
    </row>
    <row r="112" spans="1:26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8"/>
      <c r="Z112" s="38"/>
    </row>
    <row r="113" spans="1:26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8"/>
      <c r="Z113" s="38"/>
    </row>
    <row r="114" spans="1:26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8"/>
      <c r="Z114" s="38"/>
    </row>
    <row r="115" spans="1:26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8"/>
      <c r="Z115" s="38"/>
    </row>
    <row r="116" spans="1:2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8"/>
      <c r="Z116" s="38"/>
    </row>
    <row r="117" spans="1:26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8"/>
      <c r="Z117" s="38"/>
    </row>
    <row r="118" spans="1:26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8"/>
      <c r="Z118" s="38"/>
    </row>
    <row r="119" spans="1:26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8"/>
      <c r="Z119" s="38"/>
    </row>
    <row r="120" spans="1:26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8"/>
      <c r="Z120" s="38"/>
    </row>
    <row r="121" spans="1:26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8"/>
      <c r="Z121" s="38"/>
    </row>
    <row r="122" spans="1:26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8"/>
      <c r="Z122" s="38"/>
    </row>
    <row r="123" spans="1:26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8"/>
      <c r="Z123" s="38"/>
    </row>
    <row r="124" spans="1:26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8"/>
      <c r="Z124" s="38"/>
    </row>
    <row r="125" spans="1:26" ht="15.75" customHeight="1">
      <c r="A125" s="37"/>
      <c r="B125" s="38"/>
      <c r="C125" s="38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8"/>
      <c r="Z125" s="38"/>
    </row>
    <row r="126" spans="1:26" ht="15.75" customHeight="1">
      <c r="A126" s="1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2"/>
      <c r="Z126" s="2"/>
    </row>
    <row r="127" spans="1:26" ht="15.75" customHeight="1">
      <c r="A127" s="1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2"/>
      <c r="Z127" s="2"/>
    </row>
    <row r="128" spans="1:26" ht="15.75" customHeight="1">
      <c r="A128" s="1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2"/>
      <c r="Z128" s="2"/>
    </row>
    <row r="129" spans="1:26" ht="15.75" customHeight="1">
      <c r="A129" s="1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2"/>
      <c r="Z129" s="2"/>
    </row>
    <row r="130" spans="1:26" ht="15.75" customHeight="1">
      <c r="A130" s="1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2"/>
      <c r="Z130" s="2"/>
    </row>
    <row r="131" spans="1:26" ht="15.75" customHeight="1">
      <c r="A131" s="1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2"/>
      <c r="Z131" s="2"/>
    </row>
    <row r="132" spans="1:26" ht="15.75" customHeight="1">
      <c r="A132" s="1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2"/>
      <c r="Z132" s="2"/>
    </row>
    <row r="133" spans="1:26" ht="15.75" customHeight="1">
      <c r="A133" s="1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2"/>
      <c r="Z133" s="2"/>
    </row>
    <row r="134" spans="1:26" ht="15.75" customHeight="1">
      <c r="A134" s="1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2"/>
      <c r="Z134" s="2"/>
    </row>
    <row r="135" spans="1:26" ht="15.75" customHeight="1">
      <c r="A135" s="1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2"/>
      <c r="Z135" s="2"/>
    </row>
    <row r="136" spans="1:26" ht="15.75" customHeight="1">
      <c r="A136" s="1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2"/>
      <c r="Z136" s="2"/>
    </row>
    <row r="137" spans="1:26" ht="15.75" customHeight="1">
      <c r="A137" s="1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2"/>
      <c r="Z137" s="2"/>
    </row>
    <row r="138" spans="1:26" ht="15.75" customHeight="1">
      <c r="A138" s="1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2"/>
      <c r="Z138" s="2"/>
    </row>
    <row r="139" spans="1:26" ht="15.75" customHeight="1">
      <c r="A139" s="1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2"/>
      <c r="Z139" s="2"/>
    </row>
    <row r="140" spans="1:26" ht="15.75" customHeight="1">
      <c r="A140" s="1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2"/>
      <c r="Z140" s="2"/>
    </row>
    <row r="141" spans="1:26" ht="15.75" customHeight="1">
      <c r="A141" s="1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2"/>
      <c r="Z141" s="2"/>
    </row>
    <row r="142" spans="1:26" ht="15.75" customHeight="1">
      <c r="A142" s="1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2"/>
      <c r="Z142" s="2"/>
    </row>
    <row r="143" spans="1:26" ht="15.75" customHeight="1">
      <c r="A143" s="1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2"/>
      <c r="Z143" s="2"/>
    </row>
    <row r="144" spans="1:26" ht="15.75" customHeight="1">
      <c r="A144" s="1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2"/>
      <c r="Z144" s="2"/>
    </row>
    <row r="145" spans="1:26" ht="15.75" customHeight="1">
      <c r="A145" s="1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2"/>
      <c r="Z145" s="2"/>
    </row>
    <row r="146" spans="1:26" ht="15.75" customHeight="1">
      <c r="A146" s="1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2"/>
      <c r="Z146" s="2"/>
    </row>
    <row r="147" spans="1:26" ht="15.75" customHeight="1">
      <c r="A147" s="1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2"/>
      <c r="Z147" s="2"/>
    </row>
    <row r="148" spans="1:26" ht="15.75" customHeight="1">
      <c r="A148" s="1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2"/>
      <c r="Z148" s="2"/>
    </row>
    <row r="149" spans="1:26" ht="15.75" customHeight="1">
      <c r="A149" s="1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2"/>
      <c r="Z149" s="2"/>
    </row>
    <row r="150" spans="1:26" ht="15.75" customHeight="1">
      <c r="A150" s="1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2"/>
      <c r="Z150" s="2"/>
    </row>
    <row r="151" spans="1:26" ht="15.75" customHeight="1">
      <c r="A151" s="1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2"/>
      <c r="Z151" s="2"/>
    </row>
    <row r="152" spans="1:26" ht="15.75" customHeight="1">
      <c r="A152" s="1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2"/>
      <c r="Z152" s="2"/>
    </row>
    <row r="153" spans="1:26" ht="15.75" customHeight="1">
      <c r="A153" s="1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2"/>
      <c r="Z153" s="2"/>
    </row>
    <row r="154" spans="1:26" ht="15.75" customHeight="1">
      <c r="A154" s="1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2"/>
      <c r="Z154" s="2"/>
    </row>
    <row r="155" spans="1:26" ht="15.75" customHeight="1">
      <c r="A155" s="1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2"/>
      <c r="Z155" s="2"/>
    </row>
    <row r="156" spans="1:26" ht="15.75" customHeight="1">
      <c r="A156" s="1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2"/>
      <c r="Z156" s="2"/>
    </row>
    <row r="157" spans="1:26" ht="15.75" customHeight="1">
      <c r="A157" s="1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2"/>
      <c r="Z157" s="2"/>
    </row>
    <row r="158" spans="1:26" ht="15.75" customHeight="1">
      <c r="A158" s="1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2"/>
      <c r="Z158" s="2"/>
    </row>
    <row r="159" spans="1:26" ht="15.75" customHeight="1">
      <c r="A159" s="1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2"/>
      <c r="Z159" s="2"/>
    </row>
    <row r="160" spans="1:26" ht="15.75" customHeight="1">
      <c r="A160" s="1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2"/>
      <c r="Z160" s="2"/>
    </row>
    <row r="161" spans="1:26" ht="15.75" customHeight="1">
      <c r="A161" s="1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2"/>
      <c r="Z161" s="2"/>
    </row>
    <row r="162" spans="1:26" ht="15.75" customHeight="1">
      <c r="A162" s="1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2"/>
      <c r="Z162" s="2"/>
    </row>
    <row r="163" spans="1:26" ht="15.75" customHeight="1">
      <c r="A163" s="1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2"/>
      <c r="Z163" s="2"/>
    </row>
    <row r="164" spans="1:26" ht="15.75" customHeight="1">
      <c r="A164" s="1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2"/>
      <c r="Z164" s="2"/>
    </row>
    <row r="165" spans="1:26" ht="15.75" customHeight="1">
      <c r="A165" s="1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2"/>
      <c r="Z165" s="2"/>
    </row>
    <row r="166" spans="1:26" ht="15.75" customHeight="1">
      <c r="A166" s="1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2"/>
      <c r="Z166" s="2"/>
    </row>
    <row r="167" spans="1:26" ht="15.75" customHeight="1">
      <c r="A167" s="1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2"/>
      <c r="Z167" s="2"/>
    </row>
    <row r="168" spans="1:26" ht="15.75" customHeight="1">
      <c r="A168" s="1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2"/>
      <c r="Z168" s="2"/>
    </row>
    <row r="169" spans="1:26" ht="15.75" customHeight="1">
      <c r="A169" s="1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2"/>
      <c r="Z169" s="2"/>
    </row>
    <row r="170" spans="1:26" ht="15.75" customHeight="1">
      <c r="A170" s="1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2"/>
      <c r="Z170" s="2"/>
    </row>
    <row r="171" spans="1:26" ht="15.75" customHeight="1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2"/>
      <c r="Z171" s="2"/>
    </row>
    <row r="172" spans="1:26" ht="15.75" customHeight="1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2"/>
      <c r="Z172" s="2"/>
    </row>
    <row r="173" spans="1:26" ht="15.75" customHeight="1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2"/>
      <c r="Z173" s="2"/>
    </row>
    <row r="174" spans="1:26" ht="15.75" customHeight="1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2"/>
      <c r="Z174" s="2"/>
    </row>
    <row r="175" spans="1:26" ht="15.75" customHeight="1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2"/>
      <c r="Z175" s="2"/>
    </row>
    <row r="176" spans="1:26" ht="15.75" customHeight="1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2"/>
      <c r="Z176" s="2"/>
    </row>
    <row r="177" spans="1:26" ht="15.75" customHeight="1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2"/>
      <c r="Z177" s="2"/>
    </row>
    <row r="178" spans="1:26" ht="15.75" customHeight="1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2"/>
      <c r="Z178" s="2"/>
    </row>
    <row r="179" spans="1:26" ht="15.75" customHeight="1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2"/>
      <c r="Z179" s="2"/>
    </row>
    <row r="180" spans="1:26" ht="15.75" customHeight="1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2"/>
      <c r="Z180" s="2"/>
    </row>
    <row r="181" spans="1:26" ht="15.75" customHeight="1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2"/>
      <c r="Z181" s="2"/>
    </row>
    <row r="182" spans="1:26" ht="15.75" customHeight="1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2"/>
      <c r="Z182" s="2"/>
    </row>
    <row r="183" spans="1:26" ht="15.75" customHeight="1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2"/>
      <c r="Z183" s="2"/>
    </row>
    <row r="184" spans="1:26" ht="15.75" customHeight="1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2"/>
      <c r="Z184" s="2"/>
    </row>
    <row r="185" spans="1:26" ht="15.75" customHeight="1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2"/>
      <c r="Z185" s="2"/>
    </row>
    <row r="186" spans="1:26" ht="15.75" customHeight="1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2"/>
      <c r="Z186" s="2"/>
    </row>
    <row r="187" spans="1:26" ht="15.75" customHeight="1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2"/>
      <c r="Z187" s="2"/>
    </row>
    <row r="188" spans="1:26" ht="15.75" customHeight="1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2"/>
      <c r="Z188" s="2"/>
    </row>
    <row r="189" spans="1:26" ht="15.75" customHeight="1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2"/>
      <c r="Z189" s="2"/>
    </row>
    <row r="190" spans="1:26" ht="15.75" customHeight="1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2"/>
      <c r="Z190" s="2"/>
    </row>
    <row r="191" spans="1:26" ht="15.75" customHeight="1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2"/>
      <c r="Z191" s="2"/>
    </row>
    <row r="192" spans="1:26" ht="15.75" customHeight="1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2"/>
      <c r="Z192" s="2"/>
    </row>
    <row r="193" spans="1:26" ht="15.75" customHeight="1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2"/>
      <c r="Z193" s="2"/>
    </row>
    <row r="194" spans="1:26" ht="15.75" customHeight="1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2"/>
      <c r="Z194" s="2"/>
    </row>
    <row r="195" spans="1:26" ht="15.75" customHeight="1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2"/>
      <c r="Z195" s="2"/>
    </row>
    <row r="196" spans="1:26" ht="15.75" customHeight="1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2"/>
      <c r="Z196" s="2"/>
    </row>
    <row r="197" spans="1:26" ht="15.75" customHeight="1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2"/>
      <c r="Z197" s="2"/>
    </row>
    <row r="198" spans="1:26" ht="15.75" customHeight="1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2"/>
      <c r="Z198" s="2"/>
    </row>
    <row r="199" spans="1:26" ht="15.75" customHeight="1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2"/>
      <c r="Z199" s="2"/>
    </row>
    <row r="200" spans="1:26" ht="15.75" customHeight="1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2"/>
      <c r="Z200" s="2"/>
    </row>
    <row r="201" spans="1:26" ht="15.75" customHeight="1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2"/>
      <c r="Z201" s="2"/>
    </row>
    <row r="202" spans="1:26" ht="15.75" customHeight="1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2"/>
      <c r="Z202" s="2"/>
    </row>
    <row r="203" spans="1:26" ht="15.75" customHeight="1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2"/>
      <c r="Z203" s="2"/>
    </row>
    <row r="204" spans="1:26" ht="15.75" customHeight="1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2"/>
      <c r="Z204" s="2"/>
    </row>
    <row r="205" spans="1:26" ht="15.75" customHeight="1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2"/>
      <c r="Z205" s="2"/>
    </row>
    <row r="206" spans="1:26" ht="15.75" customHeight="1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2"/>
      <c r="Z206" s="2"/>
    </row>
    <row r="207" spans="1:26" ht="15.75" customHeight="1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2"/>
      <c r="Z207" s="2"/>
    </row>
    <row r="208" spans="1:26" ht="15.75" customHeight="1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2"/>
      <c r="Z208" s="2"/>
    </row>
    <row r="209" spans="1:26" ht="15.75" customHeight="1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2"/>
      <c r="Z209" s="2"/>
    </row>
    <row r="210" spans="1:26" ht="15.75" customHeight="1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2"/>
      <c r="Z210" s="2"/>
    </row>
    <row r="211" spans="1:26" ht="15.75" customHeight="1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2"/>
      <c r="Z211" s="2"/>
    </row>
    <row r="212" spans="1:26" ht="15.75" customHeight="1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2"/>
      <c r="Z212" s="2"/>
    </row>
    <row r="213" spans="1:26" ht="15.75" customHeight="1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2"/>
      <c r="Z213" s="2"/>
    </row>
    <row r="214" spans="1:26" ht="15.75" customHeight="1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2"/>
      <c r="Z214" s="2"/>
    </row>
    <row r="215" spans="1:26" ht="15.75" customHeight="1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2"/>
      <c r="Z215" s="2"/>
    </row>
    <row r="216" spans="1:26" ht="15.75" customHeight="1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2"/>
      <c r="Z216" s="2"/>
    </row>
    <row r="217" spans="1:26" ht="15.75" customHeight="1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2"/>
      <c r="Z217" s="2"/>
    </row>
    <row r="218" spans="1:26" ht="15.75" customHeight="1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2"/>
      <c r="Z218" s="2"/>
    </row>
    <row r="219" spans="1:26" ht="15.75" customHeight="1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2"/>
      <c r="Z219" s="2"/>
    </row>
    <row r="220" spans="1:26" ht="15.75" customHeight="1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2"/>
      <c r="Z220" s="2"/>
    </row>
    <row r="221" spans="1:26" ht="15.75" customHeight="1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2"/>
      <c r="Z221" s="2"/>
    </row>
    <row r="222" spans="1:26" ht="15.75" customHeight="1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2"/>
      <c r="Z222" s="2"/>
    </row>
    <row r="223" spans="1:26" ht="15.75" customHeight="1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2"/>
      <c r="Z223" s="2"/>
    </row>
    <row r="224" spans="1:26" ht="15.75" customHeight="1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2"/>
      <c r="Z224" s="2"/>
    </row>
    <row r="225" spans="1:26" ht="15.75" customHeight="1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2"/>
      <c r="Z225" s="2"/>
    </row>
    <row r="226" spans="1:26" ht="15.75" customHeight="1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2"/>
      <c r="Z226" s="2"/>
    </row>
    <row r="227" spans="1:26" ht="15.75" customHeight="1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2"/>
      <c r="Z227" s="2"/>
    </row>
    <row r="228" spans="1:26" ht="15.75" customHeight="1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2"/>
      <c r="Z228" s="2"/>
    </row>
    <row r="229" spans="1:26" ht="15.75" customHeight="1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2"/>
      <c r="Z229" s="2"/>
    </row>
    <row r="230" spans="1:26" ht="15.75" customHeight="1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2"/>
      <c r="Z230" s="2"/>
    </row>
    <row r="231" spans="1:26" ht="15.75" customHeight="1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2"/>
      <c r="Z231" s="2"/>
    </row>
    <row r="232" spans="1:26" ht="15.75" customHeight="1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2"/>
      <c r="Z232" s="2"/>
    </row>
    <row r="233" spans="1:26" ht="15.75" customHeight="1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2"/>
      <c r="Z233" s="2"/>
    </row>
    <row r="234" spans="1:26" ht="15.75" customHeight="1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2"/>
      <c r="Z234" s="2"/>
    </row>
    <row r="235" spans="1:26" ht="15.75" customHeight="1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2"/>
      <c r="Z235" s="2"/>
    </row>
    <row r="236" spans="1:26" ht="15.75" customHeight="1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2"/>
      <c r="Z236" s="2"/>
    </row>
    <row r="237" spans="1:26" ht="15.75" customHeight="1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2"/>
      <c r="Z237" s="2"/>
    </row>
    <row r="238" spans="1:26" ht="15.75" customHeight="1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2"/>
      <c r="Z238" s="2"/>
    </row>
    <row r="239" spans="1:26" ht="15.75" customHeight="1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2"/>
      <c r="Z239" s="2"/>
    </row>
    <row r="240" spans="1:26" ht="15.75" customHeight="1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2"/>
      <c r="Z240" s="2"/>
    </row>
    <row r="241" spans="1:26" ht="15.75" customHeight="1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2"/>
      <c r="Z241" s="2"/>
    </row>
    <row r="242" spans="1:26" ht="15.75" customHeight="1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2"/>
      <c r="Z242" s="2"/>
    </row>
    <row r="243" spans="1:26" ht="15.75" customHeight="1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2"/>
      <c r="Z243" s="2"/>
    </row>
    <row r="244" spans="1:26" ht="15.75" customHeight="1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2"/>
      <c r="Z244" s="2"/>
    </row>
    <row r="245" spans="1:26" ht="15.75" customHeight="1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2"/>
      <c r="Z245" s="2"/>
    </row>
    <row r="246" spans="1:26" ht="15.75" customHeight="1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2"/>
      <c r="Z246" s="2"/>
    </row>
    <row r="247" spans="1:26" ht="15.75" customHeight="1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2"/>
      <c r="Z247" s="2"/>
    </row>
    <row r="248" spans="1:26" ht="15.75" customHeight="1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2"/>
      <c r="Z248" s="2"/>
    </row>
    <row r="249" spans="1:26" ht="15.75" customHeight="1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2"/>
      <c r="Z249" s="2"/>
    </row>
    <row r="250" spans="1:26" ht="15.75" customHeight="1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2"/>
      <c r="Z250" s="2"/>
    </row>
    <row r="251" spans="1:26" ht="15.75" customHeight="1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2"/>
      <c r="Z251" s="2"/>
    </row>
    <row r="252" spans="1:26" ht="15.75" customHeight="1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2"/>
      <c r="Z252" s="2"/>
    </row>
    <row r="253" spans="1:26" ht="15.75" customHeight="1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2"/>
      <c r="Z253" s="2"/>
    </row>
    <row r="254" spans="1:26" ht="15.75" customHeight="1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2"/>
      <c r="Z254" s="2"/>
    </row>
    <row r="255" spans="1:26" ht="15.75" customHeight="1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2"/>
      <c r="Z255" s="2"/>
    </row>
    <row r="256" spans="1:26" ht="15.75" customHeight="1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2"/>
      <c r="Z256" s="2"/>
    </row>
    <row r="257" spans="1:26" ht="15.75" customHeight="1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2"/>
      <c r="Z257" s="2"/>
    </row>
    <row r="258" spans="1:26" ht="15.75" customHeight="1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2"/>
      <c r="Z258" s="2"/>
    </row>
    <row r="259" spans="1:26" ht="15.75" customHeight="1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2"/>
      <c r="Z259" s="2"/>
    </row>
    <row r="260" spans="1:26" ht="15.75" customHeight="1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2"/>
      <c r="Z260" s="2"/>
    </row>
    <row r="261" spans="1:26" ht="15.75" customHeight="1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2"/>
      <c r="Z261" s="2"/>
    </row>
    <row r="262" spans="1:26" ht="15.75" customHeight="1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2"/>
      <c r="Z262" s="2"/>
    </row>
    <row r="263" spans="1:26" ht="15.75" customHeight="1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2"/>
      <c r="Z263" s="2"/>
    </row>
    <row r="264" spans="1:26" ht="15.75" customHeight="1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2"/>
      <c r="Z264" s="2"/>
    </row>
    <row r="265" spans="1:26" ht="15.75" customHeight="1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2"/>
      <c r="Z265" s="2"/>
    </row>
    <row r="266" spans="1:26" ht="15.75" customHeight="1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2"/>
      <c r="Z266" s="2"/>
    </row>
    <row r="267" spans="1:26" ht="15.75" customHeight="1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2"/>
      <c r="Z267" s="2"/>
    </row>
    <row r="268" spans="1:26" ht="15.75" customHeight="1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2"/>
      <c r="Z268" s="2"/>
    </row>
    <row r="269" spans="1:26" ht="15.75" customHeight="1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2"/>
      <c r="Z269" s="2"/>
    </row>
    <row r="270" spans="1:26" ht="15.75" customHeight="1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2"/>
      <c r="Z270" s="2"/>
    </row>
    <row r="271" spans="1:26" ht="15.75" customHeight="1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2"/>
      <c r="Z271" s="2"/>
    </row>
    <row r="272" spans="1:26" ht="15.75" customHeight="1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2"/>
      <c r="Z272" s="2"/>
    </row>
    <row r="273" spans="1:26" ht="15.75" customHeight="1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2"/>
      <c r="Z273" s="2"/>
    </row>
    <row r="274" spans="1:26" ht="15.75" customHeight="1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2"/>
      <c r="Z274" s="2"/>
    </row>
    <row r="275" spans="1:26" ht="15.75" customHeight="1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2"/>
      <c r="Z275" s="2"/>
    </row>
    <row r="276" spans="1:26" ht="15.75" customHeight="1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2"/>
      <c r="Z276" s="2"/>
    </row>
    <row r="277" spans="1:26" ht="15.75" customHeight="1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2"/>
      <c r="Z277" s="2"/>
    </row>
    <row r="278" spans="1:26" ht="15.75" customHeight="1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2"/>
      <c r="Z278" s="2"/>
    </row>
    <row r="279" spans="1:26" ht="15.75" customHeight="1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2"/>
      <c r="Z279" s="2"/>
    </row>
    <row r="280" spans="1:26" ht="15.75" customHeight="1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2"/>
      <c r="Z280" s="2"/>
    </row>
    <row r="281" spans="1:26" ht="15.75" customHeight="1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2"/>
      <c r="Z281" s="2"/>
    </row>
    <row r="282" spans="1:26" ht="15.75" customHeight="1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2"/>
      <c r="Z282" s="2"/>
    </row>
    <row r="283" spans="1:26" ht="15.75" customHeight="1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2"/>
      <c r="Z283" s="2"/>
    </row>
    <row r="284" spans="1:26" ht="15.75" customHeight="1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2"/>
      <c r="Z284" s="2"/>
    </row>
    <row r="285" spans="1:26" ht="15.75" customHeight="1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2"/>
      <c r="Z285" s="2"/>
    </row>
    <row r="286" spans="1:26" ht="15.75" customHeight="1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2"/>
      <c r="Z286" s="2"/>
    </row>
    <row r="287" spans="1:26" ht="15.75" customHeight="1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2"/>
      <c r="Z287" s="2"/>
    </row>
    <row r="288" spans="1:26" ht="15.75" customHeight="1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2"/>
      <c r="Z288" s="2"/>
    </row>
    <row r="289" spans="1:26" ht="15.75" customHeight="1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2"/>
      <c r="Z289" s="2"/>
    </row>
    <row r="290" spans="1:26" ht="15.75" customHeight="1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2"/>
      <c r="Z290" s="2"/>
    </row>
    <row r="291" spans="1:26" ht="15.75" customHeight="1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2"/>
      <c r="Z291" s="2"/>
    </row>
    <row r="292" spans="1:26" ht="15.75" customHeight="1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2"/>
      <c r="Z292" s="2"/>
    </row>
    <row r="293" spans="1:26" ht="15.75" customHeight="1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2"/>
      <c r="Z293" s="2"/>
    </row>
    <row r="294" spans="1:26" ht="15.75" customHeight="1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2"/>
      <c r="Z294" s="2"/>
    </row>
    <row r="295" spans="1:26" ht="15.75" customHeight="1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2"/>
      <c r="Z295" s="2"/>
    </row>
    <row r="296" spans="1:26" ht="15.75" customHeight="1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2"/>
      <c r="Z296" s="2"/>
    </row>
    <row r="297" spans="1:26" ht="15.75" customHeight="1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2"/>
      <c r="Z297" s="2"/>
    </row>
    <row r="298" spans="1:26" ht="15.75" customHeight="1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2"/>
      <c r="Z298" s="2"/>
    </row>
    <row r="299" spans="1:26" ht="15.75" customHeight="1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2"/>
      <c r="Z299" s="2"/>
    </row>
    <row r="300" spans="1:26" ht="15.75" customHeight="1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2"/>
      <c r="Z300" s="2"/>
    </row>
    <row r="301" spans="1:26" ht="15.75" customHeight="1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2"/>
      <c r="Z301" s="2"/>
    </row>
    <row r="302" spans="1:26" ht="15.75" customHeight="1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2"/>
      <c r="Z302" s="2"/>
    </row>
    <row r="303" spans="1:26" ht="15.75" customHeight="1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2"/>
      <c r="Z303" s="2"/>
    </row>
    <row r="304" spans="1:26" ht="15.75" customHeight="1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2"/>
      <c r="Z304" s="2"/>
    </row>
    <row r="305" spans="1:26" ht="15.75" customHeight="1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2"/>
      <c r="Z305" s="2"/>
    </row>
    <row r="306" spans="1:26" ht="15.75" customHeight="1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2"/>
      <c r="Z306" s="2"/>
    </row>
    <row r="307" spans="1:26" ht="15.75" customHeight="1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2"/>
      <c r="Z307" s="2"/>
    </row>
    <row r="308" spans="1:26" ht="15.75" customHeight="1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2"/>
      <c r="Z308" s="2"/>
    </row>
    <row r="309" spans="1:26" ht="15.75" customHeight="1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2"/>
      <c r="Z309" s="2"/>
    </row>
    <row r="310" spans="1:26" ht="15.75" customHeight="1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2"/>
      <c r="Z310" s="2"/>
    </row>
    <row r="311" spans="1:26" ht="15.75" customHeight="1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2"/>
      <c r="Z311" s="2"/>
    </row>
    <row r="312" spans="1:26" ht="15.75" customHeight="1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2"/>
      <c r="Z312" s="2"/>
    </row>
    <row r="313" spans="1:26" ht="15.75" customHeight="1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2"/>
      <c r="Z313" s="2"/>
    </row>
    <row r="314" spans="1:26" ht="15.75" customHeight="1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2"/>
      <c r="Z314" s="2"/>
    </row>
    <row r="315" spans="1:26" ht="15.75" customHeight="1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2"/>
      <c r="Z315" s="2"/>
    </row>
    <row r="316" spans="1:26" ht="15.75" customHeight="1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2"/>
      <c r="Z316" s="2"/>
    </row>
    <row r="317" spans="1:26" ht="15.75" customHeight="1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2"/>
      <c r="Z317" s="2"/>
    </row>
    <row r="318" spans="1:26" ht="15.75" customHeight="1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2"/>
      <c r="Z318" s="2"/>
    </row>
    <row r="319" spans="1:26" ht="15.75" customHeight="1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2"/>
      <c r="Z319" s="2"/>
    </row>
    <row r="320" spans="1:26" ht="15.75" customHeight="1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2"/>
      <c r="Z320" s="2"/>
    </row>
    <row r="321" spans="1:26" ht="15.75" customHeight="1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2"/>
      <c r="Z321" s="2"/>
    </row>
    <row r="322" spans="1:26" ht="15.75" customHeight="1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2"/>
      <c r="Z322" s="2"/>
    </row>
    <row r="323" spans="1:26" ht="15.75" customHeight="1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2"/>
      <c r="Z323" s="2"/>
    </row>
    <row r="324" spans="1:26" ht="15.75" customHeight="1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2"/>
      <c r="Z324" s="2"/>
    </row>
    <row r="325" spans="1:26" ht="15.75" customHeight="1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2"/>
      <c r="Z325" s="2"/>
    </row>
    <row r="326" spans="1:26" ht="15.75" customHeight="1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2"/>
      <c r="Z326" s="2"/>
    </row>
    <row r="327" spans="1:26" ht="15.75" customHeight="1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2"/>
      <c r="Z327" s="2"/>
    </row>
    <row r="328" spans="1:26" ht="15.75" customHeight="1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2"/>
      <c r="Z328" s="2"/>
    </row>
    <row r="329" spans="1:26" ht="15.75" customHeight="1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2"/>
      <c r="Z329" s="2"/>
    </row>
    <row r="330" spans="1:26" ht="15.75" customHeight="1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2"/>
      <c r="Z330" s="2"/>
    </row>
    <row r="331" spans="1:26" ht="15.75" customHeight="1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2"/>
      <c r="Z331" s="2"/>
    </row>
    <row r="332" spans="1:26" ht="15.75" customHeight="1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2"/>
      <c r="Z332" s="2"/>
    </row>
    <row r="333" spans="1:26" ht="15.75" customHeight="1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2"/>
      <c r="Z333" s="2"/>
    </row>
    <row r="334" spans="1:26" ht="15.75" customHeight="1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2"/>
      <c r="Z334" s="2"/>
    </row>
    <row r="335" spans="1:26" ht="15.75" customHeight="1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2"/>
      <c r="Z335" s="2"/>
    </row>
    <row r="336" spans="1:26" ht="15.75" customHeight="1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2"/>
      <c r="Z336" s="2"/>
    </row>
    <row r="337" spans="1:26" ht="15.75" customHeight="1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2"/>
      <c r="Z337" s="2"/>
    </row>
    <row r="338" spans="1:26" ht="15.75" customHeight="1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2"/>
      <c r="Z338" s="2"/>
    </row>
    <row r="339" spans="1:26" ht="15.75" customHeight="1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2"/>
      <c r="Z339" s="2"/>
    </row>
    <row r="340" spans="1:26" ht="15.75" customHeight="1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2"/>
      <c r="Z340" s="2"/>
    </row>
    <row r="341" spans="1:26" ht="15.75" customHeight="1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2"/>
      <c r="Z341" s="2"/>
    </row>
    <row r="342" spans="1:26" ht="15.75" customHeight="1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2"/>
      <c r="Z342" s="2"/>
    </row>
    <row r="343" spans="1:26" ht="15.75" customHeight="1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2"/>
      <c r="Z343" s="2"/>
    </row>
    <row r="344" spans="1:26" ht="15.75" customHeight="1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2"/>
      <c r="Z344" s="2"/>
    </row>
    <row r="345" spans="1:26" ht="15.75" customHeight="1">
      <c r="A345" s="1"/>
      <c r="B345" s="2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2"/>
      <c r="Z345" s="2"/>
    </row>
    <row r="346" spans="1:26" ht="15.75" customHeight="1">
      <c r="A346" s="1"/>
      <c r="B346" s="2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2"/>
      <c r="Z346" s="2"/>
    </row>
    <row r="347" spans="1:26" ht="15.75" customHeight="1">
      <c r="A347" s="1"/>
      <c r="B347" s="2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2"/>
      <c r="Z347" s="2"/>
    </row>
    <row r="348" spans="1:26" ht="15.75" customHeight="1">
      <c r="A348" s="1"/>
      <c r="B348" s="2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2"/>
      <c r="Z348" s="2"/>
    </row>
    <row r="349" spans="1:26" ht="15.75" customHeight="1">
      <c r="A349" s="1"/>
      <c r="B349" s="2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2"/>
      <c r="Z349" s="2"/>
    </row>
    <row r="350" spans="1:26" ht="15.75" customHeight="1">
      <c r="A350" s="1"/>
      <c r="B350" s="2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2"/>
      <c r="Z350" s="2"/>
    </row>
    <row r="351" spans="1:26" ht="15.75" customHeight="1">
      <c r="A351" s="1"/>
      <c r="B351" s="2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2"/>
      <c r="Z351" s="2"/>
    </row>
    <row r="352" spans="1:26" ht="15.75" customHeight="1">
      <c r="A352" s="1"/>
      <c r="B352" s="2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2"/>
      <c r="Z352" s="2"/>
    </row>
    <row r="353" spans="1:26" ht="15.75" customHeight="1">
      <c r="A353" s="1"/>
      <c r="B353" s="2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2"/>
      <c r="Z353" s="2"/>
    </row>
    <row r="354" spans="1:26" ht="15.75" customHeight="1">
      <c r="A354" s="1"/>
      <c r="B354" s="2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2"/>
      <c r="Z354" s="2"/>
    </row>
    <row r="355" spans="1:26" ht="15.75" customHeight="1">
      <c r="A355" s="1"/>
      <c r="B355" s="2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2"/>
      <c r="Z355" s="2"/>
    </row>
    <row r="356" spans="1:26" ht="15.75" customHeight="1">
      <c r="A356" s="1"/>
      <c r="B356" s="2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2"/>
      <c r="Z356" s="2"/>
    </row>
    <row r="357" spans="1:26" ht="15.75" customHeight="1">
      <c r="A357" s="1"/>
      <c r="B357" s="2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2"/>
      <c r="Z357" s="2"/>
    </row>
    <row r="358" spans="1:26" ht="15.75" customHeight="1">
      <c r="A358" s="1"/>
      <c r="B358" s="2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2"/>
      <c r="Z358" s="2"/>
    </row>
    <row r="359" spans="1:26" ht="15.75" customHeight="1">
      <c r="A359" s="1"/>
      <c r="B359" s="2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2"/>
      <c r="Z359" s="2"/>
    </row>
    <row r="360" spans="1:26" ht="15.75" customHeight="1">
      <c r="A360" s="1"/>
      <c r="B360" s="2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2"/>
      <c r="Z360" s="2"/>
    </row>
    <row r="361" spans="1:26" ht="15.75" customHeight="1">
      <c r="A361" s="1"/>
      <c r="B361" s="2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2"/>
      <c r="Z361" s="2"/>
    </row>
    <row r="362" spans="1:26" ht="15.75" customHeight="1">
      <c r="A362" s="1"/>
      <c r="B362" s="2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2"/>
      <c r="Z362" s="2"/>
    </row>
    <row r="363" spans="1:26" ht="15.75" customHeight="1">
      <c r="A363" s="1"/>
      <c r="B363" s="2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2"/>
      <c r="Z363" s="2"/>
    </row>
    <row r="364" spans="1:26" ht="15.75" customHeight="1">
      <c r="A364" s="1"/>
      <c r="B364" s="2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2"/>
      <c r="Z364" s="2"/>
    </row>
    <row r="365" spans="1:26" ht="15.75" customHeight="1">
      <c r="A365" s="1"/>
      <c r="B365" s="2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2"/>
      <c r="Z365" s="2"/>
    </row>
    <row r="366" spans="1:26" ht="15.75" customHeight="1">
      <c r="A366" s="1"/>
      <c r="B366" s="2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2"/>
      <c r="Z366" s="2"/>
    </row>
    <row r="367" spans="1:26" ht="15.75" customHeight="1">
      <c r="A367" s="1"/>
      <c r="B367" s="2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2"/>
      <c r="Z367" s="2"/>
    </row>
    <row r="368" spans="1:26" ht="15.75" customHeight="1">
      <c r="A368" s="1"/>
      <c r="B368" s="2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2"/>
      <c r="Z368" s="2"/>
    </row>
    <row r="369" spans="1:26" ht="15.75" customHeight="1">
      <c r="A369" s="1"/>
      <c r="B369" s="2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2"/>
      <c r="Z369" s="2"/>
    </row>
    <row r="370" spans="1:26" ht="15.75" customHeight="1">
      <c r="A370" s="1"/>
      <c r="B370" s="2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2"/>
      <c r="Z370" s="2"/>
    </row>
    <row r="371" spans="1:26" ht="15.75" customHeight="1">
      <c r="A371" s="1"/>
      <c r="B371" s="2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2"/>
      <c r="Z371" s="2"/>
    </row>
    <row r="372" spans="1:26" ht="15.75" customHeight="1">
      <c r="A372" s="1"/>
      <c r="B372" s="2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2"/>
      <c r="Z372" s="2"/>
    </row>
    <row r="373" spans="1:26" ht="15.75" customHeight="1">
      <c r="A373" s="1"/>
      <c r="B373" s="2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2"/>
      <c r="Z373" s="2"/>
    </row>
    <row r="374" spans="1:26" ht="15.75" customHeight="1">
      <c r="A374" s="1"/>
      <c r="B374" s="2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2"/>
      <c r="Z374" s="2"/>
    </row>
    <row r="375" spans="1:26" ht="15.75" customHeight="1">
      <c r="A375" s="1"/>
      <c r="B375" s="2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2"/>
      <c r="Z375" s="2"/>
    </row>
    <row r="376" spans="1:26" ht="15.75" customHeight="1">
      <c r="A376" s="1"/>
      <c r="B376" s="2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2"/>
      <c r="Z376" s="2"/>
    </row>
    <row r="377" spans="1:26" ht="15.75" customHeight="1">
      <c r="A377" s="1"/>
      <c r="B377" s="2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2"/>
      <c r="Z377" s="2"/>
    </row>
    <row r="378" spans="1:26" ht="15.75" customHeight="1">
      <c r="A378" s="1"/>
      <c r="B378" s="2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2"/>
      <c r="Z378" s="2"/>
    </row>
    <row r="379" spans="1:26" ht="15.75" customHeight="1">
      <c r="A379" s="1"/>
      <c r="B379" s="2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2"/>
      <c r="Z379" s="2"/>
    </row>
    <row r="380" spans="1:26" ht="15.75" customHeight="1">
      <c r="A380" s="1"/>
      <c r="B380" s="2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2"/>
      <c r="Z380" s="2"/>
    </row>
    <row r="381" spans="1:26" ht="15.75" customHeight="1">
      <c r="A381" s="1"/>
      <c r="B381" s="2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2"/>
      <c r="Z381" s="2"/>
    </row>
    <row r="382" spans="1:26" ht="15.75" customHeight="1">
      <c r="A382" s="1"/>
      <c r="B382" s="2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2"/>
      <c r="Z382" s="2"/>
    </row>
    <row r="383" spans="1:26" ht="15.75" customHeight="1">
      <c r="A383" s="1"/>
      <c r="B383" s="2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2"/>
      <c r="Z383" s="2"/>
    </row>
    <row r="384" spans="1:26" ht="15.75" customHeight="1">
      <c r="A384" s="1"/>
      <c r="B384" s="2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2"/>
      <c r="Z384" s="2"/>
    </row>
    <row r="385" spans="1:26" ht="15.75" customHeight="1">
      <c r="A385" s="1"/>
      <c r="B385" s="2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2"/>
      <c r="Z385" s="2"/>
    </row>
    <row r="386" spans="1:26" ht="15.75" customHeight="1">
      <c r="A386" s="1"/>
      <c r="B386" s="2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2"/>
      <c r="Z386" s="2"/>
    </row>
    <row r="387" spans="1:26" ht="15.75" customHeight="1">
      <c r="A387" s="1"/>
      <c r="B387" s="2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2"/>
      <c r="Z387" s="2"/>
    </row>
    <row r="388" spans="1:26" ht="15.75" customHeight="1">
      <c r="A388" s="1"/>
      <c r="B388" s="2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2"/>
      <c r="Z388" s="2"/>
    </row>
    <row r="389" spans="1:26" ht="15.75" customHeight="1">
      <c r="A389" s="1"/>
      <c r="B389" s="2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2"/>
      <c r="Z389" s="2"/>
    </row>
    <row r="390" spans="1:26" ht="15.75" customHeight="1">
      <c r="A390" s="1"/>
      <c r="B390" s="2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2"/>
      <c r="Z390" s="2"/>
    </row>
    <row r="391" spans="1:26" ht="15.75" customHeight="1">
      <c r="A391" s="1"/>
      <c r="B391" s="2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2"/>
      <c r="Z391" s="2"/>
    </row>
    <row r="392" spans="1:26" ht="15.75" customHeight="1">
      <c r="A392" s="1"/>
      <c r="B392" s="2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2"/>
      <c r="Z392" s="2"/>
    </row>
    <row r="393" spans="1:26" ht="15.75" customHeight="1">
      <c r="A393" s="1"/>
      <c r="B393" s="2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2"/>
      <c r="Z393" s="2"/>
    </row>
    <row r="394" spans="1:26" ht="15.75" customHeight="1">
      <c r="A394" s="1"/>
      <c r="B394" s="2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2"/>
      <c r="Z394" s="2"/>
    </row>
    <row r="395" spans="1:26" ht="15.75" customHeight="1">
      <c r="A395" s="1"/>
      <c r="B395" s="2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2"/>
      <c r="Z395" s="2"/>
    </row>
    <row r="396" spans="1:26" ht="15.75" customHeight="1">
      <c r="A396" s="1"/>
      <c r="B396" s="2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2"/>
      <c r="Z396" s="2"/>
    </row>
    <row r="397" spans="1:26" ht="15.75" customHeight="1">
      <c r="A397" s="1"/>
      <c r="B397" s="2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2"/>
      <c r="Z397" s="2"/>
    </row>
    <row r="398" spans="1:26" ht="15.75" customHeight="1">
      <c r="A398" s="1"/>
      <c r="B398" s="2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2"/>
      <c r="Z398" s="2"/>
    </row>
    <row r="399" spans="1:26" ht="15.75" customHeight="1">
      <c r="A399" s="1"/>
      <c r="B399" s="2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2"/>
      <c r="Z399" s="2"/>
    </row>
    <row r="400" spans="1:26" ht="15.75" customHeight="1">
      <c r="A400" s="1"/>
      <c r="B400" s="2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2"/>
      <c r="Z400" s="2"/>
    </row>
    <row r="401" spans="1:26" ht="15.75" customHeight="1">
      <c r="A401" s="1"/>
      <c r="B401" s="2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2"/>
      <c r="Z401" s="2"/>
    </row>
    <row r="402" spans="1:26" ht="15.75" customHeight="1">
      <c r="A402" s="1"/>
      <c r="B402" s="2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2"/>
      <c r="Z402" s="2"/>
    </row>
    <row r="403" spans="1:26" ht="15.75" customHeight="1">
      <c r="A403" s="1"/>
      <c r="B403" s="2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2"/>
      <c r="Z403" s="2"/>
    </row>
    <row r="404" spans="1:26" ht="15.75" customHeight="1">
      <c r="A404" s="1"/>
      <c r="B404" s="2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2"/>
      <c r="Z404" s="2"/>
    </row>
    <row r="405" spans="1:26" ht="15.75" customHeight="1">
      <c r="A405" s="1"/>
      <c r="B405" s="2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2"/>
      <c r="Z405" s="2"/>
    </row>
    <row r="406" spans="1:26" ht="15.75" customHeight="1">
      <c r="A406" s="1"/>
      <c r="B406" s="2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2"/>
      <c r="Z406" s="2"/>
    </row>
    <row r="407" spans="1:26" ht="15.75" customHeight="1">
      <c r="A407" s="1"/>
      <c r="B407" s="2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2"/>
      <c r="Z407" s="2"/>
    </row>
    <row r="408" spans="1:26" ht="15.75" customHeight="1">
      <c r="A408" s="1"/>
      <c r="B408" s="2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2"/>
      <c r="Z408" s="2"/>
    </row>
    <row r="409" spans="1:26" ht="15.75" customHeight="1">
      <c r="A409" s="1"/>
      <c r="B409" s="2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2"/>
      <c r="Z409" s="2"/>
    </row>
    <row r="410" spans="1:26" ht="15.75" customHeight="1">
      <c r="A410" s="1"/>
      <c r="B410" s="2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2"/>
      <c r="Z410" s="2"/>
    </row>
    <row r="411" spans="1:26" ht="15.75" customHeight="1">
      <c r="A411" s="1"/>
      <c r="B411" s="2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2"/>
      <c r="Z411" s="2"/>
    </row>
    <row r="412" spans="1:26" ht="15.75" customHeight="1">
      <c r="A412" s="1"/>
      <c r="B412" s="2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2"/>
      <c r="Z412" s="2"/>
    </row>
    <row r="413" spans="1:26" ht="15.75" customHeight="1">
      <c r="A413" s="1"/>
      <c r="B413" s="2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2"/>
      <c r="Z413" s="2"/>
    </row>
    <row r="414" spans="1:26" ht="15.75" customHeight="1">
      <c r="A414" s="1"/>
      <c r="B414" s="2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2"/>
      <c r="Z414" s="2"/>
    </row>
    <row r="415" spans="1:26" ht="15.75" customHeight="1">
      <c r="A415" s="1"/>
      <c r="B415" s="2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2"/>
      <c r="Z415" s="2"/>
    </row>
    <row r="416" spans="1:26" ht="15.75" customHeight="1">
      <c r="A416" s="1"/>
      <c r="B416" s="2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2"/>
      <c r="Z416" s="2"/>
    </row>
    <row r="417" spans="1:26" ht="15.75" customHeight="1">
      <c r="A417" s="1"/>
      <c r="B417" s="2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2"/>
      <c r="Z417" s="2"/>
    </row>
    <row r="418" spans="1:26" ht="15.75" customHeight="1">
      <c r="A418" s="1"/>
      <c r="B418" s="2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2"/>
      <c r="Z418" s="2"/>
    </row>
    <row r="419" spans="1:26" ht="15.75" customHeight="1">
      <c r="A419" s="1"/>
      <c r="B419" s="2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2"/>
      <c r="Z419" s="2"/>
    </row>
    <row r="420" spans="1:26" ht="15.75" customHeight="1">
      <c r="A420" s="1"/>
      <c r="B420" s="2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2"/>
      <c r="Z420" s="2"/>
    </row>
    <row r="421" spans="1:26" ht="15.75" customHeight="1">
      <c r="A421" s="1"/>
      <c r="B421" s="2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2"/>
      <c r="Z421" s="2"/>
    </row>
    <row r="422" spans="1:26" ht="15.75" customHeight="1">
      <c r="A422" s="1"/>
      <c r="B422" s="2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2"/>
      <c r="Z422" s="2"/>
    </row>
    <row r="423" spans="1:26" ht="15.75" customHeight="1">
      <c r="A423" s="1"/>
      <c r="B423" s="2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2"/>
      <c r="Z423" s="2"/>
    </row>
    <row r="424" spans="1:26" ht="15.75" customHeight="1">
      <c r="A424" s="1"/>
      <c r="B424" s="2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2"/>
      <c r="Z424" s="2"/>
    </row>
    <row r="425" spans="1:26" ht="15.75" customHeight="1">
      <c r="A425" s="1"/>
      <c r="B425" s="2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2"/>
      <c r="Z425" s="2"/>
    </row>
    <row r="426" spans="1:26" ht="15.75" customHeight="1">
      <c r="A426" s="1"/>
      <c r="B426" s="2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2"/>
      <c r="Z426" s="2"/>
    </row>
    <row r="427" spans="1:26" ht="15.75" customHeight="1">
      <c r="A427" s="1"/>
      <c r="B427" s="2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2"/>
      <c r="Z427" s="2"/>
    </row>
    <row r="428" spans="1:26" ht="15.75" customHeight="1">
      <c r="A428" s="1"/>
      <c r="B428" s="2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2"/>
      <c r="Z428" s="2"/>
    </row>
    <row r="429" spans="1:26" ht="15.75" customHeight="1">
      <c r="A429" s="1"/>
      <c r="B429" s="2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2"/>
      <c r="Z429" s="2"/>
    </row>
    <row r="430" spans="1:26" ht="15.75" customHeight="1">
      <c r="A430" s="1"/>
      <c r="B430" s="2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2"/>
      <c r="Z430" s="2"/>
    </row>
    <row r="431" spans="1:26" ht="15.75" customHeight="1">
      <c r="A431" s="1"/>
      <c r="B431" s="2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2"/>
      <c r="Z431" s="2"/>
    </row>
    <row r="432" spans="1:26" ht="15.75" customHeight="1">
      <c r="A432" s="1"/>
      <c r="B432" s="2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2"/>
      <c r="Z432" s="2"/>
    </row>
    <row r="433" spans="1:26" ht="15.75" customHeight="1">
      <c r="A433" s="1"/>
      <c r="B433" s="2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2"/>
      <c r="Z433" s="2"/>
    </row>
    <row r="434" spans="1:26" ht="15.75" customHeight="1">
      <c r="A434" s="1"/>
      <c r="B434" s="2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2"/>
      <c r="Z434" s="2"/>
    </row>
    <row r="435" spans="1:26" ht="15.75" customHeight="1">
      <c r="A435" s="1"/>
      <c r="B435" s="2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2"/>
      <c r="Z435" s="2"/>
    </row>
    <row r="436" spans="1:26" ht="15.75" customHeight="1">
      <c r="A436" s="1"/>
      <c r="B436" s="2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2"/>
      <c r="Z436" s="2"/>
    </row>
    <row r="437" spans="1:26" ht="15.75" customHeight="1">
      <c r="A437" s="1"/>
      <c r="B437" s="2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2"/>
      <c r="Z437" s="2"/>
    </row>
    <row r="438" spans="1:26" ht="15.75" customHeight="1">
      <c r="A438" s="1"/>
      <c r="B438" s="2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2"/>
      <c r="Z438" s="2"/>
    </row>
    <row r="439" spans="1:26" ht="15.75" customHeight="1">
      <c r="A439" s="1"/>
      <c r="B439" s="2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2"/>
      <c r="Z439" s="2"/>
    </row>
    <row r="440" spans="1:26" ht="15.75" customHeight="1">
      <c r="A440" s="1"/>
      <c r="B440" s="2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2"/>
      <c r="Z440" s="2"/>
    </row>
    <row r="441" spans="1:26" ht="15.75" customHeight="1">
      <c r="A441" s="1"/>
      <c r="B441" s="2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2"/>
      <c r="Z441" s="2"/>
    </row>
    <row r="442" spans="1:26" ht="15.75" customHeight="1">
      <c r="A442" s="1"/>
      <c r="B442" s="2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2"/>
      <c r="Z442" s="2"/>
    </row>
    <row r="443" spans="1:26" ht="15.75" customHeight="1">
      <c r="A443" s="1"/>
      <c r="B443" s="2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2"/>
      <c r="Z443" s="2"/>
    </row>
    <row r="444" spans="1:26" ht="15.75" customHeight="1">
      <c r="A444" s="1"/>
      <c r="B444" s="2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2"/>
      <c r="Z444" s="2"/>
    </row>
    <row r="445" spans="1:26" ht="15.75" customHeight="1">
      <c r="A445" s="1"/>
      <c r="B445" s="2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2"/>
      <c r="Z445" s="2"/>
    </row>
    <row r="446" spans="1:26" ht="15.75" customHeight="1">
      <c r="A446" s="1"/>
      <c r="B446" s="2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2"/>
      <c r="Z446" s="2"/>
    </row>
    <row r="447" spans="1:26" ht="15.75" customHeight="1">
      <c r="A447" s="1"/>
      <c r="B447" s="2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2"/>
      <c r="Z447" s="2"/>
    </row>
    <row r="448" spans="1:26" ht="15.75" customHeight="1">
      <c r="A448" s="1"/>
      <c r="B448" s="2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2"/>
      <c r="Z448" s="2"/>
    </row>
    <row r="449" spans="1:26" ht="15.75" customHeight="1">
      <c r="A449" s="1"/>
      <c r="B449" s="2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2"/>
      <c r="Z449" s="2"/>
    </row>
    <row r="450" spans="1:26" ht="15.75" customHeight="1">
      <c r="A450" s="1"/>
      <c r="B450" s="2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2"/>
      <c r="Z450" s="2"/>
    </row>
    <row r="451" spans="1:26" ht="15.75" customHeight="1">
      <c r="A451" s="1"/>
      <c r="B451" s="2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2"/>
      <c r="Z451" s="2"/>
    </row>
    <row r="452" spans="1:26" ht="15.75" customHeight="1">
      <c r="A452" s="1"/>
      <c r="B452" s="2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2"/>
      <c r="Z452" s="2"/>
    </row>
    <row r="453" spans="1:26" ht="15.75" customHeight="1">
      <c r="A453" s="1"/>
      <c r="B453" s="2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2"/>
      <c r="Z453" s="2"/>
    </row>
    <row r="454" spans="1:26" ht="15.75" customHeight="1">
      <c r="A454" s="1"/>
      <c r="B454" s="2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2"/>
      <c r="Z454" s="2"/>
    </row>
    <row r="455" spans="1:26" ht="15.75" customHeight="1">
      <c r="A455" s="1"/>
      <c r="B455" s="2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2"/>
      <c r="Z455" s="2"/>
    </row>
    <row r="456" spans="1:26" ht="15.75" customHeight="1">
      <c r="A456" s="1"/>
      <c r="B456" s="2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2"/>
      <c r="Z456" s="2"/>
    </row>
    <row r="457" spans="1:26" ht="15.75" customHeight="1">
      <c r="A457" s="1"/>
      <c r="B457" s="2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2"/>
      <c r="Z457" s="2"/>
    </row>
    <row r="458" spans="1:26" ht="15.75" customHeight="1">
      <c r="A458" s="1"/>
      <c r="B458" s="2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2"/>
      <c r="Z458" s="2"/>
    </row>
    <row r="459" spans="1:26" ht="15.75" customHeight="1">
      <c r="A459" s="1"/>
      <c r="B459" s="2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2"/>
      <c r="Z459" s="2"/>
    </row>
    <row r="460" spans="1:26" ht="15.75" customHeight="1">
      <c r="A460" s="1"/>
      <c r="B460" s="2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2"/>
      <c r="Z460" s="2"/>
    </row>
    <row r="461" spans="1:26" ht="15.75" customHeight="1">
      <c r="A461" s="1"/>
      <c r="B461" s="2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2"/>
      <c r="Z461" s="2"/>
    </row>
    <row r="462" spans="1:26" ht="15.75" customHeight="1">
      <c r="A462" s="1"/>
      <c r="B462" s="2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2"/>
      <c r="Z462" s="2"/>
    </row>
    <row r="463" spans="1:26" ht="15.75" customHeight="1">
      <c r="A463" s="1"/>
      <c r="B463" s="2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2"/>
      <c r="Z463" s="2"/>
    </row>
    <row r="464" spans="1:26" ht="15.75" customHeight="1">
      <c r="A464" s="1"/>
      <c r="B464" s="2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2"/>
      <c r="Z464" s="2"/>
    </row>
    <row r="465" spans="1:26" ht="15.75" customHeight="1">
      <c r="A465" s="1"/>
      <c r="B465" s="2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2"/>
      <c r="Z465" s="2"/>
    </row>
    <row r="466" spans="1:26" ht="15.75" customHeight="1">
      <c r="A466" s="1"/>
      <c r="B466" s="2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2"/>
      <c r="Z466" s="2"/>
    </row>
    <row r="467" spans="1:26" ht="15.75" customHeight="1">
      <c r="A467" s="1"/>
      <c r="B467" s="2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2"/>
      <c r="Z467" s="2"/>
    </row>
    <row r="468" spans="1:26" ht="15.75" customHeight="1">
      <c r="A468" s="1"/>
      <c r="B468" s="2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2"/>
      <c r="Z468" s="2"/>
    </row>
    <row r="469" spans="1:26" ht="15.75" customHeight="1">
      <c r="A469" s="1"/>
      <c r="B469" s="2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2"/>
      <c r="Z469" s="2"/>
    </row>
    <row r="470" spans="1:26" ht="15.75" customHeight="1">
      <c r="A470" s="1"/>
      <c r="B470" s="2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2"/>
      <c r="Z470" s="2"/>
    </row>
    <row r="471" spans="1:26" ht="15.75" customHeight="1">
      <c r="A471" s="1"/>
      <c r="B471" s="2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2"/>
      <c r="Z471" s="2"/>
    </row>
    <row r="472" spans="1:26" ht="15.75" customHeight="1">
      <c r="A472" s="1"/>
      <c r="B472" s="2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2"/>
      <c r="Z472" s="2"/>
    </row>
    <row r="473" spans="1:26" ht="15.75" customHeight="1">
      <c r="A473" s="1"/>
      <c r="B473" s="2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2"/>
      <c r="Z473" s="2"/>
    </row>
    <row r="474" spans="1:26" ht="15.75" customHeight="1">
      <c r="A474" s="1"/>
      <c r="B474" s="2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2"/>
      <c r="Z474" s="2"/>
    </row>
    <row r="475" spans="1:26" ht="15.75" customHeight="1">
      <c r="A475" s="1"/>
      <c r="B475" s="2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2"/>
      <c r="Z475" s="2"/>
    </row>
    <row r="476" spans="1:26" ht="15.75" customHeight="1">
      <c r="A476" s="1"/>
      <c r="B476" s="2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2"/>
      <c r="Z476" s="2"/>
    </row>
    <row r="477" spans="1:26" ht="15.75" customHeight="1">
      <c r="A477" s="1"/>
      <c r="B477" s="2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2"/>
      <c r="Z477" s="2"/>
    </row>
    <row r="478" spans="1:26" ht="15.75" customHeight="1">
      <c r="A478" s="1"/>
      <c r="B478" s="2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2"/>
      <c r="Z478" s="2"/>
    </row>
    <row r="479" spans="1:26" ht="15.75" customHeight="1">
      <c r="A479" s="1"/>
      <c r="B479" s="2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2"/>
      <c r="Z479" s="2"/>
    </row>
    <row r="480" spans="1:26" ht="15.75" customHeight="1">
      <c r="A480" s="1"/>
      <c r="B480" s="2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2"/>
      <c r="Z480" s="2"/>
    </row>
    <row r="481" spans="1:26" ht="15.75" customHeight="1">
      <c r="A481" s="1"/>
      <c r="B481" s="2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2"/>
      <c r="Z481" s="2"/>
    </row>
    <row r="482" spans="1:26" ht="15.75" customHeight="1">
      <c r="A482" s="1"/>
      <c r="B482" s="2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2"/>
      <c r="Z482" s="2"/>
    </row>
    <row r="483" spans="1:26" ht="15.75" customHeight="1">
      <c r="A483" s="1"/>
      <c r="B483" s="2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2"/>
      <c r="Z483" s="2"/>
    </row>
    <row r="484" spans="1:26" ht="15.75" customHeight="1">
      <c r="A484" s="1"/>
      <c r="B484" s="2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2"/>
      <c r="Z484" s="2"/>
    </row>
    <row r="485" spans="1:26" ht="15.75" customHeight="1">
      <c r="A485" s="1"/>
      <c r="B485" s="2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2"/>
      <c r="Z485" s="2"/>
    </row>
    <row r="486" spans="1:26" ht="15.75" customHeight="1">
      <c r="A486" s="1"/>
      <c r="B486" s="2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2"/>
      <c r="Z486" s="2"/>
    </row>
    <row r="487" spans="1:26" ht="15.75" customHeight="1">
      <c r="A487" s="1"/>
      <c r="B487" s="2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2"/>
      <c r="Z487" s="2"/>
    </row>
    <row r="488" spans="1:26" ht="15.75" customHeight="1">
      <c r="A488" s="1"/>
      <c r="B488" s="2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2"/>
      <c r="Z488" s="2"/>
    </row>
    <row r="489" spans="1:26" ht="15.75" customHeight="1">
      <c r="A489" s="1"/>
      <c r="B489" s="2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2"/>
      <c r="Z489" s="2"/>
    </row>
    <row r="490" spans="1:26" ht="15.75" customHeight="1">
      <c r="A490" s="1"/>
      <c r="B490" s="2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2"/>
      <c r="Z490" s="2"/>
    </row>
    <row r="491" spans="1:26" ht="15.75" customHeight="1">
      <c r="A491" s="1"/>
      <c r="B491" s="2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2"/>
      <c r="Z491" s="2"/>
    </row>
    <row r="492" spans="1:26" ht="15.75" customHeight="1">
      <c r="A492" s="1"/>
      <c r="B492" s="2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2"/>
      <c r="Z492" s="2"/>
    </row>
    <row r="493" spans="1:26" ht="15.75" customHeight="1">
      <c r="A493" s="1"/>
      <c r="B493" s="2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2"/>
      <c r="Z493" s="2"/>
    </row>
    <row r="494" spans="1:26" ht="15.75" customHeight="1">
      <c r="A494" s="1"/>
      <c r="B494" s="2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2"/>
      <c r="Z494" s="2"/>
    </row>
    <row r="495" spans="1:26" ht="15.75" customHeight="1">
      <c r="A495" s="1"/>
      <c r="B495" s="2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2"/>
      <c r="Z495" s="2"/>
    </row>
    <row r="496" spans="1:26" ht="15.75" customHeight="1">
      <c r="A496" s="1"/>
      <c r="B496" s="2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2"/>
      <c r="Z496" s="2"/>
    </row>
    <row r="497" spans="1:26" ht="15.75" customHeight="1">
      <c r="A497" s="1"/>
      <c r="B497" s="2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2"/>
      <c r="Z497" s="2"/>
    </row>
    <row r="498" spans="1:26" ht="15.75" customHeight="1">
      <c r="A498" s="1"/>
      <c r="B498" s="2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2"/>
      <c r="Z498" s="2"/>
    </row>
    <row r="499" spans="1:26" ht="15.75" customHeight="1">
      <c r="A499" s="1"/>
      <c r="B499" s="2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2"/>
      <c r="Z499" s="2"/>
    </row>
    <row r="500" spans="1:26" ht="15.75" customHeight="1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2"/>
      <c r="Z500" s="2"/>
    </row>
    <row r="501" spans="1:26" ht="15.75" customHeight="1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2"/>
      <c r="Z501" s="2"/>
    </row>
    <row r="502" spans="1:26" ht="15.75" customHeight="1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2"/>
      <c r="Z502" s="2"/>
    </row>
    <row r="503" spans="1:26" ht="15.75" customHeight="1">
      <c r="A503" s="1"/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2"/>
      <c r="Z503" s="2"/>
    </row>
    <row r="504" spans="1:26" ht="15.75" customHeight="1">
      <c r="A504" s="1"/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2"/>
      <c r="Z504" s="2"/>
    </row>
    <row r="505" spans="1:26" ht="15.75" customHeight="1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2"/>
      <c r="Z505" s="2"/>
    </row>
    <row r="506" spans="1:26" ht="15.75" customHeight="1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2"/>
      <c r="Z506" s="2"/>
    </row>
    <row r="507" spans="1:26" ht="15.75" customHeight="1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2"/>
      <c r="Z507" s="2"/>
    </row>
    <row r="508" spans="1:26" ht="15.75" customHeight="1">
      <c r="A508" s="1"/>
      <c r="B508" s="2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2"/>
      <c r="Z508" s="2"/>
    </row>
    <row r="509" spans="1:26" ht="15.75" customHeight="1">
      <c r="A509" s="1"/>
      <c r="B509" s="2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2"/>
      <c r="Z509" s="2"/>
    </row>
    <row r="510" spans="1:26" ht="15.75" customHeight="1">
      <c r="A510" s="1"/>
      <c r="B510" s="2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2"/>
      <c r="Z510" s="2"/>
    </row>
    <row r="511" spans="1:26" ht="15.75" customHeight="1">
      <c r="A511" s="1"/>
      <c r="B511" s="2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2"/>
      <c r="Z511" s="2"/>
    </row>
    <row r="512" spans="1:26" ht="15.75" customHeight="1">
      <c r="A512" s="1"/>
      <c r="B512" s="2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2"/>
      <c r="Z512" s="2"/>
    </row>
    <row r="513" spans="1:26" ht="15.75" customHeight="1">
      <c r="A513" s="1"/>
      <c r="B513" s="2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2"/>
      <c r="Z513" s="2"/>
    </row>
    <row r="514" spans="1:26" ht="15.75" customHeight="1">
      <c r="A514" s="1"/>
      <c r="B514" s="2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2"/>
      <c r="Z514" s="2"/>
    </row>
    <row r="515" spans="1:26" ht="15.75" customHeight="1">
      <c r="A515" s="1"/>
      <c r="B515" s="2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2"/>
      <c r="Z515" s="2"/>
    </row>
    <row r="516" spans="1:26" ht="15.75" customHeight="1">
      <c r="A516" s="1"/>
      <c r="B516" s="2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2"/>
      <c r="Z516" s="2"/>
    </row>
    <row r="517" spans="1:26" ht="15.75" customHeight="1">
      <c r="A517" s="1"/>
      <c r="B517" s="2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2"/>
      <c r="Z517" s="2"/>
    </row>
    <row r="518" spans="1:26" ht="15.75" customHeight="1">
      <c r="A518" s="1"/>
      <c r="B518" s="2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2"/>
      <c r="Z518" s="2"/>
    </row>
    <row r="519" spans="1:26" ht="15.75" customHeight="1">
      <c r="A519" s="1"/>
      <c r="B519" s="2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2"/>
      <c r="Z519" s="2"/>
    </row>
    <row r="520" spans="1:26" ht="15.75" customHeight="1">
      <c r="A520" s="1"/>
      <c r="B520" s="2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2"/>
      <c r="Z520" s="2"/>
    </row>
    <row r="521" spans="1:26" ht="15.75" customHeight="1">
      <c r="A521" s="1"/>
      <c r="B521" s="2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2"/>
      <c r="Z521" s="2"/>
    </row>
    <row r="522" spans="1:26" ht="15.75" customHeight="1">
      <c r="A522" s="1"/>
      <c r="B522" s="2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2"/>
      <c r="Z522" s="2"/>
    </row>
    <row r="523" spans="1:26" ht="15.75" customHeight="1">
      <c r="A523" s="1"/>
      <c r="B523" s="2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2"/>
      <c r="Z523" s="2"/>
    </row>
    <row r="524" spans="1:26" ht="15.75" customHeight="1">
      <c r="A524" s="1"/>
      <c r="B524" s="2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2"/>
      <c r="Z524" s="2"/>
    </row>
    <row r="525" spans="1:26" ht="15.75" customHeight="1">
      <c r="A525" s="1"/>
      <c r="B525" s="2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2"/>
      <c r="Z525" s="2"/>
    </row>
    <row r="526" spans="1:26" ht="15.75" customHeight="1">
      <c r="A526" s="1"/>
      <c r="B526" s="2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2"/>
      <c r="Z526" s="2"/>
    </row>
    <row r="527" spans="1:26" ht="15.75" customHeight="1">
      <c r="A527" s="1"/>
      <c r="B527" s="2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2"/>
      <c r="Z527" s="2"/>
    </row>
    <row r="528" spans="1:26" ht="15.75" customHeight="1">
      <c r="A528" s="1"/>
      <c r="B528" s="2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2"/>
      <c r="Z528" s="2"/>
    </row>
    <row r="529" spans="1:26" ht="15.75" customHeight="1">
      <c r="A529" s="1"/>
      <c r="B529" s="2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2"/>
      <c r="Z529" s="2"/>
    </row>
    <row r="530" spans="1:26" ht="15.75" customHeight="1">
      <c r="A530" s="1"/>
      <c r="B530" s="2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2"/>
      <c r="Z530" s="2"/>
    </row>
    <row r="531" spans="1:26" ht="15.75" customHeight="1">
      <c r="A531" s="1"/>
      <c r="B531" s="2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2"/>
      <c r="Z531" s="2"/>
    </row>
    <row r="532" spans="1:26" ht="15.75" customHeight="1">
      <c r="A532" s="1"/>
      <c r="B532" s="2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2"/>
      <c r="Z532" s="2"/>
    </row>
    <row r="533" spans="1:26" ht="15.75" customHeight="1">
      <c r="A533" s="1"/>
      <c r="B533" s="2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2"/>
      <c r="Z533" s="2"/>
    </row>
    <row r="534" spans="1:26" ht="15.75" customHeight="1">
      <c r="A534" s="1"/>
      <c r="B534" s="2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2"/>
      <c r="Z534" s="2"/>
    </row>
    <row r="535" spans="1:26" ht="15.75" customHeight="1">
      <c r="A535" s="1"/>
      <c r="B535" s="2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2"/>
      <c r="Z535" s="2"/>
    </row>
    <row r="536" spans="1:26" ht="15.75" customHeight="1">
      <c r="A536" s="1"/>
      <c r="B536" s="2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2"/>
      <c r="Z536" s="2"/>
    </row>
    <row r="537" spans="1:26" ht="15.75" customHeight="1">
      <c r="A537" s="1"/>
      <c r="B537" s="2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2"/>
      <c r="Z537" s="2"/>
    </row>
    <row r="538" spans="1:26" ht="15.75" customHeight="1">
      <c r="A538" s="1"/>
      <c r="B538" s="2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2"/>
      <c r="Z538" s="2"/>
    </row>
    <row r="539" spans="1:26" ht="15.75" customHeight="1">
      <c r="A539" s="1"/>
      <c r="B539" s="2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2"/>
      <c r="Z539" s="2"/>
    </row>
    <row r="540" spans="1:26" ht="15.75" customHeight="1">
      <c r="A540" s="1"/>
      <c r="B540" s="2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2"/>
      <c r="Z540" s="2"/>
    </row>
    <row r="541" spans="1:26" ht="15.75" customHeight="1">
      <c r="A541" s="1"/>
      <c r="B541" s="2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2"/>
      <c r="Z541" s="2"/>
    </row>
    <row r="542" spans="1:26" ht="15.75" customHeight="1">
      <c r="A542" s="1"/>
      <c r="B542" s="2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2"/>
      <c r="Z542" s="2"/>
    </row>
    <row r="543" spans="1:26" ht="15.75" customHeight="1">
      <c r="A543" s="1"/>
      <c r="B543" s="2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2"/>
      <c r="Z543" s="2"/>
    </row>
    <row r="544" spans="1:26" ht="15.75" customHeight="1">
      <c r="A544" s="1"/>
      <c r="B544" s="2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2"/>
      <c r="Z544" s="2"/>
    </row>
    <row r="545" spans="1:26" ht="15.75" customHeight="1">
      <c r="A545" s="1"/>
      <c r="B545" s="2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2"/>
      <c r="Z545" s="2"/>
    </row>
    <row r="546" spans="1:26" ht="15.75" customHeight="1">
      <c r="A546" s="1"/>
      <c r="B546" s="2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2"/>
      <c r="Z546" s="2"/>
    </row>
    <row r="547" spans="1:26" ht="15.75" customHeight="1">
      <c r="A547" s="1"/>
      <c r="B547" s="2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2"/>
      <c r="Z547" s="2"/>
    </row>
    <row r="548" spans="1:26" ht="15.75" customHeight="1">
      <c r="A548" s="1"/>
      <c r="B548" s="2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2"/>
      <c r="Z548" s="2"/>
    </row>
    <row r="549" spans="1:26" ht="15.75" customHeight="1">
      <c r="A549" s="1"/>
      <c r="B549" s="2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2"/>
      <c r="Z549" s="2"/>
    </row>
    <row r="550" spans="1:26" ht="15.75" customHeight="1">
      <c r="A550" s="1"/>
      <c r="B550" s="2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2"/>
      <c r="Z550" s="2"/>
    </row>
    <row r="551" spans="1:26" ht="15.75" customHeight="1">
      <c r="A551" s="1"/>
      <c r="B551" s="2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2"/>
      <c r="Z551" s="2"/>
    </row>
    <row r="552" spans="1:26" ht="15.75" customHeight="1">
      <c r="A552" s="1"/>
      <c r="B552" s="2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2"/>
      <c r="Z552" s="2"/>
    </row>
    <row r="553" spans="1:26" ht="15.75" customHeight="1">
      <c r="A553" s="1"/>
      <c r="B553" s="2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2"/>
      <c r="Z553" s="2"/>
    </row>
    <row r="554" spans="1:26" ht="15.75" customHeight="1">
      <c r="A554" s="1"/>
      <c r="B554" s="2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2"/>
      <c r="Z554" s="2"/>
    </row>
    <row r="555" spans="1:26" ht="15.75" customHeight="1">
      <c r="A555" s="1"/>
      <c r="B555" s="2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2"/>
      <c r="Z555" s="2"/>
    </row>
    <row r="556" spans="1:26" ht="15.75" customHeight="1">
      <c r="A556" s="1"/>
      <c r="B556" s="2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2"/>
      <c r="Z556" s="2"/>
    </row>
    <row r="557" spans="1:26" ht="15.75" customHeight="1">
      <c r="A557" s="1"/>
      <c r="B557" s="2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2"/>
      <c r="Z557" s="2"/>
    </row>
    <row r="558" spans="1:26" ht="15.75" customHeight="1">
      <c r="A558" s="1"/>
      <c r="B558" s="2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2"/>
      <c r="Z558" s="2"/>
    </row>
    <row r="559" spans="1:26" ht="15.75" customHeight="1">
      <c r="A559" s="1"/>
      <c r="B559" s="2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2"/>
      <c r="Z559" s="2"/>
    </row>
    <row r="560" spans="1:26" ht="15.75" customHeight="1">
      <c r="A560" s="1"/>
      <c r="B560" s="2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2"/>
      <c r="Z560" s="2"/>
    </row>
    <row r="561" spans="1:26" ht="15.75" customHeight="1">
      <c r="A561" s="1"/>
      <c r="B561" s="2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2"/>
      <c r="Z561" s="2"/>
    </row>
    <row r="562" spans="1:26" ht="15.75" customHeight="1">
      <c r="A562" s="1"/>
      <c r="B562" s="2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2"/>
      <c r="Z562" s="2"/>
    </row>
    <row r="563" spans="1:26" ht="15.75" customHeight="1">
      <c r="A563" s="1"/>
      <c r="B563" s="2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2"/>
      <c r="Z563" s="2"/>
    </row>
    <row r="564" spans="1:26" ht="15.75" customHeight="1">
      <c r="A564" s="1"/>
      <c r="B564" s="2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2"/>
      <c r="Z564" s="2"/>
    </row>
    <row r="565" spans="1:26" ht="15.75" customHeight="1">
      <c r="A565" s="1"/>
      <c r="B565" s="2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2"/>
      <c r="Z565" s="2"/>
    </row>
    <row r="566" spans="1:26" ht="15.75" customHeight="1">
      <c r="A566" s="1"/>
      <c r="B566" s="2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2"/>
      <c r="Z566" s="2"/>
    </row>
    <row r="567" spans="1:26" ht="15.75" customHeight="1">
      <c r="A567" s="1"/>
      <c r="B567" s="2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2"/>
      <c r="Z567" s="2"/>
    </row>
    <row r="568" spans="1:26" ht="15.75" customHeight="1">
      <c r="A568" s="1"/>
      <c r="B568" s="2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2"/>
      <c r="Z568" s="2"/>
    </row>
    <row r="569" spans="1:26" ht="15.75" customHeight="1">
      <c r="A569" s="1"/>
      <c r="B569" s="2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2"/>
      <c r="Z569" s="2"/>
    </row>
    <row r="570" spans="1:26" ht="15.75" customHeight="1">
      <c r="A570" s="1"/>
      <c r="B570" s="2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2"/>
      <c r="Z570" s="2"/>
    </row>
    <row r="571" spans="1:26" ht="15.75" customHeight="1">
      <c r="A571" s="1"/>
      <c r="B571" s="2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2"/>
      <c r="Z571" s="2"/>
    </row>
    <row r="572" spans="1:26" ht="15.75" customHeight="1">
      <c r="A572" s="1"/>
      <c r="B572" s="2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2"/>
      <c r="Z572" s="2"/>
    </row>
    <row r="573" spans="1:26" ht="15.75" customHeight="1">
      <c r="A573" s="1"/>
      <c r="B573" s="2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2"/>
      <c r="Z573" s="2"/>
    </row>
    <row r="574" spans="1:26" ht="15.75" customHeight="1">
      <c r="A574" s="1"/>
      <c r="B574" s="2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2"/>
      <c r="Z574" s="2"/>
    </row>
    <row r="575" spans="1:26" ht="15.75" customHeight="1">
      <c r="A575" s="1"/>
      <c r="B575" s="2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2"/>
      <c r="Z575" s="2"/>
    </row>
    <row r="576" spans="1:26" ht="15.75" customHeight="1">
      <c r="A576" s="1"/>
      <c r="B576" s="2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2"/>
      <c r="Z576" s="2"/>
    </row>
    <row r="577" spans="1:26" ht="15.75" customHeight="1">
      <c r="A577" s="1"/>
      <c r="B577" s="2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2"/>
      <c r="Z577" s="2"/>
    </row>
    <row r="578" spans="1:26" ht="15.75" customHeight="1">
      <c r="A578" s="1"/>
      <c r="B578" s="2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2"/>
      <c r="Z578" s="2"/>
    </row>
    <row r="579" spans="1:26" ht="15.75" customHeight="1">
      <c r="A579" s="1"/>
      <c r="B579" s="2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2"/>
      <c r="Z579" s="2"/>
    </row>
    <row r="580" spans="1:26" ht="15.75" customHeight="1">
      <c r="A580" s="1"/>
      <c r="B580" s="2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2"/>
      <c r="Z580" s="2"/>
    </row>
    <row r="581" spans="1:26" ht="15.75" customHeight="1">
      <c r="A581" s="1"/>
      <c r="B581" s="2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2"/>
      <c r="Z581" s="2"/>
    </row>
    <row r="582" spans="1:26" ht="15.75" customHeight="1">
      <c r="A582" s="1"/>
      <c r="B582" s="2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2"/>
      <c r="Z582" s="2"/>
    </row>
    <row r="583" spans="1:26" ht="15.75" customHeight="1">
      <c r="A583" s="1"/>
      <c r="B583" s="2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2"/>
      <c r="Z583" s="2"/>
    </row>
    <row r="584" spans="1:26" ht="15.75" customHeight="1">
      <c r="A584" s="1"/>
      <c r="B584" s="2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2"/>
      <c r="Z584" s="2"/>
    </row>
    <row r="585" spans="1:26" ht="15.75" customHeight="1">
      <c r="A585" s="1"/>
      <c r="B585" s="2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2"/>
      <c r="Z585" s="2"/>
    </row>
    <row r="586" spans="1:26" ht="15.75" customHeight="1">
      <c r="A586" s="1"/>
      <c r="B586" s="2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2"/>
      <c r="Z586" s="2"/>
    </row>
    <row r="587" spans="1:26" ht="15.75" customHeight="1">
      <c r="A587" s="1"/>
      <c r="B587" s="2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2"/>
      <c r="Z587" s="2"/>
    </row>
    <row r="588" spans="1:26" ht="15.75" customHeight="1">
      <c r="A588" s="1"/>
      <c r="B588" s="2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2"/>
      <c r="Z588" s="2"/>
    </row>
    <row r="589" spans="1:26" ht="15.75" customHeight="1">
      <c r="A589" s="1"/>
      <c r="B589" s="2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2"/>
      <c r="Z589" s="2"/>
    </row>
    <row r="590" spans="1:26" ht="15.75" customHeight="1">
      <c r="A590" s="1"/>
      <c r="B590" s="2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2"/>
      <c r="Z590" s="2"/>
    </row>
    <row r="591" spans="1:26" ht="15.75" customHeight="1">
      <c r="A591" s="1"/>
      <c r="B591" s="2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2"/>
      <c r="Z591" s="2"/>
    </row>
    <row r="592" spans="1:26" ht="15.75" customHeight="1">
      <c r="A592" s="1"/>
      <c r="B592" s="2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2"/>
      <c r="Z592" s="2"/>
    </row>
    <row r="593" spans="1:26" ht="15.75" customHeight="1">
      <c r="A593" s="1"/>
      <c r="B593" s="2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2"/>
      <c r="Z593" s="2"/>
    </row>
    <row r="594" spans="1:26" ht="15.75" customHeight="1">
      <c r="A594" s="1"/>
      <c r="B594" s="2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2"/>
      <c r="Z594" s="2"/>
    </row>
    <row r="595" spans="1:26" ht="15.75" customHeight="1">
      <c r="A595" s="1"/>
      <c r="B595" s="2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2"/>
      <c r="Z595" s="2"/>
    </row>
    <row r="596" spans="1:26" ht="15.75" customHeight="1">
      <c r="A596" s="1"/>
      <c r="B596" s="2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2"/>
      <c r="Z596" s="2"/>
    </row>
    <row r="597" spans="1:26" ht="15.75" customHeight="1">
      <c r="A597" s="1"/>
      <c r="B597" s="2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2"/>
      <c r="Z597" s="2"/>
    </row>
    <row r="598" spans="1:26" ht="15.75" customHeight="1">
      <c r="A598" s="1"/>
      <c r="B598" s="2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2"/>
      <c r="Z598" s="2"/>
    </row>
    <row r="599" spans="1:26" ht="15.75" customHeight="1">
      <c r="A599" s="1"/>
      <c r="B599" s="2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2"/>
      <c r="Z599" s="2"/>
    </row>
    <row r="600" spans="1:26" ht="15.75" customHeight="1">
      <c r="A600" s="1"/>
      <c r="B600" s="2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2"/>
      <c r="Z600" s="2"/>
    </row>
    <row r="601" spans="1:26" ht="15.75" customHeight="1">
      <c r="A601" s="1"/>
      <c r="B601" s="2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2"/>
      <c r="Z601" s="2"/>
    </row>
    <row r="602" spans="1:26" ht="15.75" customHeight="1">
      <c r="A602" s="1"/>
      <c r="B602" s="2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2"/>
      <c r="Z602" s="2"/>
    </row>
    <row r="603" spans="1:26" ht="15.75" customHeight="1">
      <c r="A603" s="1"/>
      <c r="B603" s="2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2"/>
      <c r="Z603" s="2"/>
    </row>
    <row r="604" spans="1:26" ht="15.75" customHeight="1">
      <c r="A604" s="1"/>
      <c r="B604" s="2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2"/>
      <c r="Z604" s="2"/>
    </row>
    <row r="605" spans="1:26" ht="15.75" customHeight="1">
      <c r="A605" s="1"/>
      <c r="B605" s="2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2"/>
      <c r="Z605" s="2"/>
    </row>
    <row r="606" spans="1:26" ht="15.75" customHeight="1">
      <c r="A606" s="1"/>
      <c r="B606" s="2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2"/>
      <c r="Z606" s="2"/>
    </row>
    <row r="607" spans="1:26" ht="15.75" customHeight="1">
      <c r="A607" s="1"/>
      <c r="B607" s="2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2"/>
      <c r="Z607" s="2"/>
    </row>
    <row r="608" spans="1:26" ht="15.75" customHeight="1">
      <c r="A608" s="1"/>
      <c r="B608" s="2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2"/>
      <c r="Z608" s="2"/>
    </row>
    <row r="609" spans="1:26" ht="15.75" customHeight="1">
      <c r="A609" s="1"/>
      <c r="B609" s="2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2"/>
      <c r="Z609" s="2"/>
    </row>
    <row r="610" spans="1:26" ht="15.75" customHeight="1">
      <c r="A610" s="1"/>
      <c r="B610" s="2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2"/>
      <c r="Z610" s="2"/>
    </row>
    <row r="611" spans="1:26" ht="15.75" customHeight="1">
      <c r="A611" s="1"/>
      <c r="B611" s="2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2"/>
      <c r="Z611" s="2"/>
    </row>
    <row r="612" spans="1:26" ht="15.75" customHeight="1">
      <c r="A612" s="1"/>
      <c r="B612" s="2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2"/>
      <c r="Z612" s="2"/>
    </row>
    <row r="613" spans="1:26" ht="15.75" customHeight="1">
      <c r="A613" s="1"/>
      <c r="B613" s="2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2"/>
      <c r="Z613" s="2"/>
    </row>
    <row r="614" spans="1:26" ht="15.75" customHeight="1">
      <c r="A614" s="1"/>
      <c r="B614" s="2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2"/>
      <c r="Z614" s="2"/>
    </row>
    <row r="615" spans="1:26" ht="15.75" customHeight="1">
      <c r="A615" s="1"/>
      <c r="B615" s="2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2"/>
      <c r="Z615" s="2"/>
    </row>
    <row r="616" spans="1:26" ht="15.75" customHeight="1">
      <c r="A616" s="1"/>
      <c r="B616" s="2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2"/>
      <c r="Z616" s="2"/>
    </row>
    <row r="617" spans="1:26" ht="15.75" customHeight="1">
      <c r="A617" s="1"/>
      <c r="B617" s="2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2"/>
      <c r="Z617" s="2"/>
    </row>
    <row r="618" spans="1:26" ht="15.75" customHeight="1">
      <c r="A618" s="1"/>
      <c r="B618" s="2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2"/>
      <c r="Z618" s="2"/>
    </row>
    <row r="619" spans="1:26" ht="15.75" customHeight="1">
      <c r="A619" s="1"/>
      <c r="B619" s="2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2"/>
      <c r="Z619" s="2"/>
    </row>
    <row r="620" spans="1:26" ht="15.75" customHeight="1">
      <c r="A620" s="1"/>
      <c r="B620" s="2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2"/>
      <c r="Z620" s="2"/>
    </row>
    <row r="621" spans="1:26" ht="15.75" customHeight="1">
      <c r="A621" s="1"/>
      <c r="B621" s="2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2"/>
      <c r="Z621" s="2"/>
    </row>
    <row r="622" spans="1:26" ht="15.75" customHeight="1">
      <c r="A622" s="1"/>
      <c r="B622" s="2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2"/>
      <c r="Z622" s="2"/>
    </row>
    <row r="623" spans="1:26" ht="15.75" customHeight="1">
      <c r="A623" s="1"/>
      <c r="B623" s="2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2"/>
      <c r="Z623" s="2"/>
    </row>
    <row r="624" spans="1:26" ht="15.75" customHeight="1">
      <c r="A624" s="1"/>
      <c r="B624" s="2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2"/>
      <c r="Z624" s="2"/>
    </row>
    <row r="625" spans="1:26" ht="15.75" customHeight="1">
      <c r="A625" s="1"/>
      <c r="B625" s="2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2"/>
      <c r="Z625" s="2"/>
    </row>
    <row r="626" spans="1:26" ht="15.75" customHeight="1">
      <c r="A626" s="1"/>
      <c r="B626" s="2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2"/>
      <c r="Z626" s="2"/>
    </row>
    <row r="627" spans="1:26" ht="15.75" customHeight="1">
      <c r="A627" s="1"/>
      <c r="B627" s="2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2"/>
      <c r="Z627" s="2"/>
    </row>
    <row r="628" spans="1:26" ht="15.75" customHeight="1">
      <c r="A628" s="1"/>
      <c r="B628" s="2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2"/>
      <c r="Z628" s="2"/>
    </row>
    <row r="629" spans="1:26" ht="15.75" customHeight="1">
      <c r="A629" s="1"/>
      <c r="B629" s="2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2"/>
      <c r="Z629" s="2"/>
    </row>
    <row r="630" spans="1:26" ht="15.75" customHeight="1">
      <c r="A630" s="1"/>
      <c r="B630" s="2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2"/>
      <c r="Z630" s="2"/>
    </row>
    <row r="631" spans="1:26" ht="15.75" customHeight="1">
      <c r="A631" s="1"/>
      <c r="B631" s="2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2"/>
      <c r="Z631" s="2"/>
    </row>
    <row r="632" spans="1:26" ht="15.75" customHeight="1">
      <c r="A632" s="1"/>
      <c r="B632" s="2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2"/>
      <c r="Z632" s="2"/>
    </row>
    <row r="633" spans="1:26" ht="15.75" customHeight="1">
      <c r="A633" s="1"/>
      <c r="B633" s="2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2"/>
      <c r="Z633" s="2"/>
    </row>
    <row r="634" spans="1:26" ht="15.75" customHeight="1">
      <c r="A634" s="1"/>
      <c r="B634" s="2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2"/>
      <c r="Z634" s="2"/>
    </row>
    <row r="635" spans="1:26" ht="15.75" customHeight="1">
      <c r="A635" s="1"/>
      <c r="B635" s="2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2"/>
      <c r="Z635" s="2"/>
    </row>
    <row r="636" spans="1:26" ht="15.75" customHeight="1">
      <c r="A636" s="1"/>
      <c r="B636" s="2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2"/>
      <c r="Z636" s="2"/>
    </row>
    <row r="637" spans="1:26" ht="15.75" customHeight="1">
      <c r="A637" s="1"/>
      <c r="B637" s="2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2"/>
      <c r="Z637" s="2"/>
    </row>
    <row r="638" spans="1:26" ht="15.75" customHeight="1">
      <c r="A638" s="1"/>
      <c r="B638" s="2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2"/>
      <c r="Z638" s="2"/>
    </row>
    <row r="639" spans="1:26" ht="15.75" customHeight="1">
      <c r="A639" s="1"/>
      <c r="B639" s="2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2"/>
      <c r="Z639" s="2"/>
    </row>
    <row r="640" spans="1:26" ht="15.75" customHeight="1">
      <c r="A640" s="1"/>
      <c r="B640" s="2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2"/>
      <c r="Z640" s="2"/>
    </row>
    <row r="641" spans="1:26" ht="15.75" customHeight="1">
      <c r="A641" s="1"/>
      <c r="B641" s="2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2"/>
      <c r="Z641" s="2"/>
    </row>
    <row r="642" spans="1:26" ht="15.75" customHeight="1">
      <c r="A642" s="1"/>
      <c r="B642" s="2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2"/>
      <c r="Z642" s="2"/>
    </row>
    <row r="643" spans="1:26" ht="15.75" customHeight="1">
      <c r="A643" s="1"/>
      <c r="B643" s="2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2"/>
      <c r="Z643" s="2"/>
    </row>
    <row r="644" spans="1:26" ht="15.75" customHeight="1">
      <c r="A644" s="1"/>
      <c r="B644" s="2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2"/>
      <c r="Z644" s="2"/>
    </row>
    <row r="645" spans="1:26" ht="15.75" customHeight="1">
      <c r="A645" s="1"/>
      <c r="B645" s="2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2"/>
      <c r="Z645" s="2"/>
    </row>
    <row r="646" spans="1:26" ht="15.75" customHeight="1">
      <c r="A646" s="1"/>
      <c r="B646" s="2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2"/>
      <c r="Z646" s="2"/>
    </row>
    <row r="647" spans="1:26" ht="15.75" customHeight="1">
      <c r="A647" s="1"/>
      <c r="B647" s="2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2"/>
      <c r="Z647" s="2"/>
    </row>
    <row r="648" spans="1:26" ht="15.75" customHeight="1">
      <c r="A648" s="1"/>
      <c r="B648" s="2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2"/>
      <c r="Z648" s="2"/>
    </row>
    <row r="649" spans="1:26" ht="15.75" customHeight="1">
      <c r="A649" s="1"/>
      <c r="B649" s="2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2"/>
      <c r="Z649" s="2"/>
    </row>
    <row r="650" spans="1:26" ht="15.75" customHeight="1">
      <c r="A650" s="1"/>
      <c r="B650" s="2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2"/>
      <c r="Z650" s="2"/>
    </row>
    <row r="651" spans="1:26" ht="15.75" customHeight="1">
      <c r="A651" s="1"/>
      <c r="B651" s="2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2"/>
      <c r="Z651" s="2"/>
    </row>
    <row r="652" spans="1:26" ht="15.75" customHeight="1">
      <c r="A652" s="1"/>
      <c r="B652" s="2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2"/>
      <c r="Z652" s="2"/>
    </row>
    <row r="653" spans="1:26" ht="15.75" customHeight="1">
      <c r="A653" s="1"/>
      <c r="B653" s="2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2"/>
      <c r="Z653" s="2"/>
    </row>
    <row r="654" spans="1:26" ht="15.75" customHeight="1">
      <c r="A654" s="1"/>
      <c r="B654" s="2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2"/>
      <c r="Z654" s="2"/>
    </row>
    <row r="655" spans="1:26" ht="15.75" customHeight="1">
      <c r="A655" s="1"/>
      <c r="B655" s="2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2"/>
      <c r="Z655" s="2"/>
    </row>
    <row r="656" spans="1:26" ht="15.75" customHeight="1">
      <c r="A656" s="1"/>
      <c r="B656" s="2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2"/>
      <c r="Z656" s="2"/>
    </row>
    <row r="657" spans="1:26" ht="15.75" customHeight="1">
      <c r="A657" s="1"/>
      <c r="B657" s="2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2"/>
      <c r="Z657" s="2"/>
    </row>
    <row r="658" spans="1:26" ht="15.75" customHeight="1">
      <c r="A658" s="1"/>
      <c r="B658" s="2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2"/>
      <c r="Z658" s="2"/>
    </row>
    <row r="659" spans="1:26" ht="15.75" customHeight="1">
      <c r="A659" s="1"/>
      <c r="B659" s="2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2"/>
      <c r="Z659" s="2"/>
    </row>
    <row r="660" spans="1:26" ht="15.75" customHeight="1">
      <c r="A660" s="1"/>
      <c r="B660" s="2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2"/>
      <c r="Z660" s="2"/>
    </row>
    <row r="661" spans="1:26" ht="15.75" customHeight="1">
      <c r="A661" s="1"/>
      <c r="B661" s="2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2"/>
      <c r="Z661" s="2"/>
    </row>
    <row r="662" spans="1:26" ht="15.75" customHeight="1">
      <c r="A662" s="1"/>
      <c r="B662" s="2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2"/>
      <c r="Z662" s="2"/>
    </row>
    <row r="663" spans="1:26" ht="15.75" customHeight="1">
      <c r="A663" s="1"/>
      <c r="B663" s="2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2"/>
      <c r="Z663" s="2"/>
    </row>
    <row r="664" spans="1:26" ht="15.75" customHeight="1">
      <c r="A664" s="1"/>
      <c r="B664" s="2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2"/>
      <c r="Z664" s="2"/>
    </row>
    <row r="665" spans="1:26" ht="15.75" customHeight="1">
      <c r="A665" s="1"/>
      <c r="B665" s="2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2"/>
      <c r="Z665" s="2"/>
    </row>
    <row r="666" spans="1:26" ht="15.75" customHeight="1">
      <c r="A666" s="1"/>
      <c r="B666" s="2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2"/>
      <c r="Z666" s="2"/>
    </row>
    <row r="667" spans="1:26" ht="15.75" customHeight="1">
      <c r="A667" s="1"/>
      <c r="B667" s="2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2"/>
      <c r="Z667" s="2"/>
    </row>
    <row r="668" spans="1:26" ht="15.75" customHeight="1">
      <c r="A668" s="1"/>
      <c r="B668" s="2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2"/>
      <c r="Z668" s="2"/>
    </row>
    <row r="669" spans="1:26" ht="15.75" customHeight="1">
      <c r="A669" s="1"/>
      <c r="B669" s="2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2"/>
      <c r="Z669" s="2"/>
    </row>
    <row r="670" spans="1:26" ht="15.75" customHeight="1">
      <c r="A670" s="1"/>
      <c r="B670" s="2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2"/>
      <c r="Z670" s="2"/>
    </row>
    <row r="671" spans="1:26" ht="15.75" customHeight="1">
      <c r="A671" s="1"/>
      <c r="B671" s="2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2"/>
      <c r="Z671" s="2"/>
    </row>
    <row r="672" spans="1:26" ht="15.75" customHeight="1">
      <c r="A672" s="1"/>
      <c r="B672" s="2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2"/>
      <c r="Z672" s="2"/>
    </row>
    <row r="673" spans="1:26" ht="15.75" customHeight="1">
      <c r="A673" s="1"/>
      <c r="B673" s="2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2"/>
      <c r="Z673" s="2"/>
    </row>
    <row r="674" spans="1:26" ht="15.75" customHeight="1">
      <c r="A674" s="1"/>
      <c r="B674" s="2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2"/>
      <c r="Z674" s="2"/>
    </row>
    <row r="675" spans="1:26" ht="15.75" customHeight="1">
      <c r="A675" s="1"/>
      <c r="B675" s="2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2"/>
      <c r="Z675" s="2"/>
    </row>
    <row r="676" spans="1:26" ht="15.75" customHeight="1">
      <c r="A676" s="1"/>
      <c r="B676" s="2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2"/>
      <c r="Z676" s="2"/>
    </row>
    <row r="677" spans="1:26" ht="15.75" customHeight="1">
      <c r="A677" s="1"/>
      <c r="B677" s="2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2"/>
      <c r="Z677" s="2"/>
    </row>
    <row r="678" spans="1:26" ht="15.75" customHeight="1">
      <c r="A678" s="1"/>
      <c r="B678" s="2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2"/>
      <c r="Z678" s="2"/>
    </row>
    <row r="679" spans="1:26" ht="15.75" customHeight="1">
      <c r="A679" s="1"/>
      <c r="B679" s="2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2"/>
      <c r="Z679" s="2"/>
    </row>
    <row r="680" spans="1:26" ht="15.75" customHeight="1">
      <c r="A680" s="1"/>
      <c r="B680" s="2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2"/>
      <c r="Z680" s="2"/>
    </row>
    <row r="681" spans="1:26" ht="15.75" customHeight="1">
      <c r="A681" s="1"/>
      <c r="B681" s="2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2"/>
      <c r="Z681" s="2"/>
    </row>
    <row r="682" spans="1:26" ht="15.75" customHeight="1">
      <c r="A682" s="1"/>
      <c r="B682" s="2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2"/>
      <c r="Z682" s="2"/>
    </row>
    <row r="683" spans="1:26" ht="15.75" customHeight="1">
      <c r="A683" s="1"/>
      <c r="B683" s="2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2"/>
      <c r="Z683" s="2"/>
    </row>
    <row r="684" spans="1:26" ht="15.75" customHeight="1">
      <c r="A684" s="1"/>
      <c r="B684" s="2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2"/>
      <c r="Z684" s="2"/>
    </row>
    <row r="685" spans="1:26" ht="15.75" customHeight="1">
      <c r="A685" s="1"/>
      <c r="B685" s="2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2"/>
      <c r="Z685" s="2"/>
    </row>
    <row r="686" spans="1:26" ht="15.75" customHeight="1">
      <c r="A686" s="1"/>
      <c r="B686" s="2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2"/>
      <c r="Z686" s="2"/>
    </row>
    <row r="687" spans="1:26" ht="15.75" customHeight="1">
      <c r="A687" s="1"/>
      <c r="B687" s="2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2"/>
      <c r="Z687" s="2"/>
    </row>
    <row r="688" spans="1:26" ht="15.75" customHeight="1">
      <c r="A688" s="1"/>
      <c r="B688" s="2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2"/>
      <c r="Z688" s="2"/>
    </row>
    <row r="689" spans="1:26" ht="15.75" customHeight="1">
      <c r="A689" s="1"/>
      <c r="B689" s="2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2"/>
      <c r="Z689" s="2"/>
    </row>
    <row r="690" spans="1:26" ht="15.75" customHeight="1">
      <c r="A690" s="1"/>
      <c r="B690" s="2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2"/>
      <c r="Z690" s="2"/>
    </row>
    <row r="691" spans="1:26" ht="15.75" customHeight="1">
      <c r="A691" s="1"/>
      <c r="B691" s="2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2"/>
      <c r="Z691" s="2"/>
    </row>
    <row r="692" spans="1:26" ht="15.75" customHeight="1">
      <c r="A692" s="1"/>
      <c r="B692" s="2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2"/>
      <c r="Z692" s="2"/>
    </row>
    <row r="693" spans="1:26" ht="15.75" customHeight="1">
      <c r="A693" s="1"/>
      <c r="B693" s="2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2"/>
      <c r="Z693" s="2"/>
    </row>
    <row r="694" spans="1:26" ht="15.75" customHeight="1">
      <c r="A694" s="1"/>
      <c r="B694" s="2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2"/>
      <c r="Z694" s="2"/>
    </row>
    <row r="695" spans="1:26" ht="15.75" customHeight="1">
      <c r="A695" s="1"/>
      <c r="B695" s="2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2"/>
      <c r="Z695" s="2"/>
    </row>
    <row r="696" spans="1:26" ht="15.75" customHeight="1">
      <c r="A696" s="1"/>
      <c r="B696" s="2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2"/>
      <c r="Z696" s="2"/>
    </row>
    <row r="697" spans="1:26" ht="15.75" customHeight="1">
      <c r="A697" s="1"/>
      <c r="B697" s="2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2"/>
      <c r="Z697" s="2"/>
    </row>
    <row r="698" spans="1:26" ht="15.75" customHeight="1">
      <c r="A698" s="1"/>
      <c r="B698" s="2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2"/>
      <c r="Z698" s="2"/>
    </row>
    <row r="699" spans="1:26" ht="15.75" customHeight="1">
      <c r="A699" s="1"/>
      <c r="B699" s="2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2"/>
      <c r="Z699" s="2"/>
    </row>
    <row r="700" spans="1:26" ht="15.75" customHeight="1">
      <c r="A700" s="1"/>
      <c r="B700" s="2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2"/>
      <c r="Z700" s="2"/>
    </row>
    <row r="701" spans="1:26" ht="15.75" customHeight="1">
      <c r="A701" s="1"/>
      <c r="B701" s="2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2"/>
      <c r="Z701" s="2"/>
    </row>
    <row r="702" spans="1:26" ht="15.75" customHeight="1">
      <c r="A702" s="1"/>
      <c r="B702" s="2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2"/>
      <c r="Z702" s="2"/>
    </row>
    <row r="703" spans="1:26" ht="15.75" customHeight="1">
      <c r="A703" s="1"/>
      <c r="B703" s="2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2"/>
      <c r="Z703" s="2"/>
    </row>
    <row r="704" spans="1:26" ht="15.75" customHeight="1">
      <c r="A704" s="1"/>
      <c r="B704" s="2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2"/>
      <c r="Z704" s="2"/>
    </row>
    <row r="705" spans="1:26" ht="15.75" customHeight="1">
      <c r="A705" s="1"/>
      <c r="B705" s="2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2"/>
      <c r="Z705" s="2"/>
    </row>
    <row r="706" spans="1:26" ht="15.75" customHeight="1">
      <c r="A706" s="1"/>
      <c r="B706" s="2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2"/>
      <c r="Z706" s="2"/>
    </row>
    <row r="707" spans="1:26" ht="15.75" customHeight="1">
      <c r="A707" s="1"/>
      <c r="B707" s="2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2"/>
      <c r="Z707" s="2"/>
    </row>
    <row r="708" spans="1:26" ht="15.75" customHeight="1">
      <c r="A708" s="1"/>
      <c r="B708" s="2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2"/>
      <c r="Z708" s="2"/>
    </row>
    <row r="709" spans="1:26" ht="15.75" customHeight="1">
      <c r="A709" s="1"/>
      <c r="B709" s="2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2"/>
      <c r="Z709" s="2"/>
    </row>
    <row r="710" spans="1:26" ht="15.75" customHeight="1">
      <c r="A710" s="1"/>
      <c r="B710" s="2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2"/>
      <c r="Z710" s="2"/>
    </row>
    <row r="711" spans="1:26" ht="15.75" customHeight="1">
      <c r="A711" s="1"/>
      <c r="B711" s="2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2"/>
      <c r="Z711" s="2"/>
    </row>
    <row r="712" spans="1:26" ht="15.75" customHeight="1">
      <c r="A712" s="1"/>
      <c r="B712" s="2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2"/>
      <c r="Z712" s="2"/>
    </row>
    <row r="713" spans="1:26" ht="15.75" customHeight="1">
      <c r="A713" s="1"/>
      <c r="B713" s="2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2"/>
      <c r="Z713" s="2"/>
    </row>
    <row r="714" spans="1:26" ht="15.75" customHeight="1">
      <c r="A714" s="1"/>
      <c r="B714" s="2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2"/>
      <c r="Z714" s="2"/>
    </row>
    <row r="715" spans="1:26" ht="15.75" customHeight="1">
      <c r="A715" s="1"/>
      <c r="B715" s="2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2"/>
      <c r="Z715" s="2"/>
    </row>
    <row r="716" spans="1:26" ht="15.75" customHeight="1">
      <c r="A716" s="1"/>
      <c r="B716" s="2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2"/>
      <c r="Z716" s="2"/>
    </row>
    <row r="717" spans="1:26" ht="15.75" customHeight="1">
      <c r="A717" s="1"/>
      <c r="B717" s="2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2"/>
      <c r="Z717" s="2"/>
    </row>
    <row r="718" spans="1:26" ht="15.75" customHeight="1">
      <c r="A718" s="1"/>
      <c r="B718" s="2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2"/>
      <c r="Z718" s="2"/>
    </row>
    <row r="719" spans="1:26" ht="15.75" customHeight="1">
      <c r="A719" s="1"/>
      <c r="B719" s="2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2"/>
      <c r="Z719" s="2"/>
    </row>
    <row r="720" spans="1:26" ht="15.75" customHeight="1">
      <c r="A720" s="1"/>
      <c r="B720" s="2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2"/>
      <c r="Z720" s="2"/>
    </row>
    <row r="721" spans="1:26" ht="15.75" customHeight="1">
      <c r="A721" s="1"/>
      <c r="B721" s="2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2"/>
      <c r="Z721" s="2"/>
    </row>
    <row r="722" spans="1:26" ht="15.75" customHeight="1">
      <c r="A722" s="1"/>
      <c r="B722" s="2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2"/>
      <c r="Z722" s="2"/>
    </row>
    <row r="723" spans="1:26" ht="15.75" customHeight="1">
      <c r="A723" s="1"/>
      <c r="B723" s="2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2"/>
      <c r="Z723" s="2"/>
    </row>
    <row r="724" spans="1:26" ht="15.75" customHeight="1">
      <c r="A724" s="1"/>
      <c r="B724" s="2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2"/>
      <c r="Z724" s="2"/>
    </row>
    <row r="725" spans="1:26" ht="15.75" customHeight="1">
      <c r="A725" s="1"/>
      <c r="B725" s="2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2"/>
      <c r="Z725" s="2"/>
    </row>
    <row r="726" spans="1:26" ht="15.75" customHeight="1">
      <c r="A726" s="1"/>
      <c r="B726" s="2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2"/>
      <c r="Z726" s="2"/>
    </row>
    <row r="727" spans="1:26" ht="15.75" customHeight="1">
      <c r="A727" s="1"/>
      <c r="B727" s="2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2"/>
      <c r="Z727" s="2"/>
    </row>
    <row r="728" spans="1:26" ht="15.75" customHeight="1">
      <c r="A728" s="1"/>
      <c r="B728" s="2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2"/>
      <c r="Z728" s="2"/>
    </row>
    <row r="729" spans="1:26" ht="15.75" customHeight="1">
      <c r="A729" s="1"/>
      <c r="B729" s="2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2"/>
      <c r="Z729" s="2"/>
    </row>
    <row r="730" spans="1:26" ht="15.75" customHeight="1">
      <c r="A730" s="1"/>
      <c r="B730" s="2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2"/>
      <c r="Z730" s="2"/>
    </row>
    <row r="731" spans="1:26" ht="15.75" customHeight="1">
      <c r="A731" s="1"/>
      <c r="B731" s="2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2"/>
      <c r="Z731" s="2"/>
    </row>
    <row r="732" spans="1:26" ht="15.75" customHeight="1">
      <c r="A732" s="1"/>
      <c r="B732" s="2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2"/>
      <c r="Z732" s="2"/>
    </row>
    <row r="733" spans="1:26" ht="15.75" customHeight="1">
      <c r="A733" s="1"/>
      <c r="B733" s="2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2"/>
      <c r="Z733" s="2"/>
    </row>
    <row r="734" spans="1:26" ht="15.75" customHeight="1">
      <c r="A734" s="1"/>
      <c r="B734" s="2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2"/>
      <c r="Z734" s="2"/>
    </row>
    <row r="735" spans="1:26" ht="15.75" customHeight="1">
      <c r="A735" s="1"/>
      <c r="B735" s="2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2"/>
      <c r="Z735" s="2"/>
    </row>
    <row r="736" spans="1:26" ht="15.75" customHeight="1">
      <c r="A736" s="1"/>
      <c r="B736" s="2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2"/>
      <c r="Z736" s="2"/>
    </row>
    <row r="737" spans="1:26" ht="15.75" customHeight="1">
      <c r="A737" s="1"/>
      <c r="B737" s="2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2"/>
      <c r="Z737" s="2"/>
    </row>
    <row r="738" spans="1:26" ht="15.75" customHeight="1">
      <c r="A738" s="1"/>
      <c r="B738" s="2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2"/>
      <c r="Z738" s="2"/>
    </row>
    <row r="739" spans="1:26" ht="15.75" customHeight="1">
      <c r="A739" s="1"/>
      <c r="B739" s="2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2"/>
      <c r="Z739" s="2"/>
    </row>
    <row r="740" spans="1:26" ht="15.75" customHeight="1">
      <c r="A740" s="1"/>
      <c r="B740" s="2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2"/>
      <c r="Z740" s="2"/>
    </row>
    <row r="741" spans="1:26" ht="15.75" customHeight="1">
      <c r="A741" s="1"/>
      <c r="B741" s="2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2"/>
      <c r="Z741" s="2"/>
    </row>
    <row r="742" spans="1:26" ht="15.75" customHeight="1">
      <c r="A742" s="1"/>
      <c r="B742" s="2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2"/>
      <c r="Z742" s="2"/>
    </row>
    <row r="743" spans="1:26" ht="15.75" customHeight="1">
      <c r="A743" s="1"/>
      <c r="B743" s="2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2"/>
      <c r="Z743" s="2"/>
    </row>
    <row r="744" spans="1:26" ht="15.75" customHeight="1">
      <c r="A744" s="1"/>
      <c r="B744" s="2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2"/>
      <c r="Z744" s="2"/>
    </row>
    <row r="745" spans="1:26" ht="15.75" customHeight="1">
      <c r="A745" s="1"/>
      <c r="B745" s="2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2"/>
      <c r="Z745" s="2"/>
    </row>
    <row r="746" spans="1:26" ht="15.75" customHeight="1">
      <c r="A746" s="1"/>
      <c r="B746" s="2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2"/>
      <c r="Z746" s="2"/>
    </row>
    <row r="747" spans="1:26" ht="15.75" customHeight="1">
      <c r="A747" s="1"/>
      <c r="B747" s="2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2"/>
      <c r="Z747" s="2"/>
    </row>
    <row r="748" spans="1:26" ht="15.75" customHeight="1">
      <c r="A748" s="1"/>
      <c r="B748" s="2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2"/>
      <c r="Z748" s="2"/>
    </row>
    <row r="749" spans="1:26" ht="15.75" customHeight="1">
      <c r="A749" s="1"/>
      <c r="B749" s="2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2"/>
      <c r="Z749" s="2"/>
    </row>
    <row r="750" spans="1:26" ht="15.75" customHeight="1">
      <c r="A750" s="1"/>
      <c r="B750" s="2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2"/>
      <c r="Z750" s="2"/>
    </row>
    <row r="751" spans="1:26" ht="15.75" customHeight="1">
      <c r="A751" s="1"/>
      <c r="B751" s="2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2"/>
      <c r="Z751" s="2"/>
    </row>
    <row r="752" spans="1:26" ht="15.75" customHeight="1">
      <c r="A752" s="1"/>
      <c r="B752" s="2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2"/>
      <c r="Z752" s="2"/>
    </row>
    <row r="753" spans="1:26" ht="15.75" customHeight="1">
      <c r="A753" s="1"/>
      <c r="B753" s="2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2"/>
      <c r="Z753" s="2"/>
    </row>
    <row r="754" spans="1:26" ht="15.75" customHeight="1">
      <c r="A754" s="1"/>
      <c r="B754" s="2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2"/>
      <c r="Z754" s="2"/>
    </row>
    <row r="755" spans="1:26" ht="15.75" customHeight="1">
      <c r="A755" s="1"/>
      <c r="B755" s="2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2"/>
      <c r="Z755" s="2"/>
    </row>
    <row r="756" spans="1:26" ht="15.75" customHeight="1">
      <c r="A756" s="1"/>
      <c r="B756" s="2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2"/>
      <c r="Z756" s="2"/>
    </row>
    <row r="757" spans="1:26" ht="15.75" customHeight="1">
      <c r="A757" s="1"/>
      <c r="B757" s="2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2"/>
      <c r="Z757" s="2"/>
    </row>
    <row r="758" spans="1:26" ht="15.75" customHeight="1">
      <c r="A758" s="1"/>
      <c r="B758" s="2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2"/>
      <c r="Z758" s="2"/>
    </row>
    <row r="759" spans="1:26" ht="15.75" customHeight="1">
      <c r="A759" s="1"/>
      <c r="B759" s="2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2"/>
      <c r="Z759" s="2"/>
    </row>
    <row r="760" spans="1:26" ht="15.75" customHeight="1">
      <c r="A760" s="1"/>
      <c r="B760" s="2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2"/>
      <c r="Z760" s="2"/>
    </row>
    <row r="761" spans="1:26" ht="15.75" customHeight="1">
      <c r="A761" s="1"/>
      <c r="B761" s="2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2"/>
      <c r="Z761" s="2"/>
    </row>
    <row r="762" spans="1:26" ht="15.75" customHeight="1">
      <c r="A762" s="1"/>
      <c r="B762" s="2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2"/>
      <c r="Z762" s="2"/>
    </row>
    <row r="763" spans="1:26" ht="15.75" customHeight="1">
      <c r="A763" s="1"/>
      <c r="B763" s="2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2"/>
      <c r="Z763" s="2"/>
    </row>
    <row r="764" spans="1:26" ht="15.75" customHeight="1">
      <c r="A764" s="1"/>
      <c r="B764" s="2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2"/>
      <c r="Z764" s="2"/>
    </row>
    <row r="765" spans="1:26" ht="15.75" customHeight="1">
      <c r="A765" s="1"/>
      <c r="B765" s="2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2"/>
      <c r="Z765" s="2"/>
    </row>
    <row r="766" spans="1:26" ht="15.75" customHeight="1">
      <c r="A766" s="1"/>
      <c r="B766" s="2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2"/>
      <c r="Z766" s="2"/>
    </row>
    <row r="767" spans="1:26" ht="15.75" customHeight="1">
      <c r="A767" s="1"/>
      <c r="B767" s="2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2"/>
      <c r="Z767" s="2"/>
    </row>
    <row r="768" spans="1:26" ht="15.75" customHeight="1">
      <c r="A768" s="1"/>
      <c r="B768" s="2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2"/>
      <c r="Z768" s="2"/>
    </row>
    <row r="769" spans="1:26" ht="15.75" customHeight="1">
      <c r="A769" s="1"/>
      <c r="B769" s="2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2"/>
      <c r="Z769" s="2"/>
    </row>
    <row r="770" spans="1:26" ht="15.75" customHeight="1">
      <c r="A770" s="1"/>
      <c r="B770" s="2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2"/>
      <c r="Z770" s="2"/>
    </row>
    <row r="771" spans="1:26" ht="15.75" customHeight="1">
      <c r="A771" s="1"/>
      <c r="B771" s="2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2"/>
      <c r="Z771" s="2"/>
    </row>
    <row r="772" spans="1:26" ht="15.75" customHeight="1">
      <c r="A772" s="1"/>
      <c r="B772" s="2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2"/>
      <c r="Z772" s="2"/>
    </row>
    <row r="773" spans="1:26" ht="15.75" customHeight="1">
      <c r="A773" s="1"/>
      <c r="B773" s="2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2"/>
      <c r="Z773" s="2"/>
    </row>
    <row r="774" spans="1:26" ht="15.75" customHeight="1">
      <c r="A774" s="1"/>
      <c r="B774" s="2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2"/>
      <c r="Z774" s="2"/>
    </row>
    <row r="775" spans="1:26" ht="15.75" customHeight="1">
      <c r="A775" s="1"/>
      <c r="B775" s="2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2"/>
      <c r="Z775" s="2"/>
    </row>
    <row r="776" spans="1:26" ht="15.75" customHeight="1">
      <c r="A776" s="1"/>
      <c r="B776" s="2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2"/>
      <c r="Z776" s="2"/>
    </row>
    <row r="777" spans="1:26" ht="15.75" customHeight="1">
      <c r="A777" s="1"/>
      <c r="B777" s="2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2"/>
      <c r="Z777" s="2"/>
    </row>
    <row r="778" spans="1:26" ht="15.75" customHeight="1">
      <c r="A778" s="1"/>
      <c r="B778" s="2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2"/>
      <c r="Z778" s="2"/>
    </row>
    <row r="779" spans="1:26" ht="15.75" customHeight="1">
      <c r="A779" s="1"/>
      <c r="B779" s="2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2"/>
      <c r="Z779" s="2"/>
    </row>
    <row r="780" spans="1:26" ht="15.75" customHeight="1">
      <c r="A780" s="1"/>
      <c r="B780" s="2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2"/>
      <c r="Z780" s="2"/>
    </row>
    <row r="781" spans="1:26" ht="15.75" customHeight="1">
      <c r="A781" s="1"/>
      <c r="B781" s="2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2"/>
      <c r="Z781" s="2"/>
    </row>
    <row r="782" spans="1:26" ht="15.75" customHeight="1">
      <c r="A782" s="1"/>
      <c r="B782" s="2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2"/>
      <c r="Z782" s="2"/>
    </row>
    <row r="783" spans="1:26" ht="15.75" customHeight="1">
      <c r="A783" s="1"/>
      <c r="B783" s="2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2"/>
      <c r="Z783" s="2"/>
    </row>
    <row r="784" spans="1:26" ht="15.75" customHeight="1">
      <c r="A784" s="1"/>
      <c r="B784" s="2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2"/>
      <c r="Z784" s="2"/>
    </row>
    <row r="785" spans="1:26" ht="15.75" customHeight="1">
      <c r="A785" s="1"/>
      <c r="B785" s="2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2"/>
      <c r="Z785" s="2"/>
    </row>
    <row r="786" spans="1:26" ht="15.75" customHeight="1">
      <c r="A786" s="1"/>
      <c r="B786" s="2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2"/>
      <c r="Z786" s="2"/>
    </row>
    <row r="787" spans="1:26" ht="15.75" customHeight="1">
      <c r="A787" s="1"/>
      <c r="B787" s="2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2"/>
      <c r="Z787" s="2"/>
    </row>
    <row r="788" spans="1:26" ht="15.75" customHeight="1">
      <c r="A788" s="1"/>
      <c r="B788" s="2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2"/>
      <c r="Z788" s="2"/>
    </row>
    <row r="789" spans="1:26" ht="15.75" customHeight="1">
      <c r="A789" s="1"/>
      <c r="B789" s="2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2"/>
      <c r="Z789" s="2"/>
    </row>
    <row r="790" spans="1:26" ht="15.75" customHeight="1">
      <c r="A790" s="1"/>
      <c r="B790" s="2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2"/>
      <c r="Z790" s="2"/>
    </row>
    <row r="791" spans="1:26" ht="15.75" customHeight="1">
      <c r="A791" s="1"/>
      <c r="B791" s="2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2"/>
      <c r="Z791" s="2"/>
    </row>
    <row r="792" spans="1:26" ht="15.75" customHeight="1">
      <c r="A792" s="1"/>
      <c r="B792" s="2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2"/>
      <c r="Z792" s="2"/>
    </row>
    <row r="793" spans="1:26" ht="15.75" customHeight="1">
      <c r="A793" s="1"/>
      <c r="B793" s="2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2"/>
      <c r="Z793" s="2"/>
    </row>
    <row r="794" spans="1:26" ht="15.75" customHeight="1">
      <c r="A794" s="1"/>
      <c r="B794" s="2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2"/>
      <c r="Z794" s="2"/>
    </row>
    <row r="795" spans="1:26" ht="15.75" customHeight="1">
      <c r="A795" s="1"/>
      <c r="B795" s="2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2"/>
      <c r="Z795" s="2"/>
    </row>
    <row r="796" spans="1:26" ht="15.75" customHeight="1">
      <c r="A796" s="1"/>
      <c r="B796" s="2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2"/>
      <c r="Z796" s="2"/>
    </row>
    <row r="797" spans="1:26" ht="15.75" customHeight="1">
      <c r="A797" s="1"/>
      <c r="B797" s="2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2"/>
      <c r="Z797" s="2"/>
    </row>
    <row r="798" spans="1:26" ht="15.75" customHeight="1">
      <c r="A798" s="1"/>
      <c r="B798" s="2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2"/>
      <c r="Z798" s="2"/>
    </row>
    <row r="799" spans="1:26" ht="15.75" customHeight="1">
      <c r="A799" s="1"/>
      <c r="B799" s="2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2"/>
      <c r="Z799" s="2"/>
    </row>
    <row r="800" spans="1:26" ht="15.75" customHeight="1">
      <c r="A800" s="1"/>
      <c r="B800" s="2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2"/>
      <c r="Z800" s="2"/>
    </row>
    <row r="801" spans="1:26" ht="15.75" customHeight="1">
      <c r="A801" s="1"/>
      <c r="B801" s="2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2"/>
      <c r="Z801" s="2"/>
    </row>
    <row r="802" spans="1:26" ht="15.75" customHeight="1">
      <c r="A802" s="1"/>
      <c r="B802" s="2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2"/>
      <c r="Z802" s="2"/>
    </row>
    <row r="803" spans="1:26" ht="15.75" customHeight="1">
      <c r="A803" s="1"/>
      <c r="B803" s="2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2"/>
      <c r="Z803" s="2"/>
    </row>
    <row r="804" spans="1:26" ht="15.75" customHeight="1">
      <c r="A804" s="1"/>
      <c r="B804" s="2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2"/>
      <c r="Z804" s="2"/>
    </row>
    <row r="805" spans="1:26" ht="15.75" customHeight="1">
      <c r="A805" s="1"/>
      <c r="B805" s="2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2"/>
      <c r="Z805" s="2"/>
    </row>
    <row r="806" spans="1:26" ht="15.75" customHeight="1">
      <c r="A806" s="1"/>
      <c r="B806" s="2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2"/>
      <c r="Z806" s="2"/>
    </row>
    <row r="807" spans="1:26" ht="15.75" customHeight="1">
      <c r="A807" s="1"/>
      <c r="B807" s="2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2"/>
      <c r="Z807" s="2"/>
    </row>
    <row r="808" spans="1:26" ht="15.75" customHeight="1">
      <c r="A808" s="1"/>
      <c r="B808" s="2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2"/>
      <c r="Z808" s="2"/>
    </row>
    <row r="809" spans="1:26" ht="15.75" customHeight="1">
      <c r="A809" s="1"/>
      <c r="B809" s="2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2"/>
      <c r="Z809" s="2"/>
    </row>
    <row r="810" spans="1:26" ht="15.75" customHeight="1">
      <c r="A810" s="1"/>
      <c r="B810" s="2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2"/>
      <c r="Z810" s="2"/>
    </row>
    <row r="811" spans="1:26" ht="15.75" customHeight="1">
      <c r="A811" s="1"/>
      <c r="B811" s="2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2"/>
      <c r="Z811" s="2"/>
    </row>
    <row r="812" spans="1:26" ht="15.75" customHeight="1">
      <c r="A812" s="1"/>
      <c r="B812" s="2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2"/>
      <c r="Z812" s="2"/>
    </row>
    <row r="813" spans="1:26" ht="15.75" customHeight="1">
      <c r="A813" s="1"/>
      <c r="B813" s="2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2"/>
      <c r="Z813" s="2"/>
    </row>
    <row r="814" spans="1:26" ht="15.75" customHeight="1">
      <c r="A814" s="1"/>
      <c r="B814" s="2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2"/>
      <c r="Z814" s="2"/>
    </row>
    <row r="815" spans="1:26" ht="15.75" customHeight="1">
      <c r="A815" s="1"/>
      <c r="B815" s="2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2"/>
      <c r="Z815" s="2"/>
    </row>
    <row r="816" spans="1:26" ht="15.75" customHeight="1">
      <c r="A816" s="1"/>
      <c r="B816" s="2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2"/>
      <c r="Z816" s="2"/>
    </row>
    <row r="817" spans="1:26" ht="15.75" customHeight="1">
      <c r="A817" s="1"/>
      <c r="B817" s="2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2"/>
      <c r="Z817" s="2"/>
    </row>
    <row r="818" spans="1:26" ht="15.75" customHeight="1">
      <c r="A818" s="1"/>
      <c r="B818" s="2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2"/>
      <c r="Z818" s="2"/>
    </row>
    <row r="819" spans="1:26" ht="15.75" customHeight="1">
      <c r="A819" s="1"/>
      <c r="B819" s="2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2"/>
      <c r="Z819" s="2"/>
    </row>
    <row r="820" spans="1:26" ht="15.75" customHeight="1">
      <c r="A820" s="1"/>
      <c r="B820" s="2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2"/>
      <c r="Z820" s="2"/>
    </row>
    <row r="821" spans="1:26" ht="15.75" customHeight="1">
      <c r="A821" s="1"/>
      <c r="B821" s="2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2"/>
      <c r="Z821" s="2"/>
    </row>
    <row r="822" spans="1:26" ht="15.75" customHeight="1">
      <c r="A822" s="1"/>
      <c r="B822" s="2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2"/>
      <c r="Z822" s="2"/>
    </row>
    <row r="823" spans="1:26" ht="15.75" customHeight="1">
      <c r="A823" s="1"/>
      <c r="B823" s="2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2"/>
      <c r="Z823" s="2"/>
    </row>
    <row r="824" spans="1:26" ht="15.75" customHeight="1">
      <c r="A824" s="1"/>
      <c r="B824" s="2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2"/>
      <c r="Z824" s="2"/>
    </row>
    <row r="825" spans="1:26" ht="15.75" customHeight="1">
      <c r="A825" s="1"/>
      <c r="B825" s="2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2"/>
      <c r="Z825" s="2"/>
    </row>
    <row r="826" spans="1:26" ht="15.75" customHeight="1">
      <c r="A826" s="1"/>
      <c r="B826" s="2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2"/>
      <c r="Z826" s="2"/>
    </row>
    <row r="827" spans="1:26" ht="15.75" customHeight="1">
      <c r="A827" s="1"/>
      <c r="B827" s="2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2"/>
      <c r="Z827" s="2"/>
    </row>
    <row r="828" spans="1:26" ht="15.75" customHeight="1">
      <c r="A828" s="1"/>
      <c r="B828" s="2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2"/>
      <c r="Z828" s="2"/>
    </row>
    <row r="829" spans="1:26" ht="15.75" customHeight="1">
      <c r="A829" s="1"/>
      <c r="B829" s="2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2"/>
      <c r="Z829" s="2"/>
    </row>
    <row r="830" spans="1:26" ht="15.75" customHeight="1">
      <c r="A830" s="1"/>
      <c r="B830" s="2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2"/>
      <c r="Z830" s="2"/>
    </row>
    <row r="831" spans="1:26" ht="15.75" customHeight="1">
      <c r="A831" s="1"/>
      <c r="B831" s="2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2"/>
      <c r="Z831" s="2"/>
    </row>
    <row r="832" spans="1:26" ht="15.75" customHeight="1">
      <c r="A832" s="1"/>
      <c r="B832" s="2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2"/>
      <c r="Z832" s="2"/>
    </row>
    <row r="833" spans="1:26" ht="15.75" customHeight="1">
      <c r="A833" s="1"/>
      <c r="B833" s="2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2"/>
      <c r="Z833" s="2"/>
    </row>
    <row r="834" spans="1:26" ht="15.75" customHeight="1">
      <c r="A834" s="1"/>
      <c r="B834" s="2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2"/>
      <c r="Z834" s="2"/>
    </row>
    <row r="835" spans="1:26" ht="15.75" customHeight="1">
      <c r="A835" s="1"/>
      <c r="B835" s="2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2"/>
      <c r="Z835" s="2"/>
    </row>
    <row r="836" spans="1:26" ht="15.75" customHeight="1">
      <c r="A836" s="1"/>
      <c r="B836" s="2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2"/>
      <c r="Z836" s="2"/>
    </row>
    <row r="837" spans="1:26" ht="15.75" customHeight="1">
      <c r="A837" s="1"/>
      <c r="B837" s="2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2"/>
      <c r="Z837" s="2"/>
    </row>
    <row r="838" spans="1:26" ht="15.75" customHeight="1">
      <c r="A838" s="1"/>
      <c r="B838" s="2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2"/>
      <c r="Z838" s="2"/>
    </row>
    <row r="839" spans="1:26" ht="15.75" customHeight="1">
      <c r="A839" s="1"/>
      <c r="B839" s="2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2"/>
      <c r="Z839" s="2"/>
    </row>
    <row r="840" spans="1:26" ht="15.75" customHeight="1">
      <c r="A840" s="1"/>
      <c r="B840" s="2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2"/>
      <c r="Z840" s="2"/>
    </row>
    <row r="841" spans="1:26" ht="15.75" customHeight="1">
      <c r="A841" s="1"/>
      <c r="B841" s="2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2"/>
      <c r="Z841" s="2"/>
    </row>
    <row r="842" spans="1:26" ht="15.75" customHeight="1">
      <c r="A842" s="1"/>
      <c r="B842" s="2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2"/>
      <c r="Z842" s="2"/>
    </row>
    <row r="843" spans="1:26" ht="15.75" customHeight="1">
      <c r="A843" s="1"/>
      <c r="B843" s="2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2"/>
      <c r="Z843" s="2"/>
    </row>
    <row r="844" spans="1:26" ht="15.75" customHeight="1">
      <c r="A844" s="1"/>
      <c r="B844" s="2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2"/>
      <c r="Z844" s="2"/>
    </row>
    <row r="845" spans="1:26" ht="15.75" customHeight="1">
      <c r="A845" s="1"/>
      <c r="B845" s="2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2"/>
      <c r="Z845" s="2"/>
    </row>
    <row r="846" spans="1:26" ht="15.75" customHeight="1">
      <c r="A846" s="1"/>
      <c r="B846" s="2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2"/>
      <c r="Z846" s="2"/>
    </row>
    <row r="847" spans="1:26" ht="15.75" customHeight="1">
      <c r="A847" s="1"/>
      <c r="B847" s="2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2"/>
      <c r="Z847" s="2"/>
    </row>
    <row r="848" spans="1:26" ht="15.75" customHeight="1">
      <c r="A848" s="1"/>
      <c r="B848" s="2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2"/>
      <c r="Z848" s="2"/>
    </row>
    <row r="849" spans="1:26" ht="15.75" customHeight="1">
      <c r="A849" s="1"/>
      <c r="B849" s="2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2"/>
      <c r="Z849" s="2"/>
    </row>
    <row r="850" spans="1:26" ht="15.75" customHeight="1">
      <c r="A850" s="1"/>
      <c r="B850" s="2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2"/>
      <c r="Z850" s="2"/>
    </row>
    <row r="851" spans="1:26" ht="15.75" customHeight="1">
      <c r="A851" s="1"/>
      <c r="B851" s="2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2"/>
      <c r="Z851" s="2"/>
    </row>
    <row r="852" spans="1:26" ht="15.75" customHeight="1">
      <c r="A852" s="1"/>
      <c r="B852" s="2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2"/>
      <c r="Z852" s="2"/>
    </row>
    <row r="853" spans="1:26" ht="15.75" customHeight="1">
      <c r="A853" s="1"/>
      <c r="B853" s="2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2"/>
      <c r="Z853" s="2"/>
    </row>
    <row r="854" spans="1:26" ht="15.75" customHeight="1">
      <c r="A854" s="1"/>
      <c r="B854" s="2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2"/>
      <c r="Z854" s="2"/>
    </row>
    <row r="855" spans="1:26" ht="15.75" customHeight="1">
      <c r="A855" s="1"/>
      <c r="B855" s="2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2"/>
      <c r="Z855" s="2"/>
    </row>
    <row r="856" spans="1:26" ht="15.75" customHeight="1">
      <c r="A856" s="1"/>
      <c r="B856" s="2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2"/>
      <c r="Z856" s="2"/>
    </row>
    <row r="857" spans="1:26" ht="15.75" customHeight="1">
      <c r="A857" s="1"/>
      <c r="B857" s="2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2"/>
      <c r="Z857" s="2"/>
    </row>
    <row r="858" spans="1:26" ht="15.75" customHeight="1">
      <c r="A858" s="1"/>
      <c r="B858" s="2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2"/>
      <c r="Z858" s="2"/>
    </row>
    <row r="859" spans="1:26" ht="15.75" customHeight="1">
      <c r="A859" s="1"/>
      <c r="B859" s="2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2"/>
      <c r="Z859" s="2"/>
    </row>
    <row r="860" spans="1:26" ht="15.75" customHeight="1">
      <c r="A860" s="1"/>
      <c r="B860" s="2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2"/>
      <c r="Z860" s="2"/>
    </row>
    <row r="861" spans="1:26" ht="15.75" customHeight="1">
      <c r="A861" s="1"/>
      <c r="B861" s="2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2"/>
      <c r="Z861" s="2"/>
    </row>
    <row r="862" spans="1:26" ht="15.75" customHeight="1">
      <c r="A862" s="1"/>
      <c r="B862" s="2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2"/>
      <c r="Z862" s="2"/>
    </row>
    <row r="863" spans="1:26" ht="15.75" customHeight="1">
      <c r="A863" s="1"/>
      <c r="B863" s="2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2"/>
      <c r="Z863" s="2"/>
    </row>
    <row r="864" spans="1:26" ht="15.75" customHeight="1">
      <c r="A864" s="1"/>
      <c r="B864" s="2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2"/>
      <c r="Z864" s="2"/>
    </row>
    <row r="865" spans="1:26" ht="15.75" customHeight="1">
      <c r="A865" s="1"/>
      <c r="B865" s="2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2"/>
      <c r="Z865" s="2"/>
    </row>
    <row r="866" spans="1:26" ht="15.75" customHeight="1">
      <c r="A866" s="1"/>
      <c r="B866" s="2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2"/>
      <c r="Z866" s="2"/>
    </row>
    <row r="867" spans="1:26" ht="15.75" customHeight="1">
      <c r="A867" s="1"/>
      <c r="B867" s="2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2"/>
      <c r="Z867" s="2"/>
    </row>
    <row r="868" spans="1:26" ht="15.75" customHeight="1">
      <c r="A868" s="1"/>
      <c r="B868" s="2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2"/>
      <c r="Z868" s="2"/>
    </row>
    <row r="869" spans="1:26" ht="15.75" customHeight="1">
      <c r="A869" s="1"/>
      <c r="B869" s="2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2"/>
      <c r="Z869" s="2"/>
    </row>
    <row r="870" spans="1:26" ht="15.75" customHeight="1">
      <c r="A870" s="1"/>
      <c r="B870" s="2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2"/>
      <c r="Z870" s="2"/>
    </row>
    <row r="871" spans="1:26" ht="15.75" customHeight="1">
      <c r="A871" s="1"/>
      <c r="B871" s="2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2"/>
      <c r="Z871" s="2"/>
    </row>
    <row r="872" spans="1:26" ht="15.75" customHeight="1">
      <c r="A872" s="1"/>
      <c r="B872" s="2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2"/>
      <c r="Z872" s="2"/>
    </row>
    <row r="873" spans="1:26" ht="15.75" customHeight="1">
      <c r="A873" s="1"/>
      <c r="B873" s="2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2"/>
      <c r="Z873" s="2"/>
    </row>
    <row r="874" spans="1:26" ht="15.75" customHeight="1">
      <c r="A874" s="1"/>
      <c r="B874" s="2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2"/>
      <c r="Z874" s="2"/>
    </row>
    <row r="875" spans="1:26" ht="15.75" customHeight="1">
      <c r="A875" s="1"/>
      <c r="B875" s="2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2"/>
      <c r="Z875" s="2"/>
    </row>
    <row r="876" spans="1:26" ht="15.75" customHeight="1">
      <c r="A876" s="1"/>
      <c r="B876" s="2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2"/>
      <c r="Z876" s="2"/>
    </row>
    <row r="877" spans="1:26" ht="15.75" customHeight="1">
      <c r="A877" s="1"/>
      <c r="B877" s="2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2"/>
      <c r="Z877" s="2"/>
    </row>
    <row r="878" spans="1:26" ht="15.75" customHeight="1">
      <c r="A878" s="1"/>
      <c r="B878" s="2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2"/>
      <c r="Z878" s="2"/>
    </row>
    <row r="879" spans="1:26" ht="15.75" customHeight="1">
      <c r="A879" s="1"/>
      <c r="B879" s="2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2"/>
      <c r="Z879" s="2"/>
    </row>
    <row r="880" spans="1:26" ht="15.75" customHeight="1">
      <c r="A880" s="1"/>
      <c r="B880" s="2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2"/>
      <c r="Z880" s="2"/>
    </row>
    <row r="881" spans="1:26" ht="15.75" customHeight="1">
      <c r="A881" s="1"/>
      <c r="B881" s="2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2"/>
      <c r="Z881" s="2"/>
    </row>
    <row r="882" spans="1:26" ht="15.75" customHeight="1">
      <c r="A882" s="1"/>
      <c r="B882" s="2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2"/>
      <c r="Z882" s="2"/>
    </row>
    <row r="883" spans="1:26" ht="15.75" customHeight="1">
      <c r="A883" s="1"/>
      <c r="B883" s="2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2"/>
      <c r="Z883" s="2"/>
    </row>
    <row r="884" spans="1:26" ht="15.75" customHeight="1">
      <c r="A884" s="1"/>
      <c r="B884" s="2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2"/>
      <c r="Z884" s="2"/>
    </row>
    <row r="885" spans="1:26" ht="15.75" customHeight="1">
      <c r="A885" s="1"/>
      <c r="B885" s="2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2"/>
      <c r="Z885" s="2"/>
    </row>
    <row r="886" spans="1:26" ht="15.75" customHeight="1">
      <c r="A886" s="1"/>
      <c r="B886" s="2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2"/>
      <c r="Z886" s="2"/>
    </row>
    <row r="887" spans="1:26" ht="15.75" customHeight="1">
      <c r="A887" s="1"/>
      <c r="B887" s="2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2"/>
      <c r="Z887" s="2"/>
    </row>
    <row r="888" spans="1:26" ht="15.75" customHeight="1">
      <c r="A888" s="1"/>
      <c r="B888" s="2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2"/>
      <c r="Z888" s="2"/>
    </row>
    <row r="889" spans="1:26" ht="15.75" customHeight="1">
      <c r="A889" s="1"/>
      <c r="B889" s="2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2"/>
      <c r="Z889" s="2"/>
    </row>
    <row r="890" spans="1:26" ht="15.75" customHeight="1">
      <c r="A890" s="1"/>
      <c r="B890" s="2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2"/>
      <c r="Z890" s="2"/>
    </row>
    <row r="891" spans="1:26" ht="15.75" customHeight="1">
      <c r="A891" s="1"/>
      <c r="B891" s="2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2"/>
      <c r="Z891" s="2"/>
    </row>
    <row r="892" spans="1:26" ht="15.75" customHeight="1">
      <c r="A892" s="1"/>
      <c r="B892" s="2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2"/>
      <c r="Z892" s="2"/>
    </row>
    <row r="893" spans="1:26" ht="15.75" customHeight="1">
      <c r="A893" s="1"/>
      <c r="B893" s="2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2"/>
      <c r="Z893" s="2"/>
    </row>
    <row r="894" spans="1:26" ht="15.75" customHeight="1">
      <c r="A894" s="1"/>
      <c r="B894" s="2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2"/>
      <c r="Z894" s="2"/>
    </row>
    <row r="895" spans="1:26" ht="15.75" customHeight="1">
      <c r="A895" s="1"/>
      <c r="B895" s="2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2"/>
      <c r="Z895" s="2"/>
    </row>
    <row r="896" spans="1:26" ht="15.75" customHeight="1">
      <c r="A896" s="1"/>
      <c r="B896" s="2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2"/>
      <c r="Z896" s="2"/>
    </row>
    <row r="897" spans="1:26" ht="15.75" customHeight="1">
      <c r="A897" s="1"/>
      <c r="B897" s="2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2"/>
      <c r="Z897" s="2"/>
    </row>
    <row r="898" spans="1:26" ht="15.75" customHeight="1">
      <c r="A898" s="1"/>
      <c r="B898" s="2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2"/>
      <c r="Z898" s="2"/>
    </row>
    <row r="899" spans="1:26" ht="15.75" customHeight="1">
      <c r="A899" s="1"/>
      <c r="B899" s="2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2"/>
      <c r="Z899" s="2"/>
    </row>
    <row r="900" spans="1:26" ht="15.75" customHeight="1">
      <c r="A900" s="1"/>
      <c r="B900" s="2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2"/>
      <c r="Z900" s="2"/>
    </row>
    <row r="901" spans="1:26" ht="15.75" customHeight="1">
      <c r="A901" s="1"/>
      <c r="B901" s="2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2"/>
      <c r="Z901" s="2"/>
    </row>
    <row r="902" spans="1:26" ht="15.75" customHeight="1">
      <c r="A902" s="1"/>
      <c r="B902" s="2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2"/>
      <c r="Z902" s="2"/>
    </row>
    <row r="903" spans="1:26" ht="15.75" customHeight="1">
      <c r="A903" s="1"/>
      <c r="B903" s="2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2"/>
      <c r="Z903" s="2"/>
    </row>
    <row r="904" spans="1:26" ht="15.75" customHeight="1">
      <c r="A904" s="1"/>
      <c r="B904" s="2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2"/>
      <c r="Z904" s="2"/>
    </row>
    <row r="905" spans="1:26" ht="15.75" customHeight="1">
      <c r="A905" s="1"/>
      <c r="B905" s="2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2"/>
      <c r="Z905" s="2"/>
    </row>
    <row r="906" spans="1:26" ht="15.75" customHeight="1">
      <c r="A906" s="1"/>
      <c r="B906" s="2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2"/>
      <c r="Z906" s="2"/>
    </row>
    <row r="907" spans="1:26" ht="15.75" customHeight="1">
      <c r="A907" s="1"/>
      <c r="B907" s="2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2"/>
      <c r="Z907" s="2"/>
    </row>
    <row r="908" spans="1:26" ht="15.75" customHeight="1">
      <c r="A908" s="1"/>
      <c r="B908" s="2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2"/>
      <c r="Z908" s="2"/>
    </row>
    <row r="909" spans="1:26" ht="15.75" customHeight="1">
      <c r="A909" s="1"/>
      <c r="B909" s="2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2"/>
      <c r="Z909" s="2"/>
    </row>
    <row r="910" spans="1:26" ht="15.75" customHeight="1">
      <c r="A910" s="1"/>
      <c r="B910" s="2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2"/>
      <c r="Z910" s="2"/>
    </row>
    <row r="911" spans="1:26" ht="15.75" customHeight="1">
      <c r="A911" s="1"/>
      <c r="B911" s="2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2"/>
      <c r="Z911" s="2"/>
    </row>
    <row r="912" spans="1:26" ht="15.75" customHeight="1">
      <c r="A912" s="1"/>
      <c r="B912" s="2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2"/>
      <c r="Z912" s="2"/>
    </row>
    <row r="913" spans="1:26" ht="15.75" customHeight="1">
      <c r="A913" s="1"/>
      <c r="B913" s="2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2"/>
      <c r="Z913" s="2"/>
    </row>
    <row r="914" spans="1:26" ht="15.75" customHeight="1">
      <c r="A914" s="1"/>
      <c r="B914" s="2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2"/>
      <c r="Z914" s="2"/>
    </row>
    <row r="915" spans="1:26" ht="15.75" customHeight="1">
      <c r="A915" s="1"/>
      <c r="B915" s="2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2"/>
      <c r="Z915" s="2"/>
    </row>
    <row r="916" spans="1:26" ht="15.75" customHeight="1">
      <c r="A916" s="1"/>
      <c r="B916" s="2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2"/>
      <c r="Z916" s="2"/>
    </row>
    <row r="917" spans="1:26" ht="15.75" customHeight="1">
      <c r="A917" s="1"/>
      <c r="B917" s="2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2"/>
      <c r="Z917" s="2"/>
    </row>
    <row r="918" spans="1:26" ht="15.75" customHeight="1">
      <c r="A918" s="1"/>
      <c r="B918" s="2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2"/>
      <c r="Z918" s="2"/>
    </row>
    <row r="919" spans="1:26" ht="15.75" customHeight="1">
      <c r="A919" s="1"/>
      <c r="B919" s="2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2"/>
      <c r="Z919" s="2"/>
    </row>
    <row r="920" spans="1:26" ht="15.75" customHeight="1">
      <c r="A920" s="1"/>
      <c r="B920" s="2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2"/>
      <c r="Z920" s="2"/>
    </row>
    <row r="921" spans="1:26" ht="15.75" customHeight="1">
      <c r="A921" s="1"/>
      <c r="B921" s="2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2"/>
      <c r="Z921" s="2"/>
    </row>
    <row r="922" spans="1:26" ht="15.75" customHeight="1">
      <c r="A922" s="1"/>
      <c r="B922" s="2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2"/>
      <c r="Z922" s="2"/>
    </row>
    <row r="923" spans="1:26" ht="15.75" customHeight="1">
      <c r="A923" s="1"/>
      <c r="B923" s="2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2"/>
      <c r="Z923" s="2"/>
    </row>
    <row r="924" spans="1:26" ht="15.75" customHeight="1">
      <c r="A924" s="1"/>
      <c r="B924" s="2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2"/>
      <c r="Z924" s="2"/>
    </row>
    <row r="925" spans="1:26" ht="15.75" customHeight="1">
      <c r="A925" s="1"/>
      <c r="B925" s="2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2"/>
      <c r="Z925" s="2"/>
    </row>
    <row r="926" spans="1:26" ht="15.75" customHeight="1">
      <c r="A926" s="1"/>
      <c r="B926" s="2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2"/>
      <c r="Z926" s="2"/>
    </row>
    <row r="927" spans="1:26" ht="15.75" customHeight="1">
      <c r="A927" s="1"/>
      <c r="B927" s="2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2"/>
      <c r="Z927" s="2"/>
    </row>
    <row r="928" spans="1:26" ht="15.75" customHeight="1">
      <c r="A928" s="1"/>
      <c r="B928" s="2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2"/>
      <c r="Z928" s="2"/>
    </row>
    <row r="929" spans="1:26" ht="15.75" customHeight="1">
      <c r="A929" s="1"/>
      <c r="B929" s="2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2"/>
      <c r="Z929" s="2"/>
    </row>
    <row r="930" spans="1:26" ht="15.75" customHeight="1">
      <c r="A930" s="1"/>
      <c r="B930" s="2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2"/>
      <c r="Z930" s="2"/>
    </row>
    <row r="931" spans="1:26" ht="15.75" customHeight="1">
      <c r="A931" s="1"/>
      <c r="B931" s="2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2"/>
      <c r="Z931" s="2"/>
    </row>
    <row r="932" spans="1:26" ht="15.75" customHeight="1">
      <c r="A932" s="1"/>
      <c r="B932" s="2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2"/>
      <c r="Z932" s="2"/>
    </row>
    <row r="933" spans="1:26" ht="15.75" customHeight="1">
      <c r="A933" s="1"/>
      <c r="B933" s="2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2"/>
      <c r="Z933" s="2"/>
    </row>
    <row r="934" spans="1:26" ht="15.75" customHeight="1">
      <c r="A934" s="1"/>
      <c r="B934" s="2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2"/>
      <c r="Z934" s="2"/>
    </row>
    <row r="935" spans="1:26" ht="15.75" customHeight="1">
      <c r="A935" s="1"/>
      <c r="B935" s="2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2"/>
      <c r="Z935" s="2"/>
    </row>
    <row r="936" spans="1:26" ht="15.75" customHeight="1">
      <c r="A936" s="1"/>
      <c r="B936" s="2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2"/>
      <c r="Z936" s="2"/>
    </row>
    <row r="937" spans="1:26" ht="15.75" customHeight="1">
      <c r="A937" s="1"/>
      <c r="B937" s="2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2"/>
      <c r="Z937" s="2"/>
    </row>
    <row r="938" spans="1:26" ht="15.75" customHeight="1">
      <c r="A938" s="1"/>
      <c r="B938" s="2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2"/>
      <c r="Z938" s="2"/>
    </row>
    <row r="939" spans="1:26" ht="15.75" customHeight="1">
      <c r="A939" s="1"/>
      <c r="B939" s="2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2"/>
      <c r="Z939" s="2"/>
    </row>
    <row r="940" spans="1:26" ht="15.75" customHeight="1">
      <c r="A940" s="1"/>
      <c r="B940" s="2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2"/>
      <c r="Z940" s="2"/>
    </row>
    <row r="941" spans="1:26" ht="15.75" customHeight="1">
      <c r="A941" s="1"/>
      <c r="B941" s="2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2"/>
      <c r="Z941" s="2"/>
    </row>
    <row r="942" spans="1:26" ht="15.75" customHeight="1">
      <c r="A942" s="1"/>
      <c r="B942" s="2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2"/>
      <c r="Z942" s="2"/>
    </row>
    <row r="943" spans="1:26" ht="15.75" customHeight="1">
      <c r="A943" s="1"/>
      <c r="B943" s="2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2"/>
      <c r="Z943" s="2"/>
    </row>
    <row r="944" spans="1:26" ht="15.75" customHeight="1">
      <c r="A944" s="1"/>
      <c r="B944" s="2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2"/>
      <c r="Z944" s="2"/>
    </row>
    <row r="945" spans="1:26" ht="15.75" customHeight="1">
      <c r="A945" s="1"/>
      <c r="B945" s="2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2"/>
      <c r="Z945" s="2"/>
    </row>
    <row r="946" spans="1:26" ht="15.75" customHeight="1">
      <c r="A946" s="1"/>
      <c r="B946" s="2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2"/>
      <c r="Z946" s="2"/>
    </row>
    <row r="947" spans="1:26" ht="15.75" customHeight="1">
      <c r="A947" s="1"/>
      <c r="B947" s="2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2"/>
      <c r="Z947" s="2"/>
    </row>
    <row r="948" spans="1:26" ht="15.75" customHeight="1">
      <c r="A948" s="1"/>
      <c r="B948" s="2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2"/>
      <c r="Z948" s="2"/>
    </row>
    <row r="949" spans="1:26" ht="15.75" customHeight="1">
      <c r="A949" s="1"/>
      <c r="B949" s="2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2"/>
      <c r="Z949" s="2"/>
    </row>
    <row r="950" spans="1:26" ht="15.75" customHeight="1">
      <c r="A950" s="1"/>
      <c r="B950" s="2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2"/>
      <c r="Z950" s="2"/>
    </row>
    <row r="951" spans="1:26" ht="15.75" customHeight="1">
      <c r="A951" s="1"/>
      <c r="B951" s="2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2"/>
      <c r="Z951" s="2"/>
    </row>
    <row r="952" spans="1:26" ht="15.75" customHeight="1">
      <c r="A952" s="1"/>
      <c r="B952" s="2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2"/>
      <c r="Z952" s="2"/>
    </row>
    <row r="953" spans="1:26" ht="15.75" customHeight="1">
      <c r="A953" s="1"/>
      <c r="B953" s="2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2"/>
      <c r="Z953" s="2"/>
    </row>
    <row r="954" spans="1:26" ht="15.75" customHeight="1">
      <c r="A954" s="1"/>
      <c r="B954" s="2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2"/>
      <c r="Z954" s="2"/>
    </row>
    <row r="955" spans="1:26" ht="15.75" customHeight="1">
      <c r="A955" s="1"/>
      <c r="B955" s="2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2"/>
      <c r="Z955" s="2"/>
    </row>
    <row r="956" spans="1:26" ht="15.75" customHeight="1">
      <c r="A956" s="1"/>
      <c r="B956" s="2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2"/>
      <c r="Z956" s="2"/>
    </row>
    <row r="957" spans="1:26" ht="15.75" customHeight="1">
      <c r="A957" s="1"/>
      <c r="B957" s="2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2"/>
      <c r="Z957" s="2"/>
    </row>
    <row r="958" spans="1:26" ht="15.75" customHeight="1">
      <c r="A958" s="1"/>
      <c r="B958" s="2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2"/>
      <c r="Z958" s="2"/>
    </row>
    <row r="959" spans="1:26" ht="15.75" customHeight="1">
      <c r="A959" s="1"/>
      <c r="B959" s="2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2"/>
      <c r="Z959" s="2"/>
    </row>
    <row r="960" spans="1:26" ht="15.75" customHeight="1">
      <c r="A960" s="1"/>
      <c r="B960" s="2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2"/>
      <c r="Z960" s="2"/>
    </row>
    <row r="961" spans="1:26" ht="15.75" customHeight="1">
      <c r="A961" s="1"/>
      <c r="B961" s="2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2"/>
      <c r="Z961" s="2"/>
    </row>
    <row r="962" spans="1:26" ht="15.75" customHeight="1">
      <c r="A962" s="1"/>
      <c r="B962" s="2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2"/>
      <c r="Z962" s="2"/>
    </row>
    <row r="963" spans="1:26" ht="15.75" customHeight="1">
      <c r="A963" s="1"/>
      <c r="B963" s="2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2"/>
      <c r="Z963" s="2"/>
    </row>
    <row r="964" spans="1:26" ht="15.75" customHeight="1">
      <c r="A964" s="1"/>
      <c r="B964" s="2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2"/>
      <c r="Z964" s="2"/>
    </row>
    <row r="965" spans="1:26" ht="15.75" customHeight="1">
      <c r="A965" s="1"/>
      <c r="B965" s="2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2"/>
      <c r="Z965" s="2"/>
    </row>
    <row r="966" spans="1:26" ht="15.75" customHeight="1">
      <c r="A966" s="1"/>
      <c r="B966" s="2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2"/>
      <c r="Z966" s="2"/>
    </row>
    <row r="967" spans="1:26" ht="15.75" customHeight="1">
      <c r="A967" s="1"/>
      <c r="B967" s="2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2"/>
      <c r="Z967" s="2"/>
    </row>
    <row r="968" spans="1:26" ht="15.75" customHeight="1">
      <c r="A968" s="1"/>
      <c r="B968" s="2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2"/>
      <c r="Z968" s="2"/>
    </row>
    <row r="969" spans="1:26" ht="15.75" customHeight="1">
      <c r="A969" s="1"/>
      <c r="B969" s="2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2"/>
      <c r="Z969" s="2"/>
    </row>
    <row r="970" spans="1:26" ht="15.75" customHeight="1">
      <c r="A970" s="1"/>
      <c r="B970" s="2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2"/>
      <c r="Z970" s="2"/>
    </row>
    <row r="971" spans="1:26" ht="15.75" customHeight="1">
      <c r="A971" s="1"/>
      <c r="B971" s="2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2"/>
      <c r="Z971" s="2"/>
    </row>
    <row r="972" spans="1:26" ht="15.75" customHeight="1">
      <c r="A972" s="1"/>
      <c r="B972" s="2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2"/>
      <c r="Z972" s="2"/>
    </row>
    <row r="973" spans="1:26" ht="15.75" customHeight="1">
      <c r="A973" s="1"/>
      <c r="B973" s="2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2"/>
      <c r="Z973" s="2"/>
    </row>
    <row r="974" spans="1:26" ht="15.75" customHeight="1">
      <c r="A974" s="1"/>
      <c r="B974" s="2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2"/>
      <c r="Z974" s="2"/>
    </row>
    <row r="975" spans="1:26" ht="15.75" customHeight="1">
      <c r="A975" s="1"/>
      <c r="B975" s="2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2"/>
      <c r="Z975" s="2"/>
    </row>
    <row r="976" spans="1:26" ht="15.75" customHeight="1">
      <c r="A976" s="1"/>
      <c r="B976" s="2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2"/>
      <c r="Z976" s="2"/>
    </row>
    <row r="977" spans="1:26" ht="15.75" customHeight="1">
      <c r="A977" s="1"/>
      <c r="B977" s="2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2"/>
      <c r="Z977" s="2"/>
    </row>
    <row r="978" spans="1:26" ht="15.75" customHeight="1">
      <c r="A978" s="1"/>
      <c r="B978" s="2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2"/>
      <c r="Z978" s="2"/>
    </row>
    <row r="979" spans="1:26" ht="15.75" customHeight="1">
      <c r="A979" s="1"/>
      <c r="B979" s="2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2"/>
      <c r="Z979" s="2"/>
    </row>
    <row r="980" spans="1:26" ht="15.75" customHeight="1">
      <c r="A980" s="1"/>
      <c r="B980" s="2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2"/>
      <c r="Z980" s="2"/>
    </row>
    <row r="981" spans="1:26" ht="15.75" customHeight="1">
      <c r="A981" s="1"/>
      <c r="B981" s="2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2"/>
      <c r="Z981" s="2"/>
    </row>
    <row r="982" spans="1:26" ht="15.75" customHeight="1">
      <c r="A982" s="1"/>
      <c r="B982" s="2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2"/>
      <c r="Z982" s="2"/>
    </row>
    <row r="983" spans="1:26" ht="15.75" customHeight="1">
      <c r="A983" s="1"/>
      <c r="B983" s="2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2"/>
      <c r="Z983" s="2"/>
    </row>
    <row r="984" spans="1:26" ht="15.75" customHeight="1">
      <c r="A984" s="1"/>
      <c r="B984" s="2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2"/>
      <c r="Z984" s="2"/>
    </row>
    <row r="985" spans="1:26" ht="15.75" customHeight="1">
      <c r="A985" s="1"/>
      <c r="B985" s="2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2"/>
      <c r="Z985" s="2"/>
    </row>
    <row r="986" spans="1:26" ht="15.75" customHeight="1">
      <c r="A986" s="1"/>
      <c r="B986" s="2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2"/>
      <c r="Z986" s="2"/>
    </row>
    <row r="987" spans="1:26" ht="15.75" customHeight="1">
      <c r="A987" s="1"/>
      <c r="B987" s="2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2"/>
      <c r="Z987" s="2"/>
    </row>
    <row r="988" spans="1:26" ht="15.75" customHeight="1">
      <c r="A988" s="1"/>
      <c r="B988" s="2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2"/>
      <c r="Z988" s="2"/>
    </row>
    <row r="989" spans="1:26" ht="15.75" customHeight="1">
      <c r="A989" s="1"/>
      <c r="B989" s="2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2"/>
      <c r="Z989" s="2"/>
    </row>
    <row r="990" spans="1:26" ht="15.75" customHeight="1">
      <c r="A990" s="1"/>
      <c r="B990" s="2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2"/>
      <c r="Z990" s="2"/>
    </row>
    <row r="991" spans="1:26" ht="15.75" customHeight="1">
      <c r="A991" s="1"/>
      <c r="B991" s="2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2"/>
      <c r="Z991" s="2"/>
    </row>
    <row r="992" spans="1:26" ht="16.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6.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6.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6.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6.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6.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6.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6.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6.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6.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6.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10">
    <mergeCell ref="B23:F23"/>
    <mergeCell ref="E19:E21"/>
    <mergeCell ref="F19:F21"/>
    <mergeCell ref="D2:J2"/>
    <mergeCell ref="D4:F4"/>
    <mergeCell ref="B10:J10"/>
    <mergeCell ref="E13:E16"/>
    <mergeCell ref="F13:F16"/>
    <mergeCell ref="B16:C16"/>
    <mergeCell ref="D19:D21"/>
  </mergeCells>
  <dataValidations count="1">
    <dataValidation type="list" allowBlank="1" showErrorMessage="1" sqref="D6" xr:uid="{00000000-0002-0000-0000-000000000000}">
      <formula1>"Diurno,Nocturno"</formula1>
    </dataValidation>
  </dataValidation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opLeftCell="A46" workbookViewId="0">
      <selection activeCell="E60" sqref="E60"/>
    </sheetView>
  </sheetViews>
  <sheetFormatPr baseColWidth="10" defaultColWidth="8.140625" defaultRowHeight="15" customHeight="1" outlineLevelCol="1"/>
  <cols>
    <col min="1" max="1" width="44.28515625" style="208" bestFit="1" customWidth="1" outlineLevel="1"/>
    <col min="2" max="2" width="11.42578125" style="208" bestFit="1" customWidth="1" outlineLevel="1"/>
    <col min="3" max="3" width="26.28515625" style="208" bestFit="1" customWidth="1" outlineLevel="1"/>
    <col min="4" max="4" width="16.7109375" style="208" bestFit="1" customWidth="1" outlineLevel="1"/>
    <col min="5" max="7" width="14.28515625" style="208" bestFit="1" customWidth="1" outlineLevel="1"/>
    <col min="8" max="8" width="11" style="208" bestFit="1" customWidth="1" outlineLevel="1"/>
    <col min="9" max="9" width="11.5703125" style="208" bestFit="1" customWidth="1"/>
    <col min="10" max="16384" width="8.140625" style="208"/>
  </cols>
  <sheetData>
    <row r="1" spans="1:26">
      <c r="A1" s="205" t="s">
        <v>41</v>
      </c>
      <c r="B1" s="205"/>
      <c r="C1" s="206"/>
      <c r="D1" s="205"/>
      <c r="E1" s="205"/>
      <c r="F1" s="205"/>
      <c r="G1" s="205"/>
      <c r="H1" s="205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</row>
    <row r="2" spans="1:26" ht="24">
      <c r="A2" s="209" t="s">
        <v>42</v>
      </c>
      <c r="B2" s="209" t="s">
        <v>43</v>
      </c>
      <c r="C2" s="209" t="s">
        <v>44</v>
      </c>
      <c r="D2" s="209" t="s">
        <v>45</v>
      </c>
      <c r="E2" s="209" t="s">
        <v>46</v>
      </c>
      <c r="F2" s="210" t="s">
        <v>47</v>
      </c>
      <c r="G2" s="211" t="s">
        <v>48</v>
      </c>
      <c r="H2" s="209" t="s">
        <v>49</v>
      </c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</row>
    <row r="3" spans="1:26">
      <c r="A3" s="212" t="s">
        <v>50</v>
      </c>
      <c r="B3" s="213">
        <v>2000000</v>
      </c>
      <c r="C3" s="213">
        <v>200000</v>
      </c>
      <c r="D3" s="213">
        <v>100000</v>
      </c>
      <c r="E3" s="214">
        <f t="shared" ref="E3:E5" si="0">SUM(B3:D3)</f>
        <v>2300000</v>
      </c>
      <c r="F3" s="215">
        <f>E3/B71</f>
        <v>129577.4647887324</v>
      </c>
      <c r="G3" s="215">
        <f t="shared" ref="G3:G5" si="1">F3/7.2</f>
        <v>17996.870109546166</v>
      </c>
      <c r="H3" s="216">
        <v>45848</v>
      </c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6">
      <c r="A4" s="212" t="s">
        <v>51</v>
      </c>
      <c r="B4" s="213">
        <v>1600000</v>
      </c>
      <c r="C4" s="213">
        <v>200000</v>
      </c>
      <c r="D4" s="213">
        <v>100000</v>
      </c>
      <c r="E4" s="214">
        <f t="shared" si="0"/>
        <v>1900000</v>
      </c>
      <c r="F4" s="215">
        <f>E4/B71</f>
        <v>107042.25352112677</v>
      </c>
      <c r="G4" s="215">
        <f t="shared" si="1"/>
        <v>14866.97965571205</v>
      </c>
      <c r="H4" s="216">
        <v>45848</v>
      </c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</row>
    <row r="5" spans="1:26">
      <c r="A5" s="212" t="s">
        <v>52</v>
      </c>
      <c r="B5" s="213">
        <v>4000000</v>
      </c>
      <c r="C5" s="213">
        <v>200000</v>
      </c>
      <c r="D5" s="213">
        <v>200000</v>
      </c>
      <c r="E5" s="214">
        <f t="shared" si="0"/>
        <v>4400000</v>
      </c>
      <c r="F5" s="215">
        <f>E5/B71</f>
        <v>247887.32394366196</v>
      </c>
      <c r="G5" s="215">
        <f t="shared" si="1"/>
        <v>34428.794992175273</v>
      </c>
      <c r="H5" s="216">
        <v>45848</v>
      </c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</row>
    <row r="6" spans="1:26">
      <c r="A6" s="212"/>
      <c r="B6" s="213"/>
      <c r="C6" s="213"/>
      <c r="D6" s="213"/>
      <c r="E6" s="214"/>
      <c r="F6" s="215"/>
      <c r="G6" s="215"/>
      <c r="H6" s="216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</row>
    <row r="7" spans="1:26">
      <c r="A7" s="217"/>
      <c r="B7" s="217"/>
      <c r="C7" s="217"/>
      <c r="D7" s="21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</row>
    <row r="8" spans="1:26">
      <c r="A8" s="207"/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</row>
    <row r="9" spans="1:26">
      <c r="A9" s="205" t="s">
        <v>53</v>
      </c>
      <c r="B9" s="205"/>
      <c r="C9" s="206"/>
      <c r="D9" s="205"/>
      <c r="E9" s="205"/>
      <c r="F9" s="205"/>
      <c r="G9" s="205"/>
      <c r="H9" s="205"/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</row>
    <row r="10" spans="1:26" ht="24">
      <c r="A10" s="209" t="s">
        <v>54</v>
      </c>
      <c r="B10" s="209" t="s">
        <v>55</v>
      </c>
      <c r="C10" s="209" t="s">
        <v>56</v>
      </c>
      <c r="D10" s="209" t="s">
        <v>57</v>
      </c>
      <c r="E10" s="209" t="s">
        <v>58</v>
      </c>
      <c r="F10" s="211" t="s">
        <v>59</v>
      </c>
      <c r="G10" s="211" t="s">
        <v>48</v>
      </c>
      <c r="H10" s="209" t="s">
        <v>49</v>
      </c>
      <c r="I10" s="207"/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</row>
    <row r="11" spans="1:26">
      <c r="A11" s="212" t="s">
        <v>60</v>
      </c>
      <c r="B11" s="218" t="s">
        <v>61</v>
      </c>
      <c r="C11" s="219" t="s">
        <v>62</v>
      </c>
      <c r="D11" s="219">
        <v>18</v>
      </c>
      <c r="E11" s="213">
        <v>120000</v>
      </c>
      <c r="F11" s="215">
        <f t="shared" ref="F11:F13" si="2">E11/D11</f>
        <v>6666.666666666667</v>
      </c>
      <c r="G11" s="215">
        <f t="shared" ref="G11:G13" si="3">(F11/B$71)/7.2</f>
        <v>52.164840897235258</v>
      </c>
      <c r="H11" s="216">
        <v>45848</v>
      </c>
      <c r="I11" s="207"/>
      <c r="J11" s="207"/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</row>
    <row r="12" spans="1:26">
      <c r="A12" s="212" t="s">
        <v>63</v>
      </c>
      <c r="B12" s="218" t="s">
        <v>61</v>
      </c>
      <c r="C12" s="219" t="s">
        <v>62</v>
      </c>
      <c r="D12" s="219">
        <v>36</v>
      </c>
      <c r="E12" s="213">
        <v>800000</v>
      </c>
      <c r="F12" s="215">
        <f t="shared" si="2"/>
        <v>22222.222222222223</v>
      </c>
      <c r="G12" s="215">
        <f t="shared" si="3"/>
        <v>173.8828029907842</v>
      </c>
      <c r="H12" s="216">
        <v>45848</v>
      </c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</row>
    <row r="13" spans="1:26">
      <c r="A13" s="212" t="s">
        <v>64</v>
      </c>
      <c r="B13" s="218" t="s">
        <v>65</v>
      </c>
      <c r="C13" s="219" t="s">
        <v>62</v>
      </c>
      <c r="D13" s="219">
        <v>18</v>
      </c>
      <c r="E13" s="213">
        <v>150000</v>
      </c>
      <c r="F13" s="215">
        <f t="shared" si="2"/>
        <v>8333.3333333333339</v>
      </c>
      <c r="G13" s="215">
        <f t="shared" si="3"/>
        <v>65.206051121544093</v>
      </c>
      <c r="H13" s="216">
        <v>45848</v>
      </c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</row>
    <row r="14" spans="1:26">
      <c r="A14" s="217"/>
      <c r="B14" s="217"/>
      <c r="C14" s="217"/>
      <c r="D14" s="217"/>
      <c r="E14" s="217"/>
      <c r="F14" s="220">
        <f t="shared" ref="F14:G14" si="4">SUM(F11:F13)</f>
        <v>37222.222222222226</v>
      </c>
      <c r="G14" s="221">
        <f t="shared" si="4"/>
        <v>291.25369500956356</v>
      </c>
      <c r="H14" s="222"/>
      <c r="I14" s="207"/>
      <c r="J14" s="207"/>
      <c r="K14" s="207"/>
      <c r="L14" s="207"/>
      <c r="M14" s="207"/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</row>
    <row r="15" spans="1:26">
      <c r="A15" s="207"/>
      <c r="B15" s="207"/>
      <c r="C15" s="207"/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</row>
    <row r="16" spans="1:26">
      <c r="A16" s="205" t="s">
        <v>66</v>
      </c>
      <c r="B16" s="205"/>
      <c r="C16" s="205"/>
      <c r="D16" s="205"/>
      <c r="E16" s="205"/>
      <c r="F16" s="223"/>
      <c r="G16" s="223"/>
      <c r="H16" s="223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</row>
    <row r="17" spans="1:26" ht="24">
      <c r="A17" s="209" t="s">
        <v>67</v>
      </c>
      <c r="B17" s="209" t="s">
        <v>55</v>
      </c>
      <c r="C17" s="209" t="s">
        <v>57</v>
      </c>
      <c r="D17" s="209" t="s">
        <v>68</v>
      </c>
      <c r="E17" s="209" t="s">
        <v>58</v>
      </c>
      <c r="F17" s="211" t="s">
        <v>59</v>
      </c>
      <c r="G17" s="211" t="s">
        <v>48</v>
      </c>
      <c r="H17" s="209" t="s">
        <v>49</v>
      </c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</row>
    <row r="18" spans="1:26" ht="15.75">
      <c r="A18" s="224" t="s">
        <v>69</v>
      </c>
      <c r="B18" s="225" t="s">
        <v>70</v>
      </c>
      <c r="C18" s="226">
        <v>1</v>
      </c>
      <c r="D18" s="226">
        <v>1</v>
      </c>
      <c r="E18" s="227">
        <v>20000</v>
      </c>
      <c r="F18" s="215">
        <f t="shared" ref="F18:F28" si="5">E18/C18*D18</f>
        <v>20000</v>
      </c>
      <c r="G18" s="215">
        <f t="shared" ref="G18:G25" si="6">(F18/B$71)/7.2</f>
        <v>156.49452269170578</v>
      </c>
      <c r="H18" s="216">
        <v>45848</v>
      </c>
      <c r="I18" s="207"/>
      <c r="J18" s="207"/>
      <c r="K18" s="207"/>
      <c r="L18" s="207"/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</row>
    <row r="19" spans="1:26" ht="15.75">
      <c r="A19" s="224" t="s">
        <v>71</v>
      </c>
      <c r="B19" s="225" t="s">
        <v>70</v>
      </c>
      <c r="C19" s="226">
        <v>2</v>
      </c>
      <c r="D19" s="226">
        <v>1</v>
      </c>
      <c r="E19" s="227">
        <v>70000</v>
      </c>
      <c r="F19" s="215">
        <f t="shared" si="5"/>
        <v>35000</v>
      </c>
      <c r="G19" s="215">
        <f t="shared" si="6"/>
        <v>273.86541471048514</v>
      </c>
      <c r="H19" s="216">
        <v>45848</v>
      </c>
      <c r="I19" s="207"/>
      <c r="J19" s="207"/>
      <c r="K19" s="207"/>
      <c r="L19" s="207"/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</row>
    <row r="20" spans="1:26" ht="15.75">
      <c r="A20" s="224" t="s">
        <v>72</v>
      </c>
      <c r="B20" s="225" t="s">
        <v>70</v>
      </c>
      <c r="C20" s="226">
        <v>12</v>
      </c>
      <c r="D20" s="226">
        <v>1</v>
      </c>
      <c r="E20" s="227">
        <v>220000</v>
      </c>
      <c r="F20" s="215">
        <f t="shared" si="5"/>
        <v>18333.333333333332</v>
      </c>
      <c r="G20" s="215">
        <f t="shared" si="6"/>
        <v>143.45331246739698</v>
      </c>
      <c r="H20" s="216">
        <v>45848</v>
      </c>
      <c r="I20" s="207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</row>
    <row r="21" spans="1:26" ht="15.75" customHeight="1">
      <c r="A21" s="224" t="s">
        <v>73</v>
      </c>
      <c r="B21" s="225" t="s">
        <v>70</v>
      </c>
      <c r="C21" s="226">
        <v>3</v>
      </c>
      <c r="D21" s="226">
        <v>1</v>
      </c>
      <c r="E21" s="227">
        <v>30000</v>
      </c>
      <c r="F21" s="215">
        <f t="shared" si="5"/>
        <v>10000</v>
      </c>
      <c r="G21" s="215">
        <f t="shared" si="6"/>
        <v>78.247261345852891</v>
      </c>
      <c r="H21" s="216">
        <v>45848</v>
      </c>
      <c r="I21" s="207"/>
      <c r="J21" s="207"/>
      <c r="K21" s="207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</row>
    <row r="22" spans="1:26" ht="15.75" customHeight="1">
      <c r="A22" s="224" t="s">
        <v>74</v>
      </c>
      <c r="B22" s="225" t="s">
        <v>70</v>
      </c>
      <c r="C22" s="226">
        <v>1</v>
      </c>
      <c r="D22" s="226">
        <v>1</v>
      </c>
      <c r="E22" s="227">
        <v>15000</v>
      </c>
      <c r="F22" s="215">
        <f t="shared" si="5"/>
        <v>15000</v>
      </c>
      <c r="G22" s="215">
        <f t="shared" si="6"/>
        <v>117.37089201877934</v>
      </c>
      <c r="H22" s="216">
        <v>45848</v>
      </c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7"/>
      <c r="T22" s="207"/>
      <c r="U22" s="207"/>
      <c r="V22" s="207"/>
      <c r="W22" s="207"/>
      <c r="X22" s="207"/>
      <c r="Y22" s="207"/>
      <c r="Z22" s="207"/>
    </row>
    <row r="23" spans="1:26" ht="15.75" customHeight="1">
      <c r="A23" s="224" t="s">
        <v>75</v>
      </c>
      <c r="B23" s="225" t="s">
        <v>70</v>
      </c>
      <c r="C23" s="226">
        <v>12</v>
      </c>
      <c r="D23" s="226">
        <v>1</v>
      </c>
      <c r="E23" s="227">
        <v>135000</v>
      </c>
      <c r="F23" s="215">
        <f t="shared" si="5"/>
        <v>11250</v>
      </c>
      <c r="G23" s="215">
        <f t="shared" si="6"/>
        <v>88.028169014084511</v>
      </c>
      <c r="H23" s="216">
        <v>45848</v>
      </c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7"/>
      <c r="X23" s="207"/>
      <c r="Y23" s="207"/>
      <c r="Z23" s="207"/>
    </row>
    <row r="24" spans="1:26" ht="15.75" customHeight="1">
      <c r="A24" s="224" t="s">
        <v>76</v>
      </c>
      <c r="B24" s="225" t="s">
        <v>70</v>
      </c>
      <c r="C24" s="226">
        <f>12*7</f>
        <v>84</v>
      </c>
      <c r="D24" s="226">
        <v>1</v>
      </c>
      <c r="E24" s="227">
        <v>355000</v>
      </c>
      <c r="F24" s="215">
        <f t="shared" si="5"/>
        <v>4226.1904761904761</v>
      </c>
      <c r="G24" s="215">
        <f t="shared" si="6"/>
        <v>33.06878306878307</v>
      </c>
      <c r="H24" s="216">
        <v>45848</v>
      </c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7"/>
      <c r="X24" s="207"/>
      <c r="Y24" s="207"/>
      <c r="Z24" s="207"/>
    </row>
    <row r="25" spans="1:26" ht="15.75" customHeight="1">
      <c r="A25" s="224" t="s">
        <v>77</v>
      </c>
      <c r="B25" s="225" t="s">
        <v>70</v>
      </c>
      <c r="C25" s="226">
        <v>84</v>
      </c>
      <c r="D25" s="226">
        <v>1</v>
      </c>
      <c r="E25" s="227">
        <v>270000</v>
      </c>
      <c r="F25" s="215">
        <f t="shared" si="5"/>
        <v>3214.2857142857142</v>
      </c>
      <c r="G25" s="215">
        <f t="shared" si="6"/>
        <v>25.150905432595572</v>
      </c>
      <c r="H25" s="216">
        <v>45848</v>
      </c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</row>
    <row r="26" spans="1:26" ht="15.75" customHeight="1">
      <c r="A26" s="224" t="s">
        <v>78</v>
      </c>
      <c r="B26" s="225" t="s">
        <v>79</v>
      </c>
      <c r="C26" s="226">
        <v>12</v>
      </c>
      <c r="D26" s="226">
        <v>3</v>
      </c>
      <c r="E26" s="227">
        <v>45000</v>
      </c>
      <c r="F26" s="215">
        <f t="shared" si="5"/>
        <v>11250</v>
      </c>
      <c r="G26" s="215">
        <f>(F27/B$71)/7.2</f>
        <v>88.028169014084511</v>
      </c>
      <c r="H26" s="216">
        <v>45848</v>
      </c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7"/>
      <c r="X26" s="207"/>
      <c r="Y26" s="207"/>
      <c r="Z26" s="207"/>
    </row>
    <row r="27" spans="1:26" ht="15.75" customHeight="1">
      <c r="A27" s="224" t="s">
        <v>80</v>
      </c>
      <c r="B27" s="225" t="s">
        <v>79</v>
      </c>
      <c r="C27" s="226">
        <v>12</v>
      </c>
      <c r="D27" s="226">
        <v>3</v>
      </c>
      <c r="E27" s="227">
        <v>45000</v>
      </c>
      <c r="F27" s="215">
        <f t="shared" si="5"/>
        <v>11250</v>
      </c>
      <c r="G27" s="215">
        <f t="shared" ref="G27:G28" si="7">(F27/B$71)/7.2</f>
        <v>88.028169014084511</v>
      </c>
      <c r="H27" s="216">
        <v>45848</v>
      </c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</row>
    <row r="28" spans="1:26" ht="15.75" customHeight="1">
      <c r="A28" s="224" t="s">
        <v>81</v>
      </c>
      <c r="B28" s="225" t="s">
        <v>70</v>
      </c>
      <c r="C28" s="226">
        <v>24</v>
      </c>
      <c r="D28" s="226">
        <v>1</v>
      </c>
      <c r="E28" s="227">
        <v>68000</v>
      </c>
      <c r="F28" s="215">
        <f t="shared" si="5"/>
        <v>2833.3333333333335</v>
      </c>
      <c r="G28" s="215">
        <f t="shared" si="7"/>
        <v>22.170057381324987</v>
      </c>
      <c r="H28" s="216">
        <v>45848</v>
      </c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</row>
    <row r="29" spans="1:26" ht="15.75" customHeight="1">
      <c r="A29" s="217"/>
      <c r="B29" s="217"/>
      <c r="C29" s="207"/>
      <c r="D29" s="207"/>
      <c r="E29" s="207"/>
      <c r="F29" s="221">
        <f t="shared" ref="F29:G29" si="8">SUM(F18:F28)</f>
        <v>142357.14285714287</v>
      </c>
      <c r="G29" s="221">
        <f t="shared" si="8"/>
        <v>1113.9056561591774</v>
      </c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</row>
    <row r="30" spans="1:26" ht="15.75" customHeight="1">
      <c r="A30" s="207"/>
      <c r="B30" s="207"/>
      <c r="C30" s="207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</row>
    <row r="31" spans="1:26" ht="15.75" customHeight="1">
      <c r="A31" s="228" t="s">
        <v>82</v>
      </c>
      <c r="B31" s="229"/>
      <c r="C31" s="230" t="s">
        <v>83</v>
      </c>
      <c r="D31" s="231"/>
      <c r="E31" s="232"/>
      <c r="F31" s="229"/>
      <c r="G31" s="229"/>
      <c r="H31" s="229"/>
      <c r="I31" s="233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</row>
    <row r="32" spans="1:26" ht="24">
      <c r="A32" s="234" t="s">
        <v>84</v>
      </c>
      <c r="B32" s="209" t="s">
        <v>55</v>
      </c>
      <c r="C32" s="209" t="s">
        <v>57</v>
      </c>
      <c r="D32" s="209" t="s">
        <v>68</v>
      </c>
      <c r="E32" s="209" t="s">
        <v>58</v>
      </c>
      <c r="F32" s="209" t="s">
        <v>85</v>
      </c>
      <c r="G32" s="211" t="s">
        <v>59</v>
      </c>
      <c r="H32" s="211" t="s">
        <v>48</v>
      </c>
      <c r="I32" s="235" t="s">
        <v>49</v>
      </c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</row>
    <row r="33" spans="1:26" ht="15.75" customHeight="1">
      <c r="A33" s="236" t="s">
        <v>86</v>
      </c>
      <c r="B33" s="218" t="s">
        <v>87</v>
      </c>
      <c r="C33" s="219">
        <v>36</v>
      </c>
      <c r="D33" s="219">
        <v>1</v>
      </c>
      <c r="E33" s="213">
        <v>1100000</v>
      </c>
      <c r="F33" s="213">
        <v>250000</v>
      </c>
      <c r="G33" s="237">
        <f t="shared" ref="G33:G51" si="9">(E33+F33)/C33</f>
        <v>37500</v>
      </c>
      <c r="H33" s="215">
        <f t="shared" ref="H33:H51" si="10">(G33/B$71)/7.2</f>
        <v>293.42723004694835</v>
      </c>
      <c r="I33" s="238">
        <v>45659</v>
      </c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</row>
    <row r="34" spans="1:26" ht="15.75" customHeight="1">
      <c r="A34" s="236" t="s">
        <v>88</v>
      </c>
      <c r="B34" s="218" t="s">
        <v>87</v>
      </c>
      <c r="C34" s="219">
        <v>36</v>
      </c>
      <c r="D34" s="219">
        <v>1</v>
      </c>
      <c r="E34" s="213">
        <v>395000</v>
      </c>
      <c r="F34" s="213">
        <v>250000</v>
      </c>
      <c r="G34" s="237">
        <f t="shared" si="9"/>
        <v>17916.666666666668</v>
      </c>
      <c r="H34" s="215">
        <f t="shared" si="10"/>
        <v>140.19300991131979</v>
      </c>
      <c r="I34" s="238">
        <v>45659</v>
      </c>
      <c r="J34" s="207"/>
      <c r="K34" s="207"/>
      <c r="L34" s="207"/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</row>
    <row r="35" spans="1:26" ht="15.75" customHeight="1">
      <c r="A35" s="236" t="s">
        <v>89</v>
      </c>
      <c r="B35" s="218" t="s">
        <v>87</v>
      </c>
      <c r="C35" s="219">
        <v>36</v>
      </c>
      <c r="D35" s="219">
        <v>1</v>
      </c>
      <c r="E35" s="213">
        <v>495000</v>
      </c>
      <c r="F35" s="213">
        <v>250000</v>
      </c>
      <c r="G35" s="237">
        <f t="shared" si="9"/>
        <v>20694.444444444445</v>
      </c>
      <c r="H35" s="215">
        <f t="shared" si="10"/>
        <v>161.9283602851678</v>
      </c>
      <c r="I35" s="238">
        <v>45659</v>
      </c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Y35" s="207"/>
      <c r="Z35" s="207"/>
    </row>
    <row r="36" spans="1:26" ht="15.75" customHeight="1">
      <c r="A36" s="236" t="s">
        <v>90</v>
      </c>
      <c r="B36" s="218" t="s">
        <v>87</v>
      </c>
      <c r="C36" s="219">
        <v>25</v>
      </c>
      <c r="D36" s="219">
        <v>1</v>
      </c>
      <c r="E36" s="213">
        <v>65000</v>
      </c>
      <c r="F36" s="213">
        <v>250000</v>
      </c>
      <c r="G36" s="237">
        <f t="shared" si="9"/>
        <v>12600</v>
      </c>
      <c r="H36" s="215">
        <f t="shared" si="10"/>
        <v>98.591549295774641</v>
      </c>
      <c r="I36" s="238">
        <v>45659</v>
      </c>
      <c r="J36" s="207"/>
      <c r="K36" s="207"/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</row>
    <row r="37" spans="1:26" ht="15.75" customHeight="1">
      <c r="A37" s="236" t="s">
        <v>91</v>
      </c>
      <c r="B37" s="218" t="s">
        <v>87</v>
      </c>
      <c r="C37" s="219">
        <v>12</v>
      </c>
      <c r="D37" s="219">
        <v>1</v>
      </c>
      <c r="E37" s="213">
        <v>25000</v>
      </c>
      <c r="F37" s="213"/>
      <c r="G37" s="237">
        <f t="shared" si="9"/>
        <v>2083.3333333333335</v>
      </c>
      <c r="H37" s="215">
        <f t="shared" si="10"/>
        <v>16.301512780386023</v>
      </c>
      <c r="I37" s="238">
        <v>45659</v>
      </c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Y37" s="207"/>
      <c r="Z37" s="207"/>
    </row>
    <row r="38" spans="1:26" ht="15.75" customHeight="1">
      <c r="A38" s="236" t="s">
        <v>92</v>
      </c>
      <c r="B38" s="218" t="s">
        <v>87</v>
      </c>
      <c r="C38" s="219">
        <v>60</v>
      </c>
      <c r="D38" s="219">
        <v>1</v>
      </c>
      <c r="E38" s="213">
        <v>900000</v>
      </c>
      <c r="F38" s="213">
        <v>380000</v>
      </c>
      <c r="G38" s="237">
        <f t="shared" si="9"/>
        <v>21333.333333333332</v>
      </c>
      <c r="H38" s="215">
        <f t="shared" si="10"/>
        <v>166.92749087115283</v>
      </c>
      <c r="I38" s="238">
        <v>45659</v>
      </c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</row>
    <row r="39" spans="1:26" ht="15.75" customHeight="1">
      <c r="A39" s="236" t="s">
        <v>93</v>
      </c>
      <c r="B39" s="218" t="s">
        <v>87</v>
      </c>
      <c r="C39" s="219">
        <v>12</v>
      </c>
      <c r="D39" s="219">
        <v>3</v>
      </c>
      <c r="E39" s="213">
        <v>4000</v>
      </c>
      <c r="F39" s="213"/>
      <c r="G39" s="237">
        <f t="shared" si="9"/>
        <v>333.33333333333331</v>
      </c>
      <c r="H39" s="215">
        <f t="shared" si="10"/>
        <v>2.6082420448617629</v>
      </c>
      <c r="I39" s="238">
        <v>45659</v>
      </c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207"/>
    </row>
    <row r="40" spans="1:26" ht="15.75" customHeight="1">
      <c r="A40" s="236" t="s">
        <v>94</v>
      </c>
      <c r="B40" s="218" t="s">
        <v>87</v>
      </c>
      <c r="C40" s="219">
        <v>12</v>
      </c>
      <c r="D40" s="219">
        <v>3</v>
      </c>
      <c r="E40" s="213">
        <v>5000</v>
      </c>
      <c r="F40" s="213"/>
      <c r="G40" s="237">
        <f t="shared" si="9"/>
        <v>416.66666666666669</v>
      </c>
      <c r="H40" s="215">
        <f t="shared" si="10"/>
        <v>3.2603025560772037</v>
      </c>
      <c r="I40" s="238">
        <v>45659</v>
      </c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Y40" s="207"/>
      <c r="Z40" s="207"/>
    </row>
    <row r="41" spans="1:26" ht="15.75" customHeight="1">
      <c r="A41" s="236" t="s">
        <v>95</v>
      </c>
      <c r="B41" s="218" t="s">
        <v>87</v>
      </c>
      <c r="C41" s="219">
        <v>36</v>
      </c>
      <c r="D41" s="219">
        <v>3</v>
      </c>
      <c r="E41" s="213">
        <v>17000</v>
      </c>
      <c r="F41" s="213"/>
      <c r="G41" s="237">
        <f t="shared" si="9"/>
        <v>472.22222222222223</v>
      </c>
      <c r="H41" s="215">
        <f t="shared" si="10"/>
        <v>3.6950095635541649</v>
      </c>
      <c r="I41" s="238">
        <v>45659</v>
      </c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Y41" s="207"/>
      <c r="Z41" s="207"/>
    </row>
    <row r="42" spans="1:26" ht="15.75" customHeight="1">
      <c r="A42" s="236" t="s">
        <v>42</v>
      </c>
      <c r="B42" s="218" t="s">
        <v>87</v>
      </c>
      <c r="C42" s="219">
        <v>36</v>
      </c>
      <c r="D42" s="219">
        <v>1</v>
      </c>
      <c r="E42" s="213">
        <v>12000</v>
      </c>
      <c r="F42" s="213"/>
      <c r="G42" s="237">
        <f t="shared" si="9"/>
        <v>333.33333333333331</v>
      </c>
      <c r="H42" s="215">
        <f t="shared" si="10"/>
        <v>2.6082420448617629</v>
      </c>
      <c r="I42" s="238">
        <v>45659</v>
      </c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Y42" s="207"/>
      <c r="Z42" s="207"/>
    </row>
    <row r="43" spans="1:26" ht="15.75" customHeight="1">
      <c r="A43" s="239" t="s">
        <v>96</v>
      </c>
      <c r="B43" s="218" t="s">
        <v>87</v>
      </c>
      <c r="C43" s="240">
        <v>3</v>
      </c>
      <c r="D43" s="240">
        <v>1</v>
      </c>
      <c r="E43" s="241">
        <v>5000</v>
      </c>
      <c r="F43" s="241"/>
      <c r="G43" s="237">
        <f t="shared" si="9"/>
        <v>1666.6666666666667</v>
      </c>
      <c r="H43" s="215">
        <f t="shared" si="10"/>
        <v>13.041210224308815</v>
      </c>
      <c r="I43" s="238">
        <v>45659</v>
      </c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Y43" s="207"/>
      <c r="Z43" s="207"/>
    </row>
    <row r="44" spans="1:26" ht="15.75" customHeight="1">
      <c r="A44" s="236" t="s">
        <v>97</v>
      </c>
      <c r="B44" s="218" t="s">
        <v>87</v>
      </c>
      <c r="C44" s="219">
        <v>25</v>
      </c>
      <c r="D44" s="219">
        <v>1</v>
      </c>
      <c r="E44" s="213">
        <v>30000</v>
      </c>
      <c r="F44" s="213"/>
      <c r="G44" s="237">
        <f t="shared" si="9"/>
        <v>1200</v>
      </c>
      <c r="H44" s="215">
        <f t="shared" si="10"/>
        <v>9.3896713615023462</v>
      </c>
      <c r="I44" s="238">
        <v>45659</v>
      </c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Y44" s="207"/>
      <c r="Z44" s="207"/>
    </row>
    <row r="45" spans="1:26" ht="15.75" customHeight="1">
      <c r="A45" s="236" t="s">
        <v>98</v>
      </c>
      <c r="B45" s="218" t="s">
        <v>87</v>
      </c>
      <c r="C45" s="219">
        <v>12</v>
      </c>
      <c r="D45" s="219">
        <v>1</v>
      </c>
      <c r="E45" s="213">
        <v>37000</v>
      </c>
      <c r="F45" s="213"/>
      <c r="G45" s="237">
        <f t="shared" si="9"/>
        <v>3083.3333333333335</v>
      </c>
      <c r="H45" s="215">
        <f t="shared" si="10"/>
        <v>24.12623891497131</v>
      </c>
      <c r="I45" s="238">
        <v>45659</v>
      </c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Y45" s="207"/>
      <c r="Z45" s="207"/>
    </row>
    <row r="46" spans="1:26" ht="15.75" customHeight="1">
      <c r="A46" s="236" t="s">
        <v>99</v>
      </c>
      <c r="B46" s="218" t="s">
        <v>87</v>
      </c>
      <c r="C46" s="219">
        <v>12</v>
      </c>
      <c r="D46" s="219">
        <v>2</v>
      </c>
      <c r="E46" s="213">
        <v>38000</v>
      </c>
      <c r="F46" s="213"/>
      <c r="G46" s="237">
        <f t="shared" si="9"/>
        <v>3166.6666666666665</v>
      </c>
      <c r="H46" s="215">
        <f t="shared" si="10"/>
        <v>24.778299426186745</v>
      </c>
      <c r="I46" s="238">
        <v>45659</v>
      </c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Y46" s="207"/>
      <c r="Z46" s="207"/>
    </row>
    <row r="47" spans="1:26" ht="15.75" customHeight="1">
      <c r="A47" s="236" t="s">
        <v>100</v>
      </c>
      <c r="B47" s="218" t="s">
        <v>87</v>
      </c>
      <c r="C47" s="219">
        <v>25</v>
      </c>
      <c r="D47" s="219">
        <v>1</v>
      </c>
      <c r="E47" s="213">
        <v>73000</v>
      </c>
      <c r="F47" s="213"/>
      <c r="G47" s="237">
        <f t="shared" si="9"/>
        <v>2920</v>
      </c>
      <c r="H47" s="215">
        <f t="shared" si="10"/>
        <v>22.848200312989043</v>
      </c>
      <c r="I47" s="238">
        <v>45659</v>
      </c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Y47" s="207"/>
      <c r="Z47" s="207"/>
    </row>
    <row r="48" spans="1:26" ht="15.75" customHeight="1">
      <c r="A48" s="236" t="s">
        <v>101</v>
      </c>
      <c r="B48" s="218" t="s">
        <v>87</v>
      </c>
      <c r="C48" s="219">
        <v>36</v>
      </c>
      <c r="D48" s="219">
        <v>2</v>
      </c>
      <c r="E48" s="213">
        <v>74000</v>
      </c>
      <c r="F48" s="213"/>
      <c r="G48" s="237">
        <f t="shared" si="9"/>
        <v>2055.5555555555557</v>
      </c>
      <c r="H48" s="215">
        <f t="shared" si="10"/>
        <v>16.08415927664754</v>
      </c>
      <c r="I48" s="238">
        <v>45659</v>
      </c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07"/>
      <c r="U48" s="207"/>
      <c r="V48" s="207"/>
      <c r="W48" s="207"/>
      <c r="X48" s="207"/>
      <c r="Y48" s="207"/>
      <c r="Z48" s="207"/>
    </row>
    <row r="49" spans="1:26" ht="15.75" customHeight="1">
      <c r="A49" s="236" t="s">
        <v>102</v>
      </c>
      <c r="B49" s="218" t="s">
        <v>87</v>
      </c>
      <c r="C49" s="219">
        <v>12</v>
      </c>
      <c r="D49" s="219">
        <v>1</v>
      </c>
      <c r="E49" s="213">
        <v>20000</v>
      </c>
      <c r="F49" s="213"/>
      <c r="G49" s="237">
        <f t="shared" si="9"/>
        <v>1666.6666666666667</v>
      </c>
      <c r="H49" s="215">
        <f t="shared" si="10"/>
        <v>13.041210224308815</v>
      </c>
      <c r="I49" s="238">
        <v>45659</v>
      </c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Y49" s="207"/>
      <c r="Z49" s="207"/>
    </row>
    <row r="50" spans="1:26" ht="15.75" customHeight="1">
      <c r="A50" s="236" t="s">
        <v>103</v>
      </c>
      <c r="B50" s="218" t="s">
        <v>87</v>
      </c>
      <c r="C50" s="219">
        <v>3</v>
      </c>
      <c r="D50" s="219">
        <v>1</v>
      </c>
      <c r="E50" s="213">
        <v>75000</v>
      </c>
      <c r="F50" s="213"/>
      <c r="G50" s="237">
        <f t="shared" si="9"/>
        <v>25000</v>
      </c>
      <c r="H50" s="215">
        <f t="shared" si="10"/>
        <v>195.61815336463224</v>
      </c>
      <c r="I50" s="238">
        <v>45659</v>
      </c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207"/>
      <c r="Z50" s="207"/>
    </row>
    <row r="51" spans="1:26" ht="15.75" customHeight="1">
      <c r="A51" s="242" t="s">
        <v>104</v>
      </c>
      <c r="B51" s="243" t="s">
        <v>87</v>
      </c>
      <c r="C51" s="244">
        <v>3</v>
      </c>
      <c r="D51" s="244">
        <v>1</v>
      </c>
      <c r="E51" s="245">
        <v>15000</v>
      </c>
      <c r="F51" s="245"/>
      <c r="G51" s="246">
        <f t="shared" si="9"/>
        <v>5000</v>
      </c>
      <c r="H51" s="215">
        <f t="shared" si="10"/>
        <v>39.123630672926446</v>
      </c>
      <c r="I51" s="247">
        <v>45659</v>
      </c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Y51" s="207"/>
      <c r="Z51" s="207"/>
    </row>
    <row r="52" spans="1:26" ht="15.75" customHeight="1">
      <c r="A52" s="217"/>
      <c r="B52" s="217"/>
      <c r="C52" s="217"/>
      <c r="D52" s="217"/>
      <c r="E52" s="217"/>
      <c r="F52" s="217"/>
      <c r="G52" s="248">
        <f t="shared" ref="G52:H52" si="11">SUM(G33:G51)</f>
        <v>159442.22222222225</v>
      </c>
      <c r="H52" s="248">
        <f t="shared" si="11"/>
        <v>1247.5917231785777</v>
      </c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Y52" s="207"/>
      <c r="Z52" s="207"/>
    </row>
    <row r="53" spans="1:26" ht="15.75" customHeight="1">
      <c r="A53" s="207"/>
      <c r="B53" s="207"/>
      <c r="C53" s="207"/>
      <c r="D53" s="207"/>
      <c r="E53" s="207"/>
      <c r="F53" s="207"/>
      <c r="G53" s="207"/>
      <c r="H53" s="207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Y53" s="207"/>
      <c r="Z53" s="207"/>
    </row>
    <row r="54" spans="1:26" ht="15.75" customHeight="1">
      <c r="A54" s="205" t="s">
        <v>105</v>
      </c>
      <c r="B54" s="205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Y54" s="207"/>
      <c r="Z54" s="207"/>
    </row>
    <row r="55" spans="1:26" ht="15.75" customHeight="1">
      <c r="A55" s="209" t="s">
        <v>84</v>
      </c>
      <c r="B55" s="209" t="s">
        <v>55</v>
      </c>
      <c r="C55" s="209" t="s">
        <v>57</v>
      </c>
      <c r="D55" s="209" t="s">
        <v>68</v>
      </c>
      <c r="E55" s="209" t="s">
        <v>58</v>
      </c>
      <c r="F55" s="209" t="s">
        <v>85</v>
      </c>
      <c r="G55" s="211" t="s">
        <v>59</v>
      </c>
      <c r="H55" s="211" t="s">
        <v>48</v>
      </c>
      <c r="I55" s="235" t="s">
        <v>49</v>
      </c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</row>
    <row r="56" spans="1:26" ht="15.75" customHeight="1">
      <c r="A56" s="212" t="s">
        <v>106</v>
      </c>
      <c r="B56" s="218" t="s">
        <v>107</v>
      </c>
      <c r="C56" s="219">
        <v>60</v>
      </c>
      <c r="D56" s="219">
        <v>1</v>
      </c>
      <c r="E56" s="213">
        <v>3000000</v>
      </c>
      <c r="F56" s="213">
        <v>400000</v>
      </c>
      <c r="G56" s="237">
        <f t="shared" ref="G56:G63" si="12">(E56+F56)/C56</f>
        <v>56666.666666666664</v>
      </c>
      <c r="H56" s="215">
        <f t="shared" ref="H56:H63" si="13">(G56/B$71)/7.2</f>
        <v>443.40114762649966</v>
      </c>
      <c r="I56" s="238">
        <v>45547</v>
      </c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</row>
    <row r="57" spans="1:26" ht="15.75" customHeight="1">
      <c r="A57" s="212" t="s">
        <v>108</v>
      </c>
      <c r="B57" s="218" t="s">
        <v>87</v>
      </c>
      <c r="C57" s="219">
        <v>36</v>
      </c>
      <c r="D57" s="219">
        <v>1</v>
      </c>
      <c r="E57" s="213">
        <v>600000</v>
      </c>
      <c r="F57" s="213">
        <v>0</v>
      </c>
      <c r="G57" s="237">
        <f t="shared" si="12"/>
        <v>16666.666666666668</v>
      </c>
      <c r="H57" s="215">
        <f t="shared" si="13"/>
        <v>130.41210224308819</v>
      </c>
      <c r="I57" s="238">
        <v>45547</v>
      </c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</row>
    <row r="58" spans="1:26" ht="15.75" customHeight="1">
      <c r="A58" s="212" t="s">
        <v>109</v>
      </c>
      <c r="B58" s="218" t="s">
        <v>87</v>
      </c>
      <c r="C58" s="219">
        <v>12</v>
      </c>
      <c r="D58" s="219">
        <v>1</v>
      </c>
      <c r="E58" s="213">
        <v>40000</v>
      </c>
      <c r="F58" s="213">
        <v>0</v>
      </c>
      <c r="G58" s="237">
        <f t="shared" si="12"/>
        <v>3333.3333333333335</v>
      </c>
      <c r="H58" s="215">
        <f t="shared" si="13"/>
        <v>26.082420448617629</v>
      </c>
      <c r="I58" s="238">
        <v>45547</v>
      </c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Y58" s="207"/>
      <c r="Z58" s="207"/>
    </row>
    <row r="59" spans="1:26" ht="15.75" customHeight="1">
      <c r="A59" s="212" t="s">
        <v>110</v>
      </c>
      <c r="B59" s="218" t="s">
        <v>87</v>
      </c>
      <c r="C59" s="219">
        <v>24</v>
      </c>
      <c r="D59" s="219">
        <v>1</v>
      </c>
      <c r="E59" s="213">
        <v>170000</v>
      </c>
      <c r="F59" s="213">
        <v>0</v>
      </c>
      <c r="G59" s="237">
        <f t="shared" si="12"/>
        <v>7083.333333333333</v>
      </c>
      <c r="H59" s="215">
        <f t="shared" si="13"/>
        <v>55.425143453312458</v>
      </c>
      <c r="I59" s="238">
        <v>45547</v>
      </c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207"/>
    </row>
    <row r="60" spans="1:26" ht="15.75" customHeight="1">
      <c r="A60" s="212" t="s">
        <v>111</v>
      </c>
      <c r="B60" s="218" t="s">
        <v>87</v>
      </c>
      <c r="C60" s="219">
        <v>60</v>
      </c>
      <c r="D60" s="219">
        <v>1</v>
      </c>
      <c r="E60" s="213">
        <v>140000</v>
      </c>
      <c r="F60" s="213">
        <v>0</v>
      </c>
      <c r="G60" s="237">
        <f t="shared" si="12"/>
        <v>2333.3333333333335</v>
      </c>
      <c r="H60" s="215">
        <f t="shared" si="13"/>
        <v>18.257694314032342</v>
      </c>
      <c r="I60" s="238">
        <v>45547</v>
      </c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</row>
    <row r="61" spans="1:26" ht="15.75" customHeight="1">
      <c r="A61" s="212" t="s">
        <v>112</v>
      </c>
      <c r="B61" s="218" t="s">
        <v>87</v>
      </c>
      <c r="C61" s="219">
        <v>36</v>
      </c>
      <c r="D61" s="219">
        <v>1</v>
      </c>
      <c r="E61" s="213">
        <v>160000</v>
      </c>
      <c r="F61" s="213">
        <v>0</v>
      </c>
      <c r="G61" s="237">
        <f t="shared" si="12"/>
        <v>4444.4444444444443</v>
      </c>
      <c r="H61" s="215">
        <f t="shared" si="13"/>
        <v>34.776560598156841</v>
      </c>
      <c r="I61" s="238">
        <v>45547</v>
      </c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</row>
    <row r="62" spans="1:26" ht="15.75" customHeight="1">
      <c r="A62" s="212" t="s">
        <v>113</v>
      </c>
      <c r="B62" s="218" t="s">
        <v>87</v>
      </c>
      <c r="C62" s="219">
        <v>60</v>
      </c>
      <c r="D62" s="219">
        <v>1</v>
      </c>
      <c r="E62" s="213">
        <v>195000</v>
      </c>
      <c r="F62" s="213">
        <v>0</v>
      </c>
      <c r="G62" s="237">
        <f t="shared" si="12"/>
        <v>3250</v>
      </c>
      <c r="H62" s="215">
        <f t="shared" si="13"/>
        <v>25.430359937402191</v>
      </c>
      <c r="I62" s="238">
        <v>45547</v>
      </c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Y62" s="207"/>
      <c r="Z62" s="207"/>
    </row>
    <row r="63" spans="1:26" ht="15.75" customHeight="1">
      <c r="A63" s="212" t="s">
        <v>114</v>
      </c>
      <c r="B63" s="218" t="s">
        <v>87</v>
      </c>
      <c r="C63" s="219">
        <v>60</v>
      </c>
      <c r="D63" s="219">
        <v>1</v>
      </c>
      <c r="E63" s="213">
        <v>75000</v>
      </c>
      <c r="F63" s="213">
        <v>0</v>
      </c>
      <c r="G63" s="237">
        <f t="shared" si="12"/>
        <v>1250</v>
      </c>
      <c r="H63" s="215">
        <f t="shared" si="13"/>
        <v>9.7809076682316114</v>
      </c>
      <c r="I63" s="238">
        <v>45547</v>
      </c>
      <c r="J63" s="207"/>
      <c r="K63" s="207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</row>
    <row r="64" spans="1:26" ht="15.75" customHeight="1">
      <c r="A64" s="207"/>
      <c r="B64" s="207"/>
      <c r="C64" s="207"/>
      <c r="D64" s="207"/>
      <c r="E64" s="207"/>
      <c r="F64" s="207"/>
      <c r="G64" s="248">
        <f t="shared" ref="G64:H64" si="14">SUM(G56:G63)</f>
        <v>95027.777777777752</v>
      </c>
      <c r="H64" s="248">
        <f t="shared" si="14"/>
        <v>743.56633628934094</v>
      </c>
      <c r="I64" s="207"/>
      <c r="J64" s="207"/>
      <c r="K64" s="207"/>
      <c r="L64" s="207"/>
      <c r="M64" s="207"/>
      <c r="N64" s="207"/>
      <c r="O64" s="207"/>
      <c r="P64" s="207"/>
      <c r="Q64" s="207"/>
      <c r="R64" s="207"/>
      <c r="S64" s="207"/>
      <c r="T64" s="207"/>
      <c r="U64" s="207"/>
      <c r="V64" s="207"/>
      <c r="W64" s="207"/>
      <c r="X64" s="207"/>
      <c r="Y64" s="207"/>
      <c r="Z64" s="207"/>
    </row>
    <row r="65" spans="1:26" ht="15.75" customHeight="1">
      <c r="A65" s="207"/>
      <c r="B65" s="207"/>
      <c r="C65" s="207"/>
      <c r="D65" s="207"/>
      <c r="E65" s="207"/>
      <c r="F65" s="207"/>
      <c r="G65" s="207"/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207"/>
    </row>
    <row r="66" spans="1:26" ht="15.75" customHeight="1">
      <c r="A66" s="207"/>
      <c r="B66" s="207"/>
      <c r="C66" s="207"/>
      <c r="D66" s="207"/>
      <c r="E66" s="207"/>
      <c r="F66" s="207"/>
      <c r="G66" s="207"/>
      <c r="H66" s="207"/>
      <c r="I66" s="207"/>
      <c r="J66" s="207"/>
      <c r="K66" s="207"/>
      <c r="L66" s="207"/>
      <c r="M66" s="207"/>
      <c r="N66" s="207"/>
      <c r="O66" s="207"/>
      <c r="P66" s="207"/>
      <c r="Q66" s="207"/>
      <c r="R66" s="207"/>
      <c r="S66" s="207"/>
      <c r="T66" s="207"/>
      <c r="U66" s="207"/>
      <c r="V66" s="207"/>
      <c r="W66" s="207"/>
      <c r="X66" s="207"/>
      <c r="Y66" s="207"/>
      <c r="Z66" s="207"/>
    </row>
    <row r="67" spans="1:26" ht="15.75" customHeight="1">
      <c r="A67" s="249" t="s">
        <v>115</v>
      </c>
      <c r="B67" s="249">
        <f>30-8</f>
        <v>22</v>
      </c>
      <c r="C67" s="207"/>
      <c r="D67" s="207"/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P67" s="207"/>
      <c r="Q67" s="207"/>
      <c r="R67" s="207"/>
      <c r="S67" s="207"/>
      <c r="T67" s="207"/>
      <c r="U67" s="207"/>
      <c r="V67" s="207"/>
      <c r="W67" s="207"/>
      <c r="X67" s="207"/>
      <c r="Y67" s="207"/>
      <c r="Z67" s="207"/>
    </row>
    <row r="68" spans="1:26" ht="15.75" customHeight="1">
      <c r="A68" s="249" t="s">
        <v>116</v>
      </c>
      <c r="B68" s="249">
        <f>18/12</f>
        <v>1.5</v>
      </c>
      <c r="C68" s="207"/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P68" s="207"/>
      <c r="Q68" s="207"/>
      <c r="R68" s="207"/>
      <c r="S68" s="207"/>
      <c r="T68" s="207"/>
      <c r="U68" s="207"/>
      <c r="V68" s="207"/>
      <c r="W68" s="207"/>
      <c r="X68" s="207"/>
      <c r="Y68" s="207"/>
      <c r="Z68" s="207"/>
    </row>
    <row r="69" spans="1:26" ht="15.75" customHeight="1">
      <c r="A69" s="249" t="s">
        <v>117</v>
      </c>
      <c r="B69" s="249">
        <f>15/12</f>
        <v>1.25</v>
      </c>
      <c r="C69" s="207"/>
      <c r="D69" s="207"/>
      <c r="E69" s="207"/>
      <c r="F69" s="207"/>
      <c r="G69" s="207"/>
      <c r="H69" s="207"/>
      <c r="I69" s="207"/>
      <c r="J69" s="207"/>
      <c r="K69" s="207"/>
      <c r="L69" s="207"/>
      <c r="M69" s="207"/>
      <c r="N69" s="207"/>
      <c r="O69" s="207"/>
      <c r="P69" s="207"/>
      <c r="Q69" s="207"/>
      <c r="R69" s="207"/>
      <c r="S69" s="207"/>
      <c r="T69" s="207"/>
      <c r="U69" s="207"/>
      <c r="V69" s="207"/>
      <c r="W69" s="207"/>
      <c r="X69" s="207"/>
      <c r="Y69" s="207"/>
      <c r="Z69" s="207"/>
    </row>
    <row r="70" spans="1:26" ht="15.75" customHeight="1">
      <c r="A70" s="249" t="s">
        <v>118</v>
      </c>
      <c r="B70" s="249">
        <f>18/12</f>
        <v>1.5</v>
      </c>
      <c r="C70" s="207"/>
      <c r="D70" s="207"/>
      <c r="E70" s="207"/>
      <c r="F70" s="207"/>
      <c r="G70" s="207"/>
      <c r="H70" s="207"/>
      <c r="I70" s="207"/>
      <c r="J70" s="207"/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7"/>
      <c r="X70" s="207"/>
      <c r="Y70" s="207"/>
      <c r="Z70" s="207"/>
    </row>
    <row r="71" spans="1:26" ht="15.75" customHeight="1">
      <c r="A71" s="249"/>
      <c r="B71" s="249">
        <f>B67-B68-B69-B70</f>
        <v>17.75</v>
      </c>
      <c r="C71" s="207"/>
      <c r="D71" s="207"/>
      <c r="E71" s="207"/>
      <c r="F71" s="207"/>
      <c r="G71" s="207"/>
      <c r="H71" s="207"/>
      <c r="I71" s="207"/>
      <c r="J71" s="207"/>
      <c r="K71" s="207"/>
      <c r="L71" s="207"/>
      <c r="M71" s="207"/>
      <c r="N71" s="207"/>
      <c r="O71" s="207"/>
      <c r="P71" s="207"/>
      <c r="Q71" s="207"/>
      <c r="R71" s="207"/>
      <c r="S71" s="207"/>
      <c r="T71" s="207"/>
      <c r="U71" s="207"/>
      <c r="V71" s="207"/>
      <c r="W71" s="207"/>
      <c r="X71" s="207"/>
      <c r="Y71" s="207"/>
      <c r="Z71" s="207"/>
    </row>
    <row r="72" spans="1:26" ht="15.75" customHeight="1">
      <c r="A72" s="249" t="s">
        <v>119</v>
      </c>
      <c r="B72" s="249">
        <f>25.5*12</f>
        <v>306</v>
      </c>
      <c r="C72" s="207"/>
      <c r="D72" s="207"/>
      <c r="E72" s="207"/>
      <c r="F72" s="207"/>
      <c r="G72" s="207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</row>
    <row r="73" spans="1:26" ht="15.75" customHeight="1">
      <c r="A73" s="249" t="s">
        <v>120</v>
      </c>
      <c r="B73" s="249">
        <v>46</v>
      </c>
      <c r="C73" s="207"/>
      <c r="D73" s="207"/>
      <c r="E73" s="207"/>
      <c r="F73" s="207"/>
      <c r="G73" s="207"/>
      <c r="H73" s="207"/>
      <c r="I73" s="207"/>
      <c r="J73" s="207"/>
      <c r="K73" s="207"/>
      <c r="L73" s="207"/>
      <c r="M73" s="207"/>
      <c r="N73" s="207"/>
      <c r="O73" s="207"/>
      <c r="P73" s="207"/>
      <c r="Q73" s="207"/>
      <c r="R73" s="207"/>
      <c r="S73" s="207"/>
      <c r="T73" s="207"/>
      <c r="U73" s="207"/>
      <c r="V73" s="207"/>
      <c r="W73" s="207"/>
      <c r="X73" s="207"/>
      <c r="Y73" s="207"/>
      <c r="Z73" s="207"/>
    </row>
    <row r="74" spans="1:26" ht="15.75" customHeight="1">
      <c r="A74" s="249" t="s">
        <v>121</v>
      </c>
      <c r="B74" s="250">
        <f>B73/6</f>
        <v>7.666666666666667</v>
      </c>
      <c r="C74" s="207"/>
      <c r="D74" s="207"/>
      <c r="E74" s="207"/>
      <c r="F74" s="207"/>
      <c r="G74" s="207"/>
      <c r="H74" s="207"/>
      <c r="I74" s="207"/>
      <c r="J74" s="207"/>
      <c r="K74" s="207"/>
      <c r="L74" s="207"/>
      <c r="M74" s="207"/>
      <c r="N74" s="207"/>
      <c r="O74" s="207"/>
      <c r="P74" s="207"/>
      <c r="Q74" s="207"/>
      <c r="R74" s="207"/>
      <c r="S74" s="207"/>
      <c r="T74" s="207"/>
      <c r="U74" s="207"/>
      <c r="V74" s="207"/>
      <c r="W74" s="207"/>
      <c r="X74" s="207"/>
      <c r="Y74" s="207"/>
      <c r="Z74" s="207"/>
    </row>
    <row r="75" spans="1:26" ht="15.75" customHeight="1">
      <c r="A75" s="207"/>
      <c r="B75" s="207"/>
      <c r="C75" s="207"/>
      <c r="D75" s="207"/>
      <c r="E75" s="207"/>
      <c r="F75" s="207"/>
      <c r="G75" s="207"/>
      <c r="H75" s="207"/>
      <c r="I75" s="207"/>
      <c r="J75" s="207"/>
      <c r="K75" s="207"/>
      <c r="L75" s="207"/>
      <c r="M75" s="207"/>
      <c r="N75" s="207"/>
      <c r="O75" s="207"/>
      <c r="P75" s="207"/>
      <c r="Q75" s="207"/>
      <c r="R75" s="207"/>
      <c r="S75" s="207"/>
      <c r="T75" s="207"/>
      <c r="U75" s="207"/>
      <c r="V75" s="207"/>
      <c r="W75" s="207"/>
      <c r="X75" s="207"/>
      <c r="Y75" s="207"/>
      <c r="Z75" s="207"/>
    </row>
    <row r="76" spans="1:26" ht="15.75" customHeight="1">
      <c r="A76" s="207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7"/>
      <c r="R76" s="207"/>
      <c r="S76" s="207"/>
      <c r="T76" s="207"/>
      <c r="U76" s="207"/>
      <c r="V76" s="207"/>
      <c r="W76" s="207"/>
      <c r="X76" s="207"/>
      <c r="Y76" s="207"/>
      <c r="Z76" s="207"/>
    </row>
    <row r="77" spans="1:26" ht="15.75" customHeight="1">
      <c r="A77" s="207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7"/>
      <c r="R77" s="207"/>
      <c r="S77" s="207"/>
      <c r="T77" s="207"/>
      <c r="U77" s="207"/>
      <c r="V77" s="207"/>
      <c r="W77" s="207"/>
      <c r="X77" s="207"/>
      <c r="Y77" s="207"/>
      <c r="Z77" s="207"/>
    </row>
    <row r="78" spans="1:26" ht="15.75" customHeight="1">
      <c r="A78" s="207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7"/>
      <c r="R78" s="207"/>
      <c r="S78" s="207"/>
      <c r="T78" s="207"/>
      <c r="U78" s="207"/>
      <c r="V78" s="207"/>
      <c r="W78" s="207"/>
      <c r="X78" s="207"/>
      <c r="Y78" s="207"/>
      <c r="Z78" s="207"/>
    </row>
    <row r="79" spans="1:26" ht="15.75" customHeight="1">
      <c r="A79" s="207"/>
      <c r="B79" s="207"/>
      <c r="C79" s="207"/>
      <c r="D79" s="207"/>
      <c r="E79" s="207"/>
      <c r="F79" s="207"/>
      <c r="G79" s="207"/>
      <c r="H79" s="207"/>
      <c r="I79" s="207"/>
      <c r="J79" s="207"/>
      <c r="K79" s="207"/>
      <c r="L79" s="207"/>
      <c r="M79" s="207"/>
      <c r="N79" s="207"/>
      <c r="O79" s="207"/>
      <c r="P79" s="207"/>
      <c r="Q79" s="207"/>
      <c r="R79" s="207"/>
      <c r="S79" s="207"/>
      <c r="T79" s="207"/>
      <c r="U79" s="207"/>
      <c r="V79" s="207"/>
      <c r="W79" s="207"/>
      <c r="X79" s="207"/>
      <c r="Y79" s="207"/>
      <c r="Z79" s="207"/>
    </row>
    <row r="80" spans="1:26" ht="15.75" customHeight="1">
      <c r="A80" s="207"/>
      <c r="B80" s="207"/>
      <c r="C80" s="207"/>
      <c r="D80" s="207"/>
      <c r="E80" s="207"/>
      <c r="F80" s="207"/>
      <c r="G80" s="207"/>
      <c r="H80" s="207"/>
      <c r="I80" s="207"/>
      <c r="J80" s="207"/>
      <c r="K80" s="207"/>
      <c r="L80" s="207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  <c r="X80" s="207"/>
      <c r="Y80" s="207"/>
      <c r="Z80" s="207"/>
    </row>
    <row r="81" spans="1:26" ht="15.75" customHeight="1">
      <c r="A81" s="207"/>
      <c r="B81" s="207"/>
      <c r="C81" s="207"/>
      <c r="D81" s="207"/>
      <c r="E81" s="207"/>
      <c r="F81" s="207"/>
      <c r="G81" s="207"/>
      <c r="H81" s="207"/>
      <c r="I81" s="207"/>
      <c r="J81" s="207"/>
      <c r="K81" s="207"/>
      <c r="L81" s="207"/>
      <c r="M81" s="207"/>
      <c r="N81" s="207"/>
      <c r="O81" s="207"/>
      <c r="P81" s="207"/>
      <c r="Q81" s="207"/>
      <c r="R81" s="207"/>
      <c r="S81" s="207"/>
      <c r="T81" s="207"/>
      <c r="U81" s="207"/>
      <c r="V81" s="207"/>
      <c r="W81" s="207"/>
      <c r="X81" s="207"/>
      <c r="Y81" s="207"/>
      <c r="Z81" s="207"/>
    </row>
    <row r="82" spans="1:26" ht="15.75" customHeight="1">
      <c r="A82" s="207"/>
      <c r="B82" s="207"/>
      <c r="C82" s="207"/>
      <c r="D82" s="207"/>
      <c r="E82" s="207"/>
      <c r="F82" s="207"/>
      <c r="G82" s="207"/>
      <c r="H82" s="207"/>
      <c r="I82" s="207"/>
      <c r="J82" s="207"/>
      <c r="K82" s="207"/>
      <c r="L82" s="207"/>
      <c r="M82" s="207"/>
      <c r="N82" s="207"/>
      <c r="O82" s="207"/>
      <c r="P82" s="207"/>
      <c r="Q82" s="207"/>
      <c r="R82" s="207"/>
      <c r="S82" s="207"/>
      <c r="T82" s="207"/>
      <c r="U82" s="207"/>
      <c r="V82" s="207"/>
      <c r="W82" s="207"/>
      <c r="X82" s="207"/>
      <c r="Y82" s="207"/>
      <c r="Z82" s="207"/>
    </row>
    <row r="83" spans="1:26" ht="15.75" customHeight="1">
      <c r="A83" s="207"/>
      <c r="B83" s="207"/>
      <c r="C83" s="207"/>
      <c r="D83" s="207"/>
      <c r="E83" s="207"/>
      <c r="F83" s="207"/>
      <c r="G83" s="207"/>
      <c r="H83" s="207"/>
      <c r="I83" s="207"/>
      <c r="J83" s="207"/>
      <c r="K83" s="207"/>
      <c r="L83" s="207"/>
      <c r="M83" s="207"/>
      <c r="N83" s="207"/>
      <c r="O83" s="207"/>
      <c r="P83" s="207"/>
      <c r="Q83" s="207"/>
      <c r="R83" s="207"/>
      <c r="S83" s="207"/>
      <c r="T83" s="207"/>
      <c r="U83" s="207"/>
      <c r="V83" s="207"/>
      <c r="W83" s="207"/>
      <c r="X83" s="207"/>
      <c r="Y83" s="207"/>
      <c r="Z83" s="207"/>
    </row>
    <row r="84" spans="1:26" ht="15.75" customHeight="1">
      <c r="A84" s="207"/>
      <c r="B84" s="207"/>
      <c r="C84" s="207"/>
      <c r="D84" s="207"/>
      <c r="E84" s="207"/>
      <c r="F84" s="207"/>
      <c r="G84" s="207"/>
      <c r="H84" s="207"/>
      <c r="I84" s="207"/>
      <c r="J84" s="207"/>
      <c r="K84" s="207"/>
      <c r="L84" s="207"/>
      <c r="M84" s="207"/>
      <c r="N84" s="207"/>
      <c r="O84" s="207"/>
      <c r="P84" s="207"/>
      <c r="Q84" s="207"/>
      <c r="R84" s="207"/>
      <c r="S84" s="207"/>
      <c r="T84" s="207"/>
      <c r="U84" s="207"/>
      <c r="V84" s="207"/>
      <c r="W84" s="207"/>
      <c r="X84" s="207"/>
      <c r="Y84" s="207"/>
      <c r="Z84" s="207"/>
    </row>
    <row r="85" spans="1:26" ht="15.75" customHeight="1">
      <c r="A85" s="207"/>
      <c r="B85" s="207"/>
      <c r="C85" s="207"/>
      <c r="D85" s="207"/>
      <c r="E85" s="207"/>
      <c r="F85" s="207"/>
      <c r="G85" s="207"/>
      <c r="H85" s="207"/>
      <c r="I85" s="207"/>
      <c r="J85" s="207"/>
      <c r="K85" s="207"/>
      <c r="L85" s="207"/>
      <c r="M85" s="207"/>
      <c r="N85" s="207"/>
      <c r="O85" s="207"/>
      <c r="P85" s="207"/>
      <c r="Q85" s="207"/>
      <c r="R85" s="207"/>
      <c r="S85" s="207"/>
      <c r="T85" s="207"/>
      <c r="U85" s="207"/>
      <c r="V85" s="207"/>
      <c r="W85" s="207"/>
      <c r="X85" s="207"/>
      <c r="Y85" s="207"/>
      <c r="Z85" s="207"/>
    </row>
    <row r="86" spans="1:26" ht="15.75" customHeight="1">
      <c r="A86" s="207"/>
      <c r="B86" s="207"/>
      <c r="C86" s="207"/>
      <c r="D86" s="207"/>
      <c r="E86" s="207"/>
      <c r="F86" s="207"/>
      <c r="G86" s="207"/>
      <c r="H86" s="207"/>
      <c r="I86" s="207"/>
      <c r="J86" s="207"/>
      <c r="K86" s="207"/>
      <c r="L86" s="207"/>
      <c r="M86" s="207"/>
      <c r="N86" s="207"/>
      <c r="O86" s="207"/>
      <c r="P86" s="207"/>
      <c r="Q86" s="207"/>
      <c r="R86" s="207"/>
      <c r="S86" s="207"/>
      <c r="T86" s="207"/>
      <c r="U86" s="207"/>
      <c r="V86" s="207"/>
      <c r="W86" s="207"/>
      <c r="X86" s="207"/>
      <c r="Y86" s="207"/>
      <c r="Z86" s="207"/>
    </row>
    <row r="87" spans="1:26" ht="15.75" customHeight="1">
      <c r="A87" s="207"/>
      <c r="B87" s="207"/>
      <c r="C87" s="207"/>
      <c r="D87" s="207"/>
      <c r="E87" s="207"/>
      <c r="F87" s="207"/>
      <c r="G87" s="207"/>
      <c r="H87" s="207"/>
      <c r="I87" s="207"/>
      <c r="J87" s="207"/>
      <c r="K87" s="207"/>
      <c r="L87" s="207"/>
      <c r="M87" s="207"/>
      <c r="N87" s="207"/>
      <c r="O87" s="207"/>
      <c r="P87" s="207"/>
      <c r="Q87" s="207"/>
      <c r="R87" s="207"/>
      <c r="S87" s="207"/>
      <c r="T87" s="207"/>
      <c r="U87" s="207"/>
      <c r="V87" s="207"/>
      <c r="W87" s="207"/>
      <c r="X87" s="207"/>
      <c r="Y87" s="207"/>
      <c r="Z87" s="207"/>
    </row>
    <row r="88" spans="1:26" ht="15.75" customHeight="1">
      <c r="A88" s="207"/>
      <c r="B88" s="207"/>
      <c r="C88" s="207"/>
      <c r="D88" s="207"/>
      <c r="E88" s="207"/>
      <c r="F88" s="207"/>
      <c r="G88" s="207"/>
      <c r="H88" s="207"/>
      <c r="I88" s="207"/>
      <c r="J88" s="207"/>
      <c r="K88" s="207"/>
      <c r="L88" s="207"/>
      <c r="M88" s="207"/>
      <c r="N88" s="207"/>
      <c r="O88" s="207"/>
      <c r="P88" s="207"/>
      <c r="Q88" s="207"/>
      <c r="R88" s="207"/>
      <c r="S88" s="207"/>
      <c r="T88" s="207"/>
      <c r="U88" s="207"/>
      <c r="V88" s="207"/>
      <c r="W88" s="207"/>
      <c r="X88" s="207"/>
      <c r="Y88" s="207"/>
      <c r="Z88" s="207"/>
    </row>
    <row r="89" spans="1:26" ht="15.75" customHeight="1">
      <c r="A89" s="207"/>
      <c r="B89" s="207"/>
      <c r="C89" s="207"/>
      <c r="D89" s="207"/>
      <c r="E89" s="207"/>
      <c r="F89" s="207"/>
      <c r="G89" s="207"/>
      <c r="H89" s="207"/>
      <c r="I89" s="207"/>
      <c r="J89" s="207"/>
      <c r="K89" s="207"/>
      <c r="L89" s="207"/>
      <c r="M89" s="207"/>
      <c r="N89" s="207"/>
      <c r="O89" s="207"/>
      <c r="P89" s="207"/>
      <c r="Q89" s="207"/>
      <c r="R89" s="207"/>
      <c r="S89" s="207"/>
      <c r="T89" s="207"/>
      <c r="U89" s="207"/>
      <c r="V89" s="207"/>
      <c r="W89" s="207"/>
      <c r="X89" s="207"/>
      <c r="Y89" s="207"/>
      <c r="Z89" s="207"/>
    </row>
    <row r="90" spans="1:26" ht="15.75" customHeight="1">
      <c r="A90" s="207"/>
      <c r="B90" s="207"/>
      <c r="C90" s="207"/>
      <c r="D90" s="207"/>
      <c r="E90" s="207"/>
      <c r="F90" s="207"/>
      <c r="G90" s="207"/>
      <c r="H90" s="207"/>
      <c r="I90" s="207"/>
      <c r="J90" s="207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207"/>
      <c r="V90" s="207"/>
      <c r="W90" s="207"/>
      <c r="X90" s="207"/>
      <c r="Y90" s="207"/>
      <c r="Z90" s="207"/>
    </row>
    <row r="91" spans="1:26" ht="15.75" customHeight="1">
      <c r="A91" s="207"/>
      <c r="B91" s="207"/>
      <c r="C91" s="207"/>
      <c r="D91" s="207"/>
      <c r="E91" s="207"/>
      <c r="F91" s="207"/>
      <c r="G91" s="207"/>
      <c r="H91" s="207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207"/>
      <c r="Z91" s="207"/>
    </row>
    <row r="92" spans="1:26" ht="15.75" customHeight="1">
      <c r="A92" s="207"/>
      <c r="B92" s="207"/>
      <c r="C92" s="207"/>
      <c r="D92" s="207"/>
      <c r="E92" s="207"/>
      <c r="F92" s="207"/>
      <c r="G92" s="207"/>
      <c r="H92" s="207"/>
      <c r="I92" s="207"/>
      <c r="J92" s="207"/>
      <c r="K92" s="207"/>
      <c r="L92" s="207"/>
      <c r="M92" s="207"/>
      <c r="N92" s="207"/>
      <c r="O92" s="207"/>
      <c r="P92" s="207"/>
      <c r="Q92" s="207"/>
      <c r="R92" s="207"/>
      <c r="S92" s="207"/>
      <c r="T92" s="207"/>
      <c r="U92" s="207"/>
      <c r="V92" s="207"/>
      <c r="W92" s="207"/>
      <c r="X92" s="207"/>
      <c r="Y92" s="207"/>
      <c r="Z92" s="207"/>
    </row>
    <row r="93" spans="1:26" ht="15.75" customHeight="1">
      <c r="A93" s="207"/>
      <c r="B93" s="207"/>
      <c r="C93" s="207"/>
      <c r="D93" s="207"/>
      <c r="E93" s="207"/>
      <c r="F93" s="207"/>
      <c r="G93" s="207"/>
      <c r="H93" s="207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207"/>
    </row>
    <row r="94" spans="1:26" ht="15.75" customHeight="1">
      <c r="A94" s="207"/>
      <c r="B94" s="207"/>
      <c r="C94" s="207"/>
      <c r="D94" s="207"/>
      <c r="E94" s="207"/>
      <c r="F94" s="207"/>
      <c r="G94" s="207"/>
      <c r="H94" s="207"/>
      <c r="I94" s="207"/>
      <c r="J94" s="207"/>
      <c r="K94" s="207"/>
      <c r="L94" s="207"/>
      <c r="M94" s="207"/>
      <c r="N94" s="207"/>
      <c r="O94" s="207"/>
      <c r="P94" s="207"/>
      <c r="Q94" s="207"/>
      <c r="R94" s="207"/>
      <c r="S94" s="207"/>
      <c r="T94" s="207"/>
      <c r="U94" s="207"/>
      <c r="V94" s="207"/>
      <c r="W94" s="207"/>
      <c r="X94" s="207"/>
      <c r="Y94" s="207"/>
      <c r="Z94" s="207"/>
    </row>
    <row r="95" spans="1:26" ht="15.75" customHeight="1">
      <c r="A95" s="207"/>
      <c r="B95" s="207"/>
      <c r="C95" s="207"/>
      <c r="D95" s="207"/>
      <c r="E95" s="207"/>
      <c r="F95" s="207"/>
      <c r="G95" s="207"/>
      <c r="H95" s="207"/>
      <c r="I95" s="207"/>
      <c r="J95" s="207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207"/>
      <c r="Z95" s="207"/>
    </row>
    <row r="96" spans="1:26" ht="15.75" customHeight="1">
      <c r="A96" s="207"/>
      <c r="B96" s="207"/>
      <c r="C96" s="207"/>
      <c r="D96" s="207"/>
      <c r="E96" s="207"/>
      <c r="F96" s="207"/>
      <c r="G96" s="207"/>
      <c r="H96" s="207"/>
      <c r="I96" s="207"/>
      <c r="J96" s="207"/>
      <c r="K96" s="207"/>
      <c r="L96" s="207"/>
      <c r="M96" s="207"/>
      <c r="N96" s="207"/>
      <c r="O96" s="207"/>
      <c r="P96" s="207"/>
      <c r="Q96" s="207"/>
      <c r="R96" s="207"/>
      <c r="S96" s="207"/>
      <c r="T96" s="207"/>
      <c r="U96" s="207"/>
      <c r="V96" s="207"/>
      <c r="W96" s="207"/>
      <c r="X96" s="207"/>
      <c r="Y96" s="207"/>
      <c r="Z96" s="207"/>
    </row>
    <row r="97" spans="1:26" ht="15.75" customHeight="1">
      <c r="A97" s="207"/>
      <c r="B97" s="207"/>
      <c r="C97" s="207"/>
      <c r="D97" s="207"/>
      <c r="E97" s="207"/>
      <c r="F97" s="207"/>
      <c r="G97" s="207"/>
      <c r="H97" s="207"/>
      <c r="I97" s="207"/>
      <c r="J97" s="207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207"/>
      <c r="Z97" s="207"/>
    </row>
    <row r="98" spans="1:26" ht="15.75" customHeight="1">
      <c r="A98" s="207"/>
      <c r="B98" s="207"/>
      <c r="C98" s="207"/>
      <c r="D98" s="207"/>
      <c r="E98" s="207"/>
      <c r="F98" s="207"/>
      <c r="G98" s="207"/>
      <c r="H98" s="207"/>
      <c r="I98" s="207"/>
      <c r="J98" s="207"/>
      <c r="K98" s="207"/>
      <c r="L98" s="207"/>
      <c r="M98" s="207"/>
      <c r="N98" s="207"/>
      <c r="O98" s="207"/>
      <c r="P98" s="207"/>
      <c r="Q98" s="207"/>
      <c r="R98" s="207"/>
      <c r="S98" s="207"/>
      <c r="T98" s="207"/>
      <c r="U98" s="207"/>
      <c r="V98" s="207"/>
      <c r="W98" s="207"/>
      <c r="X98" s="207"/>
      <c r="Y98" s="207"/>
      <c r="Z98" s="207"/>
    </row>
    <row r="99" spans="1:26" ht="15.75" customHeight="1">
      <c r="A99" s="207"/>
      <c r="B99" s="207"/>
      <c r="C99" s="207"/>
      <c r="D99" s="207"/>
      <c r="E99" s="207"/>
      <c r="F99" s="207"/>
      <c r="G99" s="207"/>
      <c r="H99" s="207"/>
      <c r="I99" s="207"/>
      <c r="J99" s="207"/>
      <c r="K99" s="207"/>
      <c r="L99" s="207"/>
      <c r="M99" s="207"/>
      <c r="N99" s="207"/>
      <c r="O99" s="207"/>
      <c r="P99" s="207"/>
      <c r="Q99" s="207"/>
      <c r="R99" s="207"/>
      <c r="S99" s="207"/>
      <c r="T99" s="207"/>
      <c r="U99" s="207"/>
      <c r="V99" s="207"/>
      <c r="W99" s="207"/>
      <c r="X99" s="207"/>
      <c r="Y99" s="207"/>
      <c r="Z99" s="207"/>
    </row>
    <row r="100" spans="1:26" ht="15.75" customHeight="1">
      <c r="A100" s="207"/>
      <c r="B100" s="207"/>
      <c r="C100" s="207"/>
      <c r="D100" s="207"/>
      <c r="E100" s="207"/>
      <c r="F100" s="207"/>
      <c r="G100" s="207"/>
      <c r="H100" s="207"/>
      <c r="I100" s="207"/>
      <c r="J100" s="207"/>
      <c r="K100" s="207"/>
      <c r="L100" s="20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  <c r="Z100" s="207"/>
    </row>
    <row r="101" spans="1:26" ht="15.75" customHeight="1">
      <c r="A101" s="207"/>
      <c r="B101" s="207"/>
      <c r="C101" s="207"/>
      <c r="D101" s="207"/>
      <c r="E101" s="207"/>
      <c r="F101" s="207"/>
      <c r="G101" s="207"/>
      <c r="H101" s="207"/>
      <c r="I101" s="207"/>
      <c r="J101" s="207"/>
      <c r="K101" s="207"/>
      <c r="L101" s="207"/>
      <c r="M101" s="207"/>
      <c r="N101" s="207"/>
      <c r="O101" s="207"/>
      <c r="P101" s="207"/>
      <c r="Q101" s="207"/>
      <c r="R101" s="207"/>
      <c r="S101" s="207"/>
      <c r="T101" s="207"/>
      <c r="U101" s="207"/>
      <c r="V101" s="207"/>
      <c r="W101" s="207"/>
      <c r="X101" s="207"/>
      <c r="Y101" s="207"/>
      <c r="Z101" s="207"/>
    </row>
    <row r="102" spans="1:26" ht="15.75" customHeight="1">
      <c r="A102" s="207"/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  <c r="Y102" s="207"/>
      <c r="Z102" s="207"/>
    </row>
    <row r="103" spans="1:26" ht="15.75" customHeight="1">
      <c r="A103" s="207"/>
      <c r="B103" s="207"/>
      <c r="C103" s="207"/>
      <c r="D103" s="207"/>
      <c r="E103" s="207"/>
      <c r="F103" s="207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  <c r="Y103" s="207"/>
      <c r="Z103" s="207"/>
    </row>
    <row r="104" spans="1:26" ht="15.75" customHeight="1">
      <c r="A104" s="207"/>
      <c r="B104" s="207"/>
      <c r="C104" s="207"/>
      <c r="D104" s="207"/>
      <c r="E104" s="207"/>
      <c r="F104" s="207"/>
      <c r="G104" s="207"/>
      <c r="H104" s="207"/>
      <c r="I104" s="207"/>
      <c r="J104" s="207"/>
      <c r="K104" s="207"/>
      <c r="L104" s="207"/>
      <c r="M104" s="207"/>
      <c r="N104" s="207"/>
      <c r="O104" s="207"/>
      <c r="P104" s="207"/>
      <c r="Q104" s="207"/>
      <c r="R104" s="207"/>
      <c r="S104" s="207"/>
      <c r="T104" s="207"/>
      <c r="U104" s="207"/>
      <c r="V104" s="207"/>
      <c r="W104" s="207"/>
      <c r="X104" s="207"/>
      <c r="Y104" s="207"/>
      <c r="Z104" s="207"/>
    </row>
    <row r="105" spans="1:26" ht="15.75" customHeight="1">
      <c r="A105" s="207"/>
      <c r="B105" s="207"/>
      <c r="C105" s="207"/>
      <c r="D105" s="207"/>
      <c r="E105" s="207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  <c r="Y105" s="207"/>
      <c r="Z105" s="207"/>
    </row>
    <row r="106" spans="1:26" ht="15.75" customHeight="1">
      <c r="A106" s="207"/>
      <c r="B106" s="207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07"/>
      <c r="O106" s="207"/>
      <c r="P106" s="207"/>
      <c r="Q106" s="207"/>
      <c r="R106" s="207"/>
      <c r="S106" s="207"/>
      <c r="T106" s="207"/>
      <c r="U106" s="207"/>
      <c r="V106" s="207"/>
      <c r="W106" s="207"/>
      <c r="X106" s="207"/>
      <c r="Y106" s="207"/>
      <c r="Z106" s="207"/>
    </row>
    <row r="107" spans="1:26" ht="15.75" customHeight="1">
      <c r="A107" s="207"/>
      <c r="B107" s="207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  <c r="Y107" s="207"/>
      <c r="Z107" s="207"/>
    </row>
    <row r="108" spans="1:26" ht="15.75" customHeight="1">
      <c r="A108" s="207"/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  <c r="Y108" s="207"/>
      <c r="Z108" s="207"/>
    </row>
    <row r="109" spans="1:26" ht="15.75" customHeight="1">
      <c r="A109" s="207"/>
      <c r="B109" s="207"/>
      <c r="C109" s="207"/>
      <c r="D109" s="207"/>
      <c r="E109" s="207"/>
      <c r="F109" s="207"/>
      <c r="G109" s="207"/>
      <c r="H109" s="207"/>
      <c r="I109" s="207"/>
      <c r="J109" s="207"/>
      <c r="K109" s="207"/>
      <c r="L109" s="207"/>
      <c r="M109" s="207"/>
      <c r="N109" s="207"/>
      <c r="O109" s="207"/>
      <c r="P109" s="207"/>
      <c r="Q109" s="207"/>
      <c r="R109" s="207"/>
      <c r="S109" s="207"/>
      <c r="T109" s="207"/>
      <c r="U109" s="207"/>
      <c r="V109" s="207"/>
      <c r="W109" s="207"/>
      <c r="X109" s="207"/>
      <c r="Y109" s="207"/>
      <c r="Z109" s="207"/>
    </row>
    <row r="110" spans="1:26" ht="15.75" customHeight="1">
      <c r="A110" s="207"/>
      <c r="B110" s="207"/>
      <c r="C110" s="207"/>
      <c r="D110" s="207"/>
      <c r="E110" s="207"/>
      <c r="F110" s="207"/>
      <c r="G110" s="207"/>
      <c r="H110" s="207"/>
      <c r="I110" s="207"/>
      <c r="J110" s="207"/>
      <c r="K110" s="207"/>
      <c r="L110" s="207"/>
      <c r="M110" s="207"/>
      <c r="N110" s="207"/>
      <c r="O110" s="207"/>
      <c r="P110" s="207"/>
      <c r="Q110" s="207"/>
      <c r="R110" s="207"/>
      <c r="S110" s="207"/>
      <c r="T110" s="207"/>
      <c r="U110" s="207"/>
      <c r="V110" s="207"/>
      <c r="W110" s="207"/>
      <c r="X110" s="207"/>
      <c r="Y110" s="207"/>
      <c r="Z110" s="207"/>
    </row>
    <row r="111" spans="1:26" ht="15.75" customHeight="1">
      <c r="A111" s="207"/>
      <c r="B111" s="207"/>
      <c r="C111" s="207"/>
      <c r="D111" s="207"/>
      <c r="E111" s="207"/>
      <c r="F111" s="207"/>
      <c r="G111" s="207"/>
      <c r="H111" s="207"/>
      <c r="I111" s="207"/>
      <c r="J111" s="207"/>
      <c r="K111" s="207"/>
      <c r="L111" s="207"/>
      <c r="M111" s="207"/>
      <c r="N111" s="207"/>
      <c r="O111" s="207"/>
      <c r="P111" s="207"/>
      <c r="Q111" s="207"/>
      <c r="R111" s="207"/>
      <c r="S111" s="207"/>
      <c r="T111" s="207"/>
      <c r="U111" s="207"/>
      <c r="V111" s="207"/>
      <c r="W111" s="207"/>
      <c r="X111" s="207"/>
      <c r="Y111" s="207"/>
      <c r="Z111" s="207"/>
    </row>
    <row r="112" spans="1:26" ht="15.75" customHeight="1">
      <c r="A112" s="207"/>
      <c r="B112" s="207"/>
      <c r="C112" s="207"/>
      <c r="D112" s="207"/>
      <c r="E112" s="207"/>
      <c r="F112" s="207"/>
      <c r="G112" s="207"/>
      <c r="H112" s="207"/>
      <c r="I112" s="207"/>
      <c r="J112" s="207"/>
      <c r="K112" s="207"/>
      <c r="L112" s="207"/>
      <c r="M112" s="207"/>
      <c r="N112" s="207"/>
      <c r="O112" s="207"/>
      <c r="P112" s="207"/>
      <c r="Q112" s="207"/>
      <c r="R112" s="207"/>
      <c r="S112" s="207"/>
      <c r="T112" s="207"/>
      <c r="U112" s="207"/>
      <c r="V112" s="207"/>
      <c r="W112" s="207"/>
      <c r="X112" s="207"/>
      <c r="Y112" s="207"/>
      <c r="Z112" s="207"/>
    </row>
    <row r="113" spans="1:26" ht="15.75" customHeight="1">
      <c r="A113" s="207"/>
      <c r="B113" s="207"/>
      <c r="C113" s="207"/>
      <c r="D113" s="207"/>
      <c r="E113" s="207"/>
      <c r="F113" s="207"/>
      <c r="G113" s="207"/>
      <c r="H113" s="207"/>
      <c r="I113" s="207"/>
      <c r="J113" s="207"/>
      <c r="K113" s="207"/>
      <c r="L113" s="207"/>
      <c r="M113" s="207"/>
      <c r="N113" s="207"/>
      <c r="O113" s="207"/>
      <c r="P113" s="207"/>
      <c r="Q113" s="207"/>
      <c r="R113" s="207"/>
      <c r="S113" s="207"/>
      <c r="T113" s="207"/>
      <c r="U113" s="207"/>
      <c r="V113" s="207"/>
      <c r="W113" s="207"/>
      <c r="X113" s="207"/>
      <c r="Y113" s="207"/>
      <c r="Z113" s="207"/>
    </row>
    <row r="114" spans="1:26" ht="15.75" customHeight="1">
      <c r="A114" s="207"/>
      <c r="B114" s="207"/>
      <c r="C114" s="207"/>
      <c r="D114" s="207"/>
      <c r="E114" s="207"/>
      <c r="F114" s="207"/>
      <c r="G114" s="207"/>
      <c r="H114" s="207"/>
      <c r="I114" s="207"/>
      <c r="J114" s="207"/>
      <c r="K114" s="207"/>
      <c r="L114" s="207"/>
      <c r="M114" s="207"/>
      <c r="N114" s="207"/>
      <c r="O114" s="207"/>
      <c r="P114" s="207"/>
      <c r="Q114" s="207"/>
      <c r="R114" s="207"/>
      <c r="S114" s="207"/>
      <c r="T114" s="207"/>
      <c r="U114" s="207"/>
      <c r="V114" s="207"/>
      <c r="W114" s="207"/>
      <c r="X114" s="207"/>
      <c r="Y114" s="207"/>
      <c r="Z114" s="207"/>
    </row>
    <row r="115" spans="1:26" ht="15.75" customHeight="1">
      <c r="A115" s="207"/>
      <c r="B115" s="207"/>
      <c r="C115" s="207"/>
      <c r="D115" s="207"/>
      <c r="E115" s="207"/>
      <c r="F115" s="207"/>
      <c r="G115" s="207"/>
      <c r="H115" s="207"/>
      <c r="I115" s="207"/>
      <c r="J115" s="207"/>
      <c r="K115" s="207"/>
      <c r="L115" s="207"/>
      <c r="M115" s="207"/>
      <c r="N115" s="207"/>
      <c r="O115" s="207"/>
      <c r="P115" s="207"/>
      <c r="Q115" s="207"/>
      <c r="R115" s="207"/>
      <c r="S115" s="207"/>
      <c r="T115" s="207"/>
      <c r="U115" s="207"/>
      <c r="V115" s="207"/>
      <c r="W115" s="207"/>
      <c r="X115" s="207"/>
      <c r="Y115" s="207"/>
      <c r="Z115" s="207"/>
    </row>
    <row r="116" spans="1:26" ht="15.75" customHeight="1">
      <c r="A116" s="207"/>
      <c r="B116" s="207"/>
      <c r="C116" s="207"/>
      <c r="D116" s="207"/>
      <c r="E116" s="207"/>
      <c r="F116" s="207"/>
      <c r="G116" s="207"/>
      <c r="H116" s="207"/>
      <c r="I116" s="207"/>
      <c r="J116" s="207"/>
      <c r="K116" s="207"/>
      <c r="L116" s="207"/>
      <c r="M116" s="207"/>
      <c r="N116" s="207"/>
      <c r="O116" s="207"/>
      <c r="P116" s="207"/>
      <c r="Q116" s="207"/>
      <c r="R116" s="207"/>
      <c r="S116" s="207"/>
      <c r="T116" s="207"/>
      <c r="U116" s="207"/>
      <c r="V116" s="207"/>
      <c r="W116" s="207"/>
      <c r="X116" s="207"/>
      <c r="Y116" s="207"/>
      <c r="Z116" s="207"/>
    </row>
    <row r="117" spans="1:26" ht="15.75" customHeight="1">
      <c r="A117" s="207"/>
      <c r="B117" s="207"/>
      <c r="C117" s="207"/>
      <c r="D117" s="207"/>
      <c r="E117" s="207"/>
      <c r="F117" s="207"/>
      <c r="G117" s="207"/>
      <c r="H117" s="207"/>
      <c r="I117" s="207"/>
      <c r="J117" s="207"/>
      <c r="K117" s="207"/>
      <c r="L117" s="207"/>
      <c r="M117" s="207"/>
      <c r="N117" s="207"/>
      <c r="O117" s="207"/>
      <c r="P117" s="207"/>
      <c r="Q117" s="207"/>
      <c r="R117" s="207"/>
      <c r="S117" s="207"/>
      <c r="T117" s="207"/>
      <c r="U117" s="207"/>
      <c r="V117" s="207"/>
      <c r="W117" s="207"/>
      <c r="X117" s="207"/>
      <c r="Y117" s="207"/>
      <c r="Z117" s="207"/>
    </row>
    <row r="118" spans="1:26" ht="15.75" customHeight="1">
      <c r="A118" s="207"/>
      <c r="B118" s="207"/>
      <c r="C118" s="207"/>
      <c r="D118" s="207"/>
      <c r="E118" s="207"/>
      <c r="F118" s="207"/>
      <c r="G118" s="207"/>
      <c r="H118" s="207"/>
      <c r="I118" s="207"/>
      <c r="J118" s="207"/>
      <c r="K118" s="207"/>
      <c r="L118" s="207"/>
      <c r="M118" s="207"/>
      <c r="N118" s="207"/>
      <c r="O118" s="207"/>
      <c r="P118" s="207"/>
      <c r="Q118" s="207"/>
      <c r="R118" s="207"/>
      <c r="S118" s="207"/>
      <c r="T118" s="207"/>
      <c r="U118" s="207"/>
      <c r="V118" s="207"/>
      <c r="W118" s="207"/>
      <c r="X118" s="207"/>
      <c r="Y118" s="207"/>
      <c r="Z118" s="207"/>
    </row>
    <row r="119" spans="1:26" ht="15.75" customHeight="1">
      <c r="A119" s="207"/>
      <c r="B119" s="207"/>
      <c r="C119" s="207"/>
      <c r="D119" s="207"/>
      <c r="E119" s="207"/>
      <c r="F119" s="207"/>
      <c r="G119" s="207"/>
      <c r="H119" s="207"/>
      <c r="I119" s="207"/>
      <c r="J119" s="207"/>
      <c r="K119" s="207"/>
      <c r="L119" s="207"/>
      <c r="M119" s="207"/>
      <c r="N119" s="207"/>
      <c r="O119" s="207"/>
      <c r="P119" s="207"/>
      <c r="Q119" s="207"/>
      <c r="R119" s="207"/>
      <c r="S119" s="207"/>
      <c r="T119" s="207"/>
      <c r="U119" s="207"/>
      <c r="V119" s="207"/>
      <c r="W119" s="207"/>
      <c r="X119" s="207"/>
      <c r="Y119" s="207"/>
      <c r="Z119" s="207"/>
    </row>
    <row r="120" spans="1:26" ht="15.75" customHeight="1">
      <c r="A120" s="207"/>
      <c r="B120" s="207"/>
      <c r="C120" s="207"/>
      <c r="D120" s="207"/>
      <c r="E120" s="207"/>
      <c r="F120" s="207"/>
      <c r="G120" s="207"/>
      <c r="H120" s="207"/>
      <c r="I120" s="207"/>
      <c r="J120" s="207"/>
      <c r="K120" s="207"/>
      <c r="L120" s="207"/>
      <c r="M120" s="207"/>
      <c r="N120" s="207"/>
      <c r="O120" s="207"/>
      <c r="P120" s="207"/>
      <c r="Q120" s="207"/>
      <c r="R120" s="207"/>
      <c r="S120" s="207"/>
      <c r="T120" s="207"/>
      <c r="U120" s="207"/>
      <c r="V120" s="207"/>
      <c r="W120" s="207"/>
      <c r="X120" s="207"/>
      <c r="Y120" s="207"/>
      <c r="Z120" s="207"/>
    </row>
    <row r="121" spans="1:26" ht="15.75" customHeight="1">
      <c r="A121" s="207"/>
      <c r="B121" s="207"/>
      <c r="C121" s="207"/>
      <c r="D121" s="207"/>
      <c r="E121" s="207"/>
      <c r="F121" s="207"/>
      <c r="G121" s="207"/>
      <c r="H121" s="207"/>
      <c r="I121" s="207"/>
      <c r="J121" s="207"/>
      <c r="K121" s="207"/>
      <c r="L121" s="207"/>
      <c r="M121" s="207"/>
      <c r="N121" s="207"/>
      <c r="O121" s="207"/>
      <c r="P121" s="207"/>
      <c r="Q121" s="207"/>
      <c r="R121" s="207"/>
      <c r="S121" s="207"/>
      <c r="T121" s="207"/>
      <c r="U121" s="207"/>
      <c r="V121" s="207"/>
      <c r="W121" s="207"/>
      <c r="X121" s="207"/>
      <c r="Y121" s="207"/>
      <c r="Z121" s="207"/>
    </row>
    <row r="122" spans="1:26" ht="15.75" customHeight="1">
      <c r="A122" s="207"/>
      <c r="B122" s="207"/>
      <c r="C122" s="207"/>
      <c r="D122" s="207"/>
      <c r="E122" s="207"/>
      <c r="F122" s="207"/>
      <c r="G122" s="207"/>
      <c r="H122" s="207"/>
      <c r="I122" s="207"/>
      <c r="J122" s="207"/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7"/>
      <c r="X122" s="207"/>
      <c r="Y122" s="207"/>
      <c r="Z122" s="207"/>
    </row>
    <row r="123" spans="1:26" ht="15.75" customHeight="1">
      <c r="A123" s="207"/>
      <c r="B123" s="207"/>
      <c r="C123" s="207"/>
      <c r="D123" s="207"/>
      <c r="E123" s="207"/>
      <c r="F123" s="207"/>
      <c r="G123" s="207"/>
      <c r="H123" s="207"/>
      <c r="I123" s="207"/>
      <c r="J123" s="207"/>
      <c r="K123" s="207"/>
      <c r="L123" s="207"/>
      <c r="M123" s="207"/>
      <c r="N123" s="207"/>
      <c r="O123" s="207"/>
      <c r="P123" s="207"/>
      <c r="Q123" s="207"/>
      <c r="R123" s="207"/>
      <c r="S123" s="207"/>
      <c r="T123" s="207"/>
      <c r="U123" s="207"/>
      <c r="V123" s="207"/>
      <c r="W123" s="207"/>
      <c r="X123" s="207"/>
      <c r="Y123" s="207"/>
      <c r="Z123" s="207"/>
    </row>
    <row r="124" spans="1:26" ht="15.75" customHeight="1">
      <c r="A124" s="207"/>
      <c r="B124" s="207"/>
      <c r="C124" s="207"/>
      <c r="D124" s="207"/>
      <c r="E124" s="207"/>
      <c r="F124" s="207"/>
      <c r="G124" s="207"/>
      <c r="H124" s="207"/>
      <c r="I124" s="207"/>
      <c r="J124" s="207"/>
      <c r="K124" s="207"/>
      <c r="L124" s="207"/>
      <c r="M124" s="207"/>
      <c r="N124" s="207"/>
      <c r="O124" s="207"/>
      <c r="P124" s="207"/>
      <c r="Q124" s="207"/>
      <c r="R124" s="207"/>
      <c r="S124" s="207"/>
      <c r="T124" s="207"/>
      <c r="U124" s="207"/>
      <c r="V124" s="207"/>
      <c r="W124" s="207"/>
      <c r="X124" s="207"/>
      <c r="Y124" s="207"/>
      <c r="Z124" s="207"/>
    </row>
    <row r="125" spans="1:26" ht="15.75" customHeight="1">
      <c r="A125" s="207"/>
      <c r="B125" s="207"/>
      <c r="C125" s="207"/>
      <c r="D125" s="207"/>
      <c r="E125" s="207"/>
      <c r="F125" s="207"/>
      <c r="G125" s="207"/>
      <c r="H125" s="207"/>
      <c r="I125" s="207"/>
      <c r="J125" s="207"/>
      <c r="K125" s="207"/>
      <c r="L125" s="207"/>
      <c r="M125" s="207"/>
      <c r="N125" s="207"/>
      <c r="O125" s="207"/>
      <c r="P125" s="207"/>
      <c r="Q125" s="207"/>
      <c r="R125" s="207"/>
      <c r="S125" s="207"/>
      <c r="T125" s="207"/>
      <c r="U125" s="207"/>
      <c r="V125" s="207"/>
      <c r="W125" s="207"/>
      <c r="X125" s="207"/>
      <c r="Y125" s="207"/>
      <c r="Z125" s="207"/>
    </row>
    <row r="126" spans="1:26" ht="15.75" customHeight="1">
      <c r="A126" s="207"/>
      <c r="B126" s="207"/>
      <c r="C126" s="207"/>
      <c r="D126" s="207"/>
      <c r="E126" s="207"/>
      <c r="F126" s="207"/>
      <c r="G126" s="207"/>
      <c r="H126" s="207"/>
      <c r="I126" s="207"/>
      <c r="J126" s="207"/>
      <c r="K126" s="207"/>
      <c r="L126" s="207"/>
      <c r="M126" s="207"/>
      <c r="N126" s="207"/>
      <c r="O126" s="207"/>
      <c r="P126" s="207"/>
      <c r="Q126" s="207"/>
      <c r="R126" s="207"/>
      <c r="S126" s="207"/>
      <c r="T126" s="207"/>
      <c r="U126" s="207"/>
      <c r="V126" s="207"/>
      <c r="W126" s="207"/>
      <c r="X126" s="207"/>
      <c r="Y126" s="207"/>
      <c r="Z126" s="207"/>
    </row>
    <row r="127" spans="1:26" ht="15.75" customHeight="1">
      <c r="A127" s="207"/>
      <c r="B127" s="207"/>
      <c r="C127" s="207"/>
      <c r="D127" s="207"/>
      <c r="E127" s="207"/>
      <c r="F127" s="207"/>
      <c r="G127" s="207"/>
      <c r="H127" s="207"/>
      <c r="I127" s="207"/>
      <c r="J127" s="207"/>
      <c r="K127" s="207"/>
      <c r="L127" s="207"/>
      <c r="M127" s="207"/>
      <c r="N127" s="207"/>
      <c r="O127" s="207"/>
      <c r="P127" s="207"/>
      <c r="Q127" s="207"/>
      <c r="R127" s="207"/>
      <c r="S127" s="207"/>
      <c r="T127" s="207"/>
      <c r="U127" s="207"/>
      <c r="V127" s="207"/>
      <c r="W127" s="207"/>
      <c r="X127" s="207"/>
      <c r="Y127" s="207"/>
      <c r="Z127" s="207"/>
    </row>
    <row r="128" spans="1:26" ht="15.75" customHeight="1">
      <c r="A128" s="207"/>
      <c r="B128" s="207"/>
      <c r="C128" s="207"/>
      <c r="D128" s="207"/>
      <c r="E128" s="207"/>
      <c r="F128" s="207"/>
      <c r="G128" s="207"/>
      <c r="H128" s="207"/>
      <c r="I128" s="207"/>
      <c r="J128" s="207"/>
      <c r="K128" s="207"/>
      <c r="L128" s="207"/>
      <c r="M128" s="207"/>
      <c r="N128" s="207"/>
      <c r="O128" s="207"/>
      <c r="P128" s="207"/>
      <c r="Q128" s="207"/>
      <c r="R128" s="207"/>
      <c r="S128" s="207"/>
      <c r="T128" s="207"/>
      <c r="U128" s="207"/>
      <c r="V128" s="207"/>
      <c r="W128" s="207"/>
      <c r="X128" s="207"/>
      <c r="Y128" s="207"/>
      <c r="Z128" s="207"/>
    </row>
    <row r="129" spans="1:26" ht="15.75" customHeight="1">
      <c r="A129" s="207"/>
      <c r="B129" s="207"/>
      <c r="C129" s="207"/>
      <c r="D129" s="207"/>
      <c r="E129" s="207"/>
      <c r="F129" s="207"/>
      <c r="G129" s="207"/>
      <c r="H129" s="207"/>
      <c r="I129" s="207"/>
      <c r="J129" s="207"/>
      <c r="K129" s="207"/>
      <c r="L129" s="207"/>
      <c r="M129" s="207"/>
      <c r="N129" s="207"/>
      <c r="O129" s="207"/>
      <c r="P129" s="207"/>
      <c r="Q129" s="207"/>
      <c r="R129" s="207"/>
      <c r="S129" s="207"/>
      <c r="T129" s="207"/>
      <c r="U129" s="207"/>
      <c r="V129" s="207"/>
      <c r="W129" s="207"/>
      <c r="X129" s="207"/>
      <c r="Y129" s="207"/>
      <c r="Z129" s="207"/>
    </row>
    <row r="130" spans="1:26" ht="15.75" customHeight="1">
      <c r="A130" s="207"/>
      <c r="B130" s="207"/>
      <c r="C130" s="207"/>
      <c r="D130" s="207"/>
      <c r="E130" s="207"/>
      <c r="F130" s="207"/>
      <c r="G130" s="207"/>
      <c r="H130" s="207"/>
      <c r="I130" s="207"/>
      <c r="J130" s="207"/>
      <c r="K130" s="207"/>
      <c r="L130" s="207"/>
      <c r="M130" s="207"/>
      <c r="N130" s="207"/>
      <c r="O130" s="207"/>
      <c r="P130" s="207"/>
      <c r="Q130" s="207"/>
      <c r="R130" s="207"/>
      <c r="S130" s="207"/>
      <c r="T130" s="207"/>
      <c r="U130" s="207"/>
      <c r="V130" s="207"/>
      <c r="W130" s="207"/>
      <c r="X130" s="207"/>
      <c r="Y130" s="207"/>
      <c r="Z130" s="207"/>
    </row>
    <row r="131" spans="1:26" ht="15.75" customHeight="1">
      <c r="A131" s="207"/>
      <c r="B131" s="207"/>
      <c r="C131" s="207"/>
      <c r="D131" s="207"/>
      <c r="E131" s="207"/>
      <c r="F131" s="207"/>
      <c r="G131" s="207"/>
      <c r="H131" s="207"/>
      <c r="I131" s="207"/>
      <c r="J131" s="207"/>
      <c r="K131" s="207"/>
      <c r="L131" s="207"/>
      <c r="M131" s="207"/>
      <c r="N131" s="207"/>
      <c r="O131" s="207"/>
      <c r="P131" s="207"/>
      <c r="Q131" s="207"/>
      <c r="R131" s="207"/>
      <c r="S131" s="207"/>
      <c r="T131" s="207"/>
      <c r="U131" s="207"/>
      <c r="V131" s="207"/>
      <c r="W131" s="207"/>
      <c r="X131" s="207"/>
      <c r="Y131" s="207"/>
      <c r="Z131" s="207"/>
    </row>
    <row r="132" spans="1:26" ht="15.75" customHeight="1">
      <c r="A132" s="207"/>
      <c r="B132" s="207"/>
      <c r="C132" s="207"/>
      <c r="D132" s="207"/>
      <c r="E132" s="207"/>
      <c r="F132" s="207"/>
      <c r="G132" s="207"/>
      <c r="H132" s="207"/>
      <c r="I132" s="207"/>
      <c r="J132" s="207"/>
      <c r="K132" s="207"/>
      <c r="L132" s="207"/>
      <c r="M132" s="207"/>
      <c r="N132" s="207"/>
      <c r="O132" s="207"/>
      <c r="P132" s="207"/>
      <c r="Q132" s="207"/>
      <c r="R132" s="207"/>
      <c r="S132" s="207"/>
      <c r="T132" s="207"/>
      <c r="U132" s="207"/>
      <c r="V132" s="207"/>
      <c r="W132" s="207"/>
      <c r="X132" s="207"/>
      <c r="Y132" s="207"/>
      <c r="Z132" s="207"/>
    </row>
    <row r="133" spans="1:26" ht="15.75" customHeight="1">
      <c r="A133" s="207"/>
      <c r="B133" s="207"/>
      <c r="C133" s="207"/>
      <c r="D133" s="207"/>
      <c r="E133" s="207"/>
      <c r="F133" s="207"/>
      <c r="G133" s="207"/>
      <c r="H133" s="207"/>
      <c r="I133" s="207"/>
      <c r="J133" s="207"/>
      <c r="K133" s="207"/>
      <c r="L133" s="207"/>
      <c r="M133" s="207"/>
      <c r="N133" s="207"/>
      <c r="O133" s="207"/>
      <c r="P133" s="207"/>
      <c r="Q133" s="207"/>
      <c r="R133" s="207"/>
      <c r="S133" s="207"/>
      <c r="T133" s="207"/>
      <c r="U133" s="207"/>
      <c r="V133" s="207"/>
      <c r="W133" s="207"/>
      <c r="X133" s="207"/>
      <c r="Y133" s="207"/>
      <c r="Z133" s="207"/>
    </row>
    <row r="134" spans="1:26" ht="15.75" customHeight="1">
      <c r="A134" s="207"/>
      <c r="B134" s="207"/>
      <c r="C134" s="207"/>
      <c r="D134" s="207"/>
      <c r="E134" s="207"/>
      <c r="F134" s="207"/>
      <c r="G134" s="207"/>
      <c r="H134" s="207"/>
      <c r="I134" s="207"/>
      <c r="J134" s="207"/>
      <c r="K134" s="207"/>
      <c r="L134" s="207"/>
      <c r="M134" s="207"/>
      <c r="N134" s="207"/>
      <c r="O134" s="207"/>
      <c r="P134" s="207"/>
      <c r="Q134" s="207"/>
      <c r="R134" s="207"/>
      <c r="S134" s="207"/>
      <c r="T134" s="207"/>
      <c r="U134" s="207"/>
      <c r="V134" s="207"/>
      <c r="W134" s="207"/>
      <c r="X134" s="207"/>
      <c r="Y134" s="207"/>
      <c r="Z134" s="207"/>
    </row>
    <row r="135" spans="1:26" ht="15.75" customHeight="1">
      <c r="A135" s="207"/>
      <c r="B135" s="207"/>
      <c r="C135" s="207"/>
      <c r="D135" s="207"/>
      <c r="E135" s="207"/>
      <c r="F135" s="207"/>
      <c r="G135" s="207"/>
      <c r="H135" s="207"/>
      <c r="I135" s="207"/>
      <c r="J135" s="207"/>
      <c r="K135" s="207"/>
      <c r="L135" s="207"/>
      <c r="M135" s="207"/>
      <c r="N135" s="207"/>
      <c r="O135" s="207"/>
      <c r="P135" s="207"/>
      <c r="Q135" s="207"/>
      <c r="R135" s="207"/>
      <c r="S135" s="207"/>
      <c r="T135" s="207"/>
      <c r="U135" s="207"/>
      <c r="V135" s="207"/>
      <c r="W135" s="207"/>
      <c r="X135" s="207"/>
      <c r="Y135" s="207"/>
      <c r="Z135" s="207"/>
    </row>
    <row r="136" spans="1:26" ht="15.75" customHeight="1">
      <c r="A136" s="207"/>
      <c r="B136" s="207"/>
      <c r="C136" s="207"/>
      <c r="D136" s="207"/>
      <c r="E136" s="207"/>
      <c r="F136" s="207"/>
      <c r="G136" s="207"/>
      <c r="H136" s="207"/>
      <c r="I136" s="207"/>
      <c r="J136" s="207"/>
      <c r="K136" s="207"/>
      <c r="L136" s="207"/>
      <c r="M136" s="207"/>
      <c r="N136" s="207"/>
      <c r="O136" s="207"/>
      <c r="P136" s="207"/>
      <c r="Q136" s="207"/>
      <c r="R136" s="207"/>
      <c r="S136" s="207"/>
      <c r="T136" s="207"/>
      <c r="U136" s="207"/>
      <c r="V136" s="207"/>
      <c r="W136" s="207"/>
      <c r="X136" s="207"/>
      <c r="Y136" s="207"/>
      <c r="Z136" s="207"/>
    </row>
    <row r="137" spans="1:26" ht="15.75" customHeight="1">
      <c r="A137" s="207"/>
      <c r="B137" s="207"/>
      <c r="C137" s="207"/>
      <c r="D137" s="207"/>
      <c r="E137" s="207"/>
      <c r="F137" s="207"/>
      <c r="G137" s="207"/>
      <c r="H137" s="207"/>
      <c r="I137" s="207"/>
      <c r="J137" s="207"/>
      <c r="K137" s="207"/>
      <c r="L137" s="207"/>
      <c r="M137" s="207"/>
      <c r="N137" s="207"/>
      <c r="O137" s="207"/>
      <c r="P137" s="207"/>
      <c r="Q137" s="207"/>
      <c r="R137" s="207"/>
      <c r="S137" s="207"/>
      <c r="T137" s="207"/>
      <c r="U137" s="207"/>
      <c r="V137" s="207"/>
      <c r="W137" s="207"/>
      <c r="X137" s="207"/>
      <c r="Y137" s="207"/>
      <c r="Z137" s="207"/>
    </row>
    <row r="138" spans="1:26" ht="15.75" customHeight="1">
      <c r="A138" s="207"/>
      <c r="B138" s="207"/>
      <c r="C138" s="207"/>
      <c r="D138" s="207"/>
      <c r="E138" s="207"/>
      <c r="F138" s="207"/>
      <c r="G138" s="207"/>
      <c r="H138" s="207"/>
      <c r="I138" s="207"/>
      <c r="J138" s="207"/>
      <c r="K138" s="207"/>
      <c r="L138" s="207"/>
      <c r="M138" s="207"/>
      <c r="N138" s="207"/>
      <c r="O138" s="207"/>
      <c r="P138" s="207"/>
      <c r="Q138" s="207"/>
      <c r="R138" s="207"/>
      <c r="S138" s="207"/>
      <c r="T138" s="207"/>
      <c r="U138" s="207"/>
      <c r="V138" s="207"/>
      <c r="W138" s="207"/>
      <c r="X138" s="207"/>
      <c r="Y138" s="207"/>
      <c r="Z138" s="207"/>
    </row>
    <row r="139" spans="1:26" ht="15.75" customHeight="1">
      <c r="A139" s="207"/>
      <c r="B139" s="207"/>
      <c r="C139" s="207"/>
      <c r="D139" s="207"/>
      <c r="E139" s="207"/>
      <c r="F139" s="207"/>
      <c r="G139" s="207"/>
      <c r="H139" s="207"/>
      <c r="I139" s="207"/>
      <c r="J139" s="207"/>
      <c r="K139" s="207"/>
      <c r="L139" s="207"/>
      <c r="M139" s="207"/>
      <c r="N139" s="207"/>
      <c r="O139" s="207"/>
      <c r="P139" s="207"/>
      <c r="Q139" s="207"/>
      <c r="R139" s="207"/>
      <c r="S139" s="207"/>
      <c r="T139" s="207"/>
      <c r="U139" s="207"/>
      <c r="V139" s="207"/>
      <c r="W139" s="207"/>
      <c r="X139" s="207"/>
      <c r="Y139" s="207"/>
      <c r="Z139" s="207"/>
    </row>
    <row r="140" spans="1:26" ht="15.75" customHeight="1">
      <c r="A140" s="207"/>
      <c r="B140" s="207"/>
      <c r="C140" s="207"/>
      <c r="D140" s="207"/>
      <c r="E140" s="207"/>
      <c r="F140" s="207"/>
      <c r="G140" s="207"/>
      <c r="H140" s="207"/>
      <c r="I140" s="207"/>
      <c r="J140" s="207"/>
      <c r="K140" s="207"/>
      <c r="L140" s="207"/>
      <c r="M140" s="207"/>
      <c r="N140" s="207"/>
      <c r="O140" s="207"/>
      <c r="P140" s="207"/>
      <c r="Q140" s="207"/>
      <c r="R140" s="207"/>
      <c r="S140" s="207"/>
      <c r="T140" s="207"/>
      <c r="U140" s="207"/>
      <c r="V140" s="207"/>
      <c r="W140" s="207"/>
      <c r="X140" s="207"/>
      <c r="Y140" s="207"/>
      <c r="Z140" s="207"/>
    </row>
    <row r="141" spans="1:26" ht="15.75" customHeight="1">
      <c r="A141" s="207"/>
      <c r="B141" s="207"/>
      <c r="C141" s="207"/>
      <c r="D141" s="207"/>
      <c r="E141" s="207"/>
      <c r="F141" s="207"/>
      <c r="G141" s="207"/>
      <c r="H141" s="207"/>
      <c r="I141" s="207"/>
      <c r="J141" s="207"/>
      <c r="K141" s="207"/>
      <c r="L141" s="207"/>
      <c r="M141" s="207"/>
      <c r="N141" s="207"/>
      <c r="O141" s="207"/>
      <c r="P141" s="207"/>
      <c r="Q141" s="207"/>
      <c r="R141" s="207"/>
      <c r="S141" s="207"/>
      <c r="T141" s="207"/>
      <c r="U141" s="207"/>
      <c r="V141" s="207"/>
      <c r="W141" s="207"/>
      <c r="X141" s="207"/>
      <c r="Y141" s="207"/>
      <c r="Z141" s="207"/>
    </row>
    <row r="142" spans="1:26" ht="15.75" customHeight="1">
      <c r="A142" s="207"/>
      <c r="B142" s="207"/>
      <c r="C142" s="207"/>
      <c r="D142" s="207"/>
      <c r="E142" s="207"/>
      <c r="F142" s="207"/>
      <c r="G142" s="207"/>
      <c r="H142" s="207"/>
      <c r="I142" s="207"/>
      <c r="J142" s="207"/>
      <c r="K142" s="207"/>
      <c r="L142" s="207"/>
      <c r="M142" s="207"/>
      <c r="N142" s="207"/>
      <c r="O142" s="207"/>
      <c r="P142" s="207"/>
      <c r="Q142" s="207"/>
      <c r="R142" s="207"/>
      <c r="S142" s="207"/>
      <c r="T142" s="207"/>
      <c r="U142" s="207"/>
      <c r="V142" s="207"/>
      <c r="W142" s="207"/>
      <c r="X142" s="207"/>
      <c r="Y142" s="207"/>
      <c r="Z142" s="207"/>
    </row>
    <row r="143" spans="1:26" ht="15.75" customHeight="1">
      <c r="A143" s="207"/>
      <c r="B143" s="207"/>
      <c r="C143" s="207"/>
      <c r="D143" s="207"/>
      <c r="E143" s="207"/>
      <c r="F143" s="207"/>
      <c r="G143" s="207"/>
      <c r="H143" s="207"/>
      <c r="I143" s="207"/>
      <c r="J143" s="207"/>
      <c r="K143" s="207"/>
      <c r="L143" s="207"/>
      <c r="M143" s="207"/>
      <c r="N143" s="207"/>
      <c r="O143" s="207"/>
      <c r="P143" s="207"/>
      <c r="Q143" s="207"/>
      <c r="R143" s="207"/>
      <c r="S143" s="207"/>
      <c r="T143" s="207"/>
      <c r="U143" s="207"/>
      <c r="V143" s="207"/>
      <c r="W143" s="207"/>
      <c r="X143" s="207"/>
      <c r="Y143" s="207"/>
      <c r="Z143" s="207"/>
    </row>
    <row r="144" spans="1:26" ht="15.75" customHeight="1">
      <c r="A144" s="207"/>
      <c r="B144" s="207"/>
      <c r="C144" s="207"/>
      <c r="D144" s="207"/>
      <c r="E144" s="207"/>
      <c r="F144" s="207"/>
      <c r="G144" s="207"/>
      <c r="H144" s="207"/>
      <c r="I144" s="207"/>
      <c r="J144" s="207"/>
      <c r="K144" s="207"/>
      <c r="L144" s="207"/>
      <c r="M144" s="207"/>
      <c r="N144" s="207"/>
      <c r="O144" s="207"/>
      <c r="P144" s="207"/>
      <c r="Q144" s="207"/>
      <c r="R144" s="207"/>
      <c r="S144" s="207"/>
      <c r="T144" s="207"/>
      <c r="U144" s="207"/>
      <c r="V144" s="207"/>
      <c r="W144" s="207"/>
      <c r="X144" s="207"/>
      <c r="Y144" s="207"/>
      <c r="Z144" s="207"/>
    </row>
    <row r="145" spans="1:26" ht="15.75" customHeight="1">
      <c r="A145" s="207"/>
      <c r="B145" s="207"/>
      <c r="C145" s="207"/>
      <c r="D145" s="207"/>
      <c r="E145" s="207"/>
      <c r="F145" s="207"/>
      <c r="G145" s="207"/>
      <c r="H145" s="207"/>
      <c r="I145" s="207"/>
      <c r="J145" s="207"/>
      <c r="K145" s="207"/>
      <c r="L145" s="207"/>
      <c r="M145" s="207"/>
      <c r="N145" s="207"/>
      <c r="O145" s="207"/>
      <c r="P145" s="207"/>
      <c r="Q145" s="207"/>
      <c r="R145" s="207"/>
      <c r="S145" s="207"/>
      <c r="T145" s="207"/>
      <c r="U145" s="207"/>
      <c r="V145" s="207"/>
      <c r="W145" s="207"/>
      <c r="X145" s="207"/>
      <c r="Y145" s="207"/>
      <c r="Z145" s="207"/>
    </row>
    <row r="146" spans="1:26" ht="15.75" customHeight="1">
      <c r="A146" s="207"/>
      <c r="B146" s="207"/>
      <c r="C146" s="207"/>
      <c r="D146" s="207"/>
      <c r="E146" s="207"/>
      <c r="F146" s="207"/>
      <c r="G146" s="207"/>
      <c r="H146" s="207"/>
      <c r="I146" s="207"/>
      <c r="J146" s="207"/>
      <c r="K146" s="207"/>
      <c r="L146" s="207"/>
      <c r="M146" s="207"/>
      <c r="N146" s="207"/>
      <c r="O146" s="207"/>
      <c r="P146" s="207"/>
      <c r="Q146" s="207"/>
      <c r="R146" s="207"/>
      <c r="S146" s="207"/>
      <c r="T146" s="207"/>
      <c r="U146" s="207"/>
      <c r="V146" s="207"/>
      <c r="W146" s="207"/>
      <c r="X146" s="207"/>
      <c r="Y146" s="207"/>
      <c r="Z146" s="207"/>
    </row>
    <row r="147" spans="1:26" ht="15.75" customHeight="1">
      <c r="A147" s="207"/>
      <c r="B147" s="207"/>
      <c r="C147" s="207"/>
      <c r="D147" s="207"/>
      <c r="E147" s="207"/>
      <c r="F147" s="207"/>
      <c r="G147" s="207"/>
      <c r="H147" s="207"/>
      <c r="I147" s="207"/>
      <c r="J147" s="207"/>
      <c r="K147" s="207"/>
      <c r="L147" s="207"/>
      <c r="M147" s="207"/>
      <c r="N147" s="207"/>
      <c r="O147" s="207"/>
      <c r="P147" s="207"/>
      <c r="Q147" s="207"/>
      <c r="R147" s="207"/>
      <c r="S147" s="207"/>
      <c r="T147" s="207"/>
      <c r="U147" s="207"/>
      <c r="V147" s="207"/>
      <c r="W147" s="207"/>
      <c r="X147" s="207"/>
      <c r="Y147" s="207"/>
      <c r="Z147" s="207"/>
    </row>
    <row r="148" spans="1:26" ht="15.75" customHeight="1">
      <c r="A148" s="207"/>
      <c r="B148" s="207"/>
      <c r="C148" s="207"/>
      <c r="D148" s="207"/>
      <c r="E148" s="207"/>
      <c r="F148" s="207"/>
      <c r="G148" s="207"/>
      <c r="H148" s="207"/>
      <c r="I148" s="207"/>
      <c r="J148" s="207"/>
      <c r="K148" s="207"/>
      <c r="L148" s="207"/>
      <c r="M148" s="207"/>
      <c r="N148" s="207"/>
      <c r="O148" s="207"/>
      <c r="P148" s="207"/>
      <c r="Q148" s="207"/>
      <c r="R148" s="207"/>
      <c r="S148" s="207"/>
      <c r="T148" s="207"/>
      <c r="U148" s="207"/>
      <c r="V148" s="207"/>
      <c r="W148" s="207"/>
      <c r="X148" s="207"/>
      <c r="Y148" s="207"/>
      <c r="Z148" s="207"/>
    </row>
    <row r="149" spans="1:26" ht="15.75" customHeight="1">
      <c r="A149" s="207"/>
      <c r="B149" s="207"/>
      <c r="C149" s="207"/>
      <c r="D149" s="207"/>
      <c r="E149" s="207"/>
      <c r="F149" s="207"/>
      <c r="G149" s="207"/>
      <c r="H149" s="207"/>
      <c r="I149" s="207"/>
      <c r="J149" s="207"/>
      <c r="K149" s="207"/>
      <c r="L149" s="207"/>
      <c r="M149" s="207"/>
      <c r="N149" s="207"/>
      <c r="O149" s="207"/>
      <c r="P149" s="207"/>
      <c r="Q149" s="207"/>
      <c r="R149" s="207"/>
      <c r="S149" s="207"/>
      <c r="T149" s="207"/>
      <c r="U149" s="207"/>
      <c r="V149" s="207"/>
      <c r="W149" s="207"/>
      <c r="X149" s="207"/>
      <c r="Y149" s="207"/>
      <c r="Z149" s="207"/>
    </row>
    <row r="150" spans="1:26" ht="15.75" customHeight="1">
      <c r="A150" s="207"/>
      <c r="B150" s="207"/>
      <c r="C150" s="207"/>
      <c r="D150" s="207"/>
      <c r="E150" s="207"/>
      <c r="F150" s="207"/>
      <c r="G150" s="207"/>
      <c r="H150" s="207"/>
      <c r="I150" s="207"/>
      <c r="J150" s="207"/>
      <c r="K150" s="207"/>
      <c r="L150" s="207"/>
      <c r="M150" s="207"/>
      <c r="N150" s="207"/>
      <c r="O150" s="207"/>
      <c r="P150" s="207"/>
      <c r="Q150" s="207"/>
      <c r="R150" s="207"/>
      <c r="S150" s="207"/>
      <c r="T150" s="207"/>
      <c r="U150" s="207"/>
      <c r="V150" s="207"/>
      <c r="W150" s="207"/>
      <c r="X150" s="207"/>
      <c r="Y150" s="207"/>
      <c r="Z150" s="207"/>
    </row>
    <row r="151" spans="1:26" ht="15.75" customHeight="1">
      <c r="A151" s="207"/>
      <c r="B151" s="207"/>
      <c r="C151" s="207"/>
      <c r="D151" s="207"/>
      <c r="E151" s="207"/>
      <c r="F151" s="207"/>
      <c r="G151" s="207"/>
      <c r="H151" s="207"/>
      <c r="I151" s="207"/>
      <c r="J151" s="207"/>
      <c r="K151" s="207"/>
      <c r="L151" s="207"/>
      <c r="M151" s="207"/>
      <c r="N151" s="207"/>
      <c r="O151" s="207"/>
      <c r="P151" s="207"/>
      <c r="Q151" s="207"/>
      <c r="R151" s="207"/>
      <c r="S151" s="207"/>
      <c r="T151" s="207"/>
      <c r="U151" s="207"/>
      <c r="V151" s="207"/>
      <c r="W151" s="207"/>
      <c r="X151" s="207"/>
      <c r="Y151" s="207"/>
      <c r="Z151" s="207"/>
    </row>
    <row r="152" spans="1:26" ht="15.75" customHeight="1">
      <c r="A152" s="207"/>
      <c r="B152" s="207"/>
      <c r="C152" s="207"/>
      <c r="D152" s="207"/>
      <c r="E152" s="207"/>
      <c r="F152" s="207"/>
      <c r="G152" s="207"/>
      <c r="H152" s="207"/>
      <c r="I152" s="207"/>
      <c r="J152" s="207"/>
      <c r="K152" s="207"/>
      <c r="L152" s="207"/>
      <c r="M152" s="207"/>
      <c r="N152" s="207"/>
      <c r="O152" s="207"/>
      <c r="P152" s="207"/>
      <c r="Q152" s="207"/>
      <c r="R152" s="207"/>
      <c r="S152" s="207"/>
      <c r="T152" s="207"/>
      <c r="U152" s="207"/>
      <c r="V152" s="207"/>
      <c r="W152" s="207"/>
      <c r="X152" s="207"/>
      <c r="Y152" s="207"/>
      <c r="Z152" s="207"/>
    </row>
    <row r="153" spans="1:26" ht="15.75" customHeight="1">
      <c r="A153" s="207"/>
      <c r="B153" s="207"/>
      <c r="C153" s="207"/>
      <c r="D153" s="207"/>
      <c r="E153" s="207"/>
      <c r="F153" s="207"/>
      <c r="G153" s="207"/>
      <c r="H153" s="207"/>
      <c r="I153" s="207"/>
      <c r="J153" s="207"/>
      <c r="K153" s="207"/>
      <c r="L153" s="207"/>
      <c r="M153" s="207"/>
      <c r="N153" s="207"/>
      <c r="O153" s="207"/>
      <c r="P153" s="207"/>
      <c r="Q153" s="207"/>
      <c r="R153" s="207"/>
      <c r="S153" s="207"/>
      <c r="T153" s="207"/>
      <c r="U153" s="207"/>
      <c r="V153" s="207"/>
      <c r="W153" s="207"/>
      <c r="X153" s="207"/>
      <c r="Y153" s="207"/>
      <c r="Z153" s="207"/>
    </row>
    <row r="154" spans="1:26" ht="15.75" customHeight="1">
      <c r="A154" s="207"/>
      <c r="B154" s="207"/>
      <c r="C154" s="207"/>
      <c r="D154" s="207"/>
      <c r="E154" s="207"/>
      <c r="F154" s="207"/>
      <c r="G154" s="207"/>
      <c r="H154" s="207"/>
      <c r="I154" s="207"/>
      <c r="J154" s="207"/>
      <c r="K154" s="207"/>
      <c r="L154" s="207"/>
      <c r="M154" s="207"/>
      <c r="N154" s="207"/>
      <c r="O154" s="207"/>
      <c r="P154" s="207"/>
      <c r="Q154" s="207"/>
      <c r="R154" s="207"/>
      <c r="S154" s="207"/>
      <c r="T154" s="207"/>
      <c r="U154" s="207"/>
      <c r="V154" s="207"/>
      <c r="W154" s="207"/>
      <c r="X154" s="207"/>
      <c r="Y154" s="207"/>
      <c r="Z154" s="207"/>
    </row>
    <row r="155" spans="1:26" ht="15.75" customHeight="1">
      <c r="A155" s="207"/>
      <c r="B155" s="207"/>
      <c r="C155" s="207"/>
      <c r="D155" s="207"/>
      <c r="E155" s="207"/>
      <c r="F155" s="207"/>
      <c r="G155" s="207"/>
      <c r="H155" s="207"/>
      <c r="I155" s="207"/>
      <c r="J155" s="207"/>
      <c r="K155" s="207"/>
      <c r="L155" s="207"/>
      <c r="M155" s="207"/>
      <c r="N155" s="207"/>
      <c r="O155" s="207"/>
      <c r="P155" s="207"/>
      <c r="Q155" s="207"/>
      <c r="R155" s="207"/>
      <c r="S155" s="207"/>
      <c r="T155" s="207"/>
      <c r="U155" s="207"/>
      <c r="V155" s="207"/>
      <c r="W155" s="207"/>
      <c r="X155" s="207"/>
      <c r="Y155" s="207"/>
      <c r="Z155" s="207"/>
    </row>
    <row r="156" spans="1:26" ht="15.75" customHeight="1">
      <c r="A156" s="207"/>
      <c r="B156" s="207"/>
      <c r="C156" s="207"/>
      <c r="D156" s="207"/>
      <c r="E156" s="207"/>
      <c r="F156" s="207"/>
      <c r="G156" s="207"/>
      <c r="H156" s="207"/>
      <c r="I156" s="207"/>
      <c r="J156" s="207"/>
      <c r="K156" s="207"/>
      <c r="L156" s="207"/>
      <c r="M156" s="207"/>
      <c r="N156" s="207"/>
      <c r="O156" s="207"/>
      <c r="P156" s="207"/>
      <c r="Q156" s="207"/>
      <c r="R156" s="207"/>
      <c r="S156" s="207"/>
      <c r="T156" s="207"/>
      <c r="U156" s="207"/>
      <c r="V156" s="207"/>
      <c r="W156" s="207"/>
      <c r="X156" s="207"/>
      <c r="Y156" s="207"/>
      <c r="Z156" s="207"/>
    </row>
    <row r="157" spans="1:26" ht="15.75" customHeight="1">
      <c r="A157" s="207"/>
      <c r="B157" s="207"/>
      <c r="C157" s="207"/>
      <c r="D157" s="207"/>
      <c r="E157" s="207"/>
      <c r="F157" s="207"/>
      <c r="G157" s="207"/>
      <c r="H157" s="207"/>
      <c r="I157" s="207"/>
      <c r="J157" s="207"/>
      <c r="K157" s="207"/>
      <c r="L157" s="207"/>
      <c r="M157" s="207"/>
      <c r="N157" s="207"/>
      <c r="O157" s="207"/>
      <c r="P157" s="207"/>
      <c r="Q157" s="207"/>
      <c r="R157" s="207"/>
      <c r="S157" s="207"/>
      <c r="T157" s="207"/>
      <c r="U157" s="207"/>
      <c r="V157" s="207"/>
      <c r="W157" s="207"/>
      <c r="X157" s="207"/>
      <c r="Y157" s="207"/>
      <c r="Z157" s="207"/>
    </row>
    <row r="158" spans="1:26" ht="15.75" customHeight="1">
      <c r="A158" s="207"/>
      <c r="B158" s="207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07"/>
      <c r="O158" s="207"/>
      <c r="P158" s="207"/>
      <c r="Q158" s="207"/>
      <c r="R158" s="207"/>
      <c r="S158" s="207"/>
      <c r="T158" s="207"/>
      <c r="U158" s="207"/>
      <c r="V158" s="207"/>
      <c r="W158" s="207"/>
      <c r="X158" s="207"/>
      <c r="Y158" s="207"/>
      <c r="Z158" s="207"/>
    </row>
    <row r="159" spans="1:26" ht="15.75" customHeight="1">
      <c r="A159" s="207"/>
      <c r="B159" s="207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07"/>
      <c r="O159" s="207"/>
      <c r="P159" s="207"/>
      <c r="Q159" s="207"/>
      <c r="R159" s="207"/>
      <c r="S159" s="207"/>
      <c r="T159" s="207"/>
      <c r="U159" s="207"/>
      <c r="V159" s="207"/>
      <c r="W159" s="207"/>
      <c r="X159" s="207"/>
      <c r="Y159" s="207"/>
      <c r="Z159" s="207"/>
    </row>
    <row r="160" spans="1:26" ht="15.75" customHeight="1">
      <c r="A160" s="207"/>
      <c r="B160" s="207"/>
      <c r="C160" s="207"/>
      <c r="D160" s="207"/>
      <c r="E160" s="207"/>
      <c r="F160" s="207"/>
      <c r="G160" s="207"/>
      <c r="H160" s="207"/>
      <c r="I160" s="207"/>
      <c r="J160" s="207"/>
      <c r="K160" s="207"/>
      <c r="L160" s="207"/>
      <c r="M160" s="207"/>
      <c r="N160" s="207"/>
      <c r="O160" s="207"/>
      <c r="P160" s="207"/>
      <c r="Q160" s="207"/>
      <c r="R160" s="207"/>
      <c r="S160" s="207"/>
      <c r="T160" s="207"/>
      <c r="U160" s="207"/>
      <c r="V160" s="207"/>
      <c r="W160" s="207"/>
      <c r="X160" s="207"/>
      <c r="Y160" s="207"/>
      <c r="Z160" s="207"/>
    </row>
    <row r="161" spans="1:26" ht="15.75" customHeight="1">
      <c r="A161" s="207"/>
      <c r="B161" s="207"/>
      <c r="C161" s="207"/>
      <c r="D161" s="207"/>
      <c r="E161" s="207"/>
      <c r="F161" s="207"/>
      <c r="G161" s="207"/>
      <c r="H161" s="207"/>
      <c r="I161" s="207"/>
      <c r="J161" s="207"/>
      <c r="K161" s="207"/>
      <c r="L161" s="207"/>
      <c r="M161" s="207"/>
      <c r="N161" s="207"/>
      <c r="O161" s="207"/>
      <c r="P161" s="207"/>
      <c r="Q161" s="207"/>
      <c r="R161" s="207"/>
      <c r="S161" s="207"/>
      <c r="T161" s="207"/>
      <c r="U161" s="207"/>
      <c r="V161" s="207"/>
      <c r="W161" s="207"/>
      <c r="X161" s="207"/>
      <c r="Y161" s="207"/>
      <c r="Z161" s="207"/>
    </row>
    <row r="162" spans="1:26" ht="15.75" customHeight="1">
      <c r="A162" s="207"/>
      <c r="B162" s="207"/>
      <c r="C162" s="207"/>
      <c r="D162" s="207"/>
      <c r="E162" s="207"/>
      <c r="F162" s="207"/>
      <c r="G162" s="207"/>
      <c r="H162" s="207"/>
      <c r="I162" s="207"/>
      <c r="J162" s="207"/>
      <c r="K162" s="207"/>
      <c r="L162" s="207"/>
      <c r="M162" s="207"/>
      <c r="N162" s="207"/>
      <c r="O162" s="207"/>
      <c r="P162" s="207"/>
      <c r="Q162" s="207"/>
      <c r="R162" s="207"/>
      <c r="S162" s="207"/>
      <c r="T162" s="207"/>
      <c r="U162" s="207"/>
      <c r="V162" s="207"/>
      <c r="W162" s="207"/>
      <c r="X162" s="207"/>
      <c r="Y162" s="207"/>
      <c r="Z162" s="207"/>
    </row>
    <row r="163" spans="1:26" ht="15.75" customHeight="1">
      <c r="A163" s="207"/>
      <c r="B163" s="207"/>
      <c r="C163" s="207"/>
      <c r="D163" s="207"/>
      <c r="E163" s="207"/>
      <c r="F163" s="207"/>
      <c r="G163" s="207"/>
      <c r="H163" s="207"/>
      <c r="I163" s="207"/>
      <c r="J163" s="207"/>
      <c r="K163" s="207"/>
      <c r="L163" s="207"/>
      <c r="M163" s="207"/>
      <c r="N163" s="207"/>
      <c r="O163" s="207"/>
      <c r="P163" s="207"/>
      <c r="Q163" s="207"/>
      <c r="R163" s="207"/>
      <c r="S163" s="207"/>
      <c r="T163" s="207"/>
      <c r="U163" s="207"/>
      <c r="V163" s="207"/>
      <c r="W163" s="207"/>
      <c r="X163" s="207"/>
      <c r="Y163" s="207"/>
      <c r="Z163" s="207"/>
    </row>
    <row r="164" spans="1:26" ht="15.75" customHeight="1">
      <c r="A164" s="207"/>
      <c r="B164" s="207"/>
      <c r="C164" s="207"/>
      <c r="D164" s="207"/>
      <c r="E164" s="207"/>
      <c r="F164" s="207"/>
      <c r="G164" s="207"/>
      <c r="H164" s="207"/>
      <c r="I164" s="207"/>
      <c r="J164" s="207"/>
      <c r="K164" s="207"/>
      <c r="L164" s="207"/>
      <c r="M164" s="207"/>
      <c r="N164" s="207"/>
      <c r="O164" s="207"/>
      <c r="P164" s="207"/>
      <c r="Q164" s="207"/>
      <c r="R164" s="207"/>
      <c r="S164" s="207"/>
      <c r="T164" s="207"/>
      <c r="U164" s="207"/>
      <c r="V164" s="207"/>
      <c r="W164" s="207"/>
      <c r="X164" s="207"/>
      <c r="Y164" s="207"/>
      <c r="Z164" s="207"/>
    </row>
    <row r="165" spans="1:26" ht="15.75" customHeight="1">
      <c r="A165" s="207"/>
      <c r="B165" s="207"/>
      <c r="C165" s="207"/>
      <c r="D165" s="207"/>
      <c r="E165" s="207"/>
      <c r="F165" s="207"/>
      <c r="G165" s="207"/>
      <c r="H165" s="207"/>
      <c r="I165" s="207"/>
      <c r="J165" s="207"/>
      <c r="K165" s="207"/>
      <c r="L165" s="207"/>
      <c r="M165" s="207"/>
      <c r="N165" s="207"/>
      <c r="O165" s="207"/>
      <c r="P165" s="207"/>
      <c r="Q165" s="207"/>
      <c r="R165" s="207"/>
      <c r="S165" s="207"/>
      <c r="T165" s="207"/>
      <c r="U165" s="207"/>
      <c r="V165" s="207"/>
      <c r="W165" s="207"/>
      <c r="X165" s="207"/>
      <c r="Y165" s="207"/>
      <c r="Z165" s="207"/>
    </row>
    <row r="166" spans="1:26" ht="15.75" customHeight="1">
      <c r="A166" s="207"/>
      <c r="B166" s="207"/>
      <c r="C166" s="207"/>
      <c r="D166" s="207"/>
      <c r="E166" s="207"/>
      <c r="F166" s="207"/>
      <c r="G166" s="207"/>
      <c r="H166" s="207"/>
      <c r="I166" s="207"/>
      <c r="J166" s="207"/>
      <c r="K166" s="207"/>
      <c r="L166" s="207"/>
      <c r="M166" s="207"/>
      <c r="N166" s="207"/>
      <c r="O166" s="207"/>
      <c r="P166" s="207"/>
      <c r="Q166" s="207"/>
      <c r="R166" s="207"/>
      <c r="S166" s="207"/>
      <c r="T166" s="207"/>
      <c r="U166" s="207"/>
      <c r="V166" s="207"/>
      <c r="W166" s="207"/>
      <c r="X166" s="207"/>
      <c r="Y166" s="207"/>
      <c r="Z166" s="207"/>
    </row>
    <row r="167" spans="1:26" ht="15.75" customHeight="1">
      <c r="A167" s="207"/>
      <c r="B167" s="207"/>
      <c r="C167" s="207"/>
      <c r="D167" s="207"/>
      <c r="E167" s="207"/>
      <c r="F167" s="207"/>
      <c r="G167" s="207"/>
      <c r="H167" s="207"/>
      <c r="I167" s="207"/>
      <c r="J167" s="207"/>
      <c r="K167" s="207"/>
      <c r="L167" s="207"/>
      <c r="M167" s="207"/>
      <c r="N167" s="207"/>
      <c r="O167" s="207"/>
      <c r="P167" s="207"/>
      <c r="Q167" s="207"/>
      <c r="R167" s="207"/>
      <c r="S167" s="207"/>
      <c r="T167" s="207"/>
      <c r="U167" s="207"/>
      <c r="V167" s="207"/>
      <c r="W167" s="207"/>
      <c r="X167" s="207"/>
      <c r="Y167" s="207"/>
      <c r="Z167" s="207"/>
    </row>
    <row r="168" spans="1:26" ht="15.75" customHeight="1">
      <c r="A168" s="207"/>
      <c r="B168" s="207"/>
      <c r="C168" s="207"/>
      <c r="D168" s="207"/>
      <c r="E168" s="207"/>
      <c r="F168" s="207"/>
      <c r="G168" s="207"/>
      <c r="H168" s="207"/>
      <c r="I168" s="207"/>
      <c r="J168" s="207"/>
      <c r="K168" s="207"/>
      <c r="L168" s="207"/>
      <c r="M168" s="207"/>
      <c r="N168" s="207"/>
      <c r="O168" s="207"/>
      <c r="P168" s="207"/>
      <c r="Q168" s="207"/>
      <c r="R168" s="207"/>
      <c r="S168" s="207"/>
      <c r="T168" s="207"/>
      <c r="U168" s="207"/>
      <c r="V168" s="207"/>
      <c r="W168" s="207"/>
      <c r="X168" s="207"/>
      <c r="Y168" s="207"/>
      <c r="Z168" s="207"/>
    </row>
    <row r="169" spans="1:26" ht="15.75" customHeight="1">
      <c r="A169" s="207"/>
      <c r="B169" s="207"/>
      <c r="C169" s="207"/>
      <c r="D169" s="207"/>
      <c r="E169" s="207"/>
      <c r="F169" s="207"/>
      <c r="G169" s="207"/>
      <c r="H169" s="207"/>
      <c r="I169" s="207"/>
      <c r="J169" s="207"/>
      <c r="K169" s="207"/>
      <c r="L169" s="207"/>
      <c r="M169" s="207"/>
      <c r="N169" s="207"/>
      <c r="O169" s="207"/>
      <c r="P169" s="207"/>
      <c r="Q169" s="207"/>
      <c r="R169" s="207"/>
      <c r="S169" s="207"/>
      <c r="T169" s="207"/>
      <c r="U169" s="207"/>
      <c r="V169" s="207"/>
      <c r="W169" s="207"/>
      <c r="X169" s="207"/>
      <c r="Y169" s="207"/>
      <c r="Z169" s="207"/>
    </row>
    <row r="170" spans="1:26" ht="15.75" customHeight="1">
      <c r="A170" s="207"/>
      <c r="B170" s="207"/>
      <c r="C170" s="207"/>
      <c r="D170" s="207"/>
      <c r="E170" s="207"/>
      <c r="F170" s="207"/>
      <c r="G170" s="207"/>
      <c r="H170" s="207"/>
      <c r="I170" s="207"/>
      <c r="J170" s="207"/>
      <c r="K170" s="207"/>
      <c r="L170" s="207"/>
      <c r="M170" s="207"/>
      <c r="N170" s="207"/>
      <c r="O170" s="207"/>
      <c r="P170" s="207"/>
      <c r="Q170" s="207"/>
      <c r="R170" s="207"/>
      <c r="S170" s="207"/>
      <c r="T170" s="207"/>
      <c r="U170" s="207"/>
      <c r="V170" s="207"/>
      <c r="W170" s="207"/>
      <c r="X170" s="207"/>
      <c r="Y170" s="207"/>
      <c r="Z170" s="207"/>
    </row>
    <row r="171" spans="1:26" ht="15.75" customHeight="1">
      <c r="A171" s="207"/>
      <c r="B171" s="207"/>
      <c r="C171" s="207"/>
      <c r="D171" s="207"/>
      <c r="E171" s="207"/>
      <c r="F171" s="207"/>
      <c r="G171" s="207"/>
      <c r="H171" s="207"/>
      <c r="I171" s="207"/>
      <c r="J171" s="207"/>
      <c r="K171" s="207"/>
      <c r="L171" s="207"/>
      <c r="M171" s="207"/>
      <c r="N171" s="207"/>
      <c r="O171" s="207"/>
      <c r="P171" s="207"/>
      <c r="Q171" s="207"/>
      <c r="R171" s="207"/>
      <c r="S171" s="207"/>
      <c r="T171" s="207"/>
      <c r="U171" s="207"/>
      <c r="V171" s="207"/>
      <c r="W171" s="207"/>
      <c r="X171" s="207"/>
      <c r="Y171" s="207"/>
      <c r="Z171" s="207"/>
    </row>
    <row r="172" spans="1:26" ht="15.75" customHeight="1">
      <c r="A172" s="207"/>
      <c r="B172" s="207"/>
      <c r="C172" s="207"/>
      <c r="D172" s="207"/>
      <c r="E172" s="207"/>
      <c r="F172" s="207"/>
      <c r="G172" s="207"/>
      <c r="H172" s="207"/>
      <c r="I172" s="207"/>
      <c r="J172" s="207"/>
      <c r="K172" s="207"/>
      <c r="L172" s="207"/>
      <c r="M172" s="207"/>
      <c r="N172" s="207"/>
      <c r="O172" s="207"/>
      <c r="P172" s="207"/>
      <c r="Q172" s="207"/>
      <c r="R172" s="207"/>
      <c r="S172" s="207"/>
      <c r="T172" s="207"/>
      <c r="U172" s="207"/>
      <c r="V172" s="207"/>
      <c r="W172" s="207"/>
      <c r="X172" s="207"/>
      <c r="Y172" s="207"/>
      <c r="Z172" s="207"/>
    </row>
    <row r="173" spans="1:26" ht="15.75" customHeight="1">
      <c r="A173" s="207"/>
      <c r="B173" s="207"/>
      <c r="C173" s="207"/>
      <c r="D173" s="207"/>
      <c r="E173" s="207"/>
      <c r="F173" s="207"/>
      <c r="G173" s="207"/>
      <c r="H173" s="207"/>
      <c r="I173" s="207"/>
      <c r="J173" s="207"/>
      <c r="K173" s="207"/>
      <c r="L173" s="207"/>
      <c r="M173" s="207"/>
      <c r="N173" s="207"/>
      <c r="O173" s="207"/>
      <c r="P173" s="207"/>
      <c r="Q173" s="207"/>
      <c r="R173" s="207"/>
      <c r="S173" s="207"/>
      <c r="T173" s="207"/>
      <c r="U173" s="207"/>
      <c r="V173" s="207"/>
      <c r="W173" s="207"/>
      <c r="X173" s="207"/>
      <c r="Y173" s="207"/>
      <c r="Z173" s="207"/>
    </row>
    <row r="174" spans="1:26" ht="15.75" customHeight="1">
      <c r="A174" s="207"/>
      <c r="B174" s="207"/>
      <c r="C174" s="207"/>
      <c r="D174" s="207"/>
      <c r="E174" s="207"/>
      <c r="F174" s="207"/>
      <c r="G174" s="207"/>
      <c r="H174" s="207"/>
      <c r="I174" s="207"/>
      <c r="J174" s="207"/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7"/>
      <c r="X174" s="207"/>
      <c r="Y174" s="207"/>
      <c r="Z174" s="207"/>
    </row>
    <row r="175" spans="1:26" ht="15.75" customHeight="1">
      <c r="A175" s="207"/>
      <c r="B175" s="207"/>
      <c r="C175" s="207"/>
      <c r="D175" s="207"/>
      <c r="E175" s="207"/>
      <c r="F175" s="207"/>
      <c r="G175" s="207"/>
      <c r="H175" s="207"/>
      <c r="I175" s="207"/>
      <c r="J175" s="207"/>
      <c r="K175" s="207"/>
      <c r="L175" s="207"/>
      <c r="M175" s="207"/>
      <c r="N175" s="207"/>
      <c r="O175" s="207"/>
      <c r="P175" s="207"/>
      <c r="Q175" s="207"/>
      <c r="R175" s="207"/>
      <c r="S175" s="207"/>
      <c r="T175" s="207"/>
      <c r="U175" s="207"/>
      <c r="V175" s="207"/>
      <c r="W175" s="207"/>
      <c r="X175" s="207"/>
      <c r="Y175" s="207"/>
      <c r="Z175" s="207"/>
    </row>
    <row r="176" spans="1:26" ht="15.75" customHeight="1">
      <c r="A176" s="207"/>
      <c r="B176" s="207"/>
      <c r="C176" s="207"/>
      <c r="D176" s="207"/>
      <c r="E176" s="207"/>
      <c r="F176" s="207"/>
      <c r="G176" s="207"/>
      <c r="H176" s="207"/>
      <c r="I176" s="207"/>
      <c r="J176" s="207"/>
      <c r="K176" s="207"/>
      <c r="L176" s="207"/>
      <c r="M176" s="207"/>
      <c r="N176" s="207"/>
      <c r="O176" s="207"/>
      <c r="P176" s="207"/>
      <c r="Q176" s="207"/>
      <c r="R176" s="207"/>
      <c r="S176" s="207"/>
      <c r="T176" s="207"/>
      <c r="U176" s="207"/>
      <c r="V176" s="207"/>
      <c r="W176" s="207"/>
      <c r="X176" s="207"/>
      <c r="Y176" s="207"/>
      <c r="Z176" s="207"/>
    </row>
    <row r="177" spans="1:26" ht="15.75" customHeight="1">
      <c r="A177" s="207"/>
      <c r="B177" s="207"/>
      <c r="C177" s="207"/>
      <c r="D177" s="207"/>
      <c r="E177" s="207"/>
      <c r="F177" s="207"/>
      <c r="G177" s="207"/>
      <c r="H177" s="207"/>
      <c r="I177" s="207"/>
      <c r="J177" s="207"/>
      <c r="K177" s="207"/>
      <c r="L177" s="207"/>
      <c r="M177" s="207"/>
      <c r="N177" s="207"/>
      <c r="O177" s="207"/>
      <c r="P177" s="207"/>
      <c r="Q177" s="207"/>
      <c r="R177" s="207"/>
      <c r="S177" s="207"/>
      <c r="T177" s="207"/>
      <c r="U177" s="207"/>
      <c r="V177" s="207"/>
      <c r="W177" s="207"/>
      <c r="X177" s="207"/>
      <c r="Y177" s="207"/>
      <c r="Z177" s="207"/>
    </row>
    <row r="178" spans="1:26" ht="15.75" customHeight="1">
      <c r="A178" s="207"/>
      <c r="B178" s="207"/>
      <c r="C178" s="207"/>
      <c r="D178" s="207"/>
      <c r="E178" s="207"/>
      <c r="F178" s="207"/>
      <c r="G178" s="207"/>
      <c r="H178" s="207"/>
      <c r="I178" s="207"/>
      <c r="J178" s="207"/>
      <c r="K178" s="207"/>
      <c r="L178" s="207"/>
      <c r="M178" s="207"/>
      <c r="N178" s="207"/>
      <c r="O178" s="207"/>
      <c r="P178" s="207"/>
      <c r="Q178" s="207"/>
      <c r="R178" s="207"/>
      <c r="S178" s="207"/>
      <c r="T178" s="207"/>
      <c r="U178" s="207"/>
      <c r="V178" s="207"/>
      <c r="W178" s="207"/>
      <c r="X178" s="207"/>
      <c r="Y178" s="207"/>
      <c r="Z178" s="207"/>
    </row>
    <row r="179" spans="1:26" ht="15.75" customHeight="1">
      <c r="A179" s="207"/>
      <c r="B179" s="207"/>
      <c r="C179" s="207"/>
      <c r="D179" s="207"/>
      <c r="E179" s="207"/>
      <c r="F179" s="207"/>
      <c r="G179" s="207"/>
      <c r="H179" s="207"/>
      <c r="I179" s="207"/>
      <c r="J179" s="207"/>
      <c r="K179" s="207"/>
      <c r="L179" s="207"/>
      <c r="M179" s="207"/>
      <c r="N179" s="207"/>
      <c r="O179" s="207"/>
      <c r="P179" s="207"/>
      <c r="Q179" s="207"/>
      <c r="R179" s="207"/>
      <c r="S179" s="207"/>
      <c r="T179" s="207"/>
      <c r="U179" s="207"/>
      <c r="V179" s="207"/>
      <c r="W179" s="207"/>
      <c r="X179" s="207"/>
      <c r="Y179" s="207"/>
      <c r="Z179" s="207"/>
    </row>
    <row r="180" spans="1:26" ht="15.75" customHeight="1">
      <c r="A180" s="207"/>
      <c r="B180" s="207"/>
      <c r="C180" s="207"/>
      <c r="D180" s="207"/>
      <c r="E180" s="207"/>
      <c r="F180" s="207"/>
      <c r="G180" s="207"/>
      <c r="H180" s="207"/>
      <c r="I180" s="207"/>
      <c r="J180" s="207"/>
      <c r="K180" s="207"/>
      <c r="L180" s="207"/>
      <c r="M180" s="207"/>
      <c r="N180" s="207"/>
      <c r="O180" s="207"/>
      <c r="P180" s="207"/>
      <c r="Q180" s="207"/>
      <c r="R180" s="207"/>
      <c r="S180" s="207"/>
      <c r="T180" s="207"/>
      <c r="U180" s="207"/>
      <c r="V180" s="207"/>
      <c r="W180" s="207"/>
      <c r="X180" s="207"/>
      <c r="Y180" s="207"/>
      <c r="Z180" s="207"/>
    </row>
    <row r="181" spans="1:26" ht="15.75" customHeight="1">
      <c r="A181" s="207"/>
      <c r="B181" s="207"/>
      <c r="C181" s="207"/>
      <c r="D181" s="207"/>
      <c r="E181" s="207"/>
      <c r="F181" s="207"/>
      <c r="G181" s="207"/>
      <c r="H181" s="207"/>
      <c r="I181" s="207"/>
      <c r="J181" s="207"/>
      <c r="K181" s="207"/>
      <c r="L181" s="207"/>
      <c r="M181" s="207"/>
      <c r="N181" s="207"/>
      <c r="O181" s="207"/>
      <c r="P181" s="207"/>
      <c r="Q181" s="207"/>
      <c r="R181" s="207"/>
      <c r="S181" s="207"/>
      <c r="T181" s="207"/>
      <c r="U181" s="207"/>
      <c r="V181" s="207"/>
      <c r="W181" s="207"/>
      <c r="X181" s="207"/>
      <c r="Y181" s="207"/>
      <c r="Z181" s="207"/>
    </row>
    <row r="182" spans="1:26" ht="15.75" customHeight="1">
      <c r="A182" s="207"/>
      <c r="B182" s="207"/>
      <c r="C182" s="207"/>
      <c r="D182" s="207"/>
      <c r="E182" s="207"/>
      <c r="F182" s="207"/>
      <c r="G182" s="207"/>
      <c r="H182" s="207"/>
      <c r="I182" s="207"/>
      <c r="J182" s="207"/>
      <c r="K182" s="207"/>
      <c r="L182" s="207"/>
      <c r="M182" s="207"/>
      <c r="N182" s="207"/>
      <c r="O182" s="207"/>
      <c r="P182" s="207"/>
      <c r="Q182" s="207"/>
      <c r="R182" s="207"/>
      <c r="S182" s="207"/>
      <c r="T182" s="207"/>
      <c r="U182" s="207"/>
      <c r="V182" s="207"/>
      <c r="W182" s="207"/>
      <c r="X182" s="207"/>
      <c r="Y182" s="207"/>
      <c r="Z182" s="207"/>
    </row>
    <row r="183" spans="1:26" ht="15.75" customHeight="1">
      <c r="A183" s="207"/>
      <c r="B183" s="207"/>
      <c r="C183" s="207"/>
      <c r="D183" s="207"/>
      <c r="E183" s="207"/>
      <c r="F183" s="207"/>
      <c r="G183" s="207"/>
      <c r="H183" s="207"/>
      <c r="I183" s="207"/>
      <c r="J183" s="207"/>
      <c r="K183" s="207"/>
      <c r="L183" s="207"/>
      <c r="M183" s="207"/>
      <c r="N183" s="207"/>
      <c r="O183" s="207"/>
      <c r="P183" s="207"/>
      <c r="Q183" s="207"/>
      <c r="R183" s="207"/>
      <c r="S183" s="207"/>
      <c r="T183" s="207"/>
      <c r="U183" s="207"/>
      <c r="V183" s="207"/>
      <c r="W183" s="207"/>
      <c r="X183" s="207"/>
      <c r="Y183" s="207"/>
      <c r="Z183" s="207"/>
    </row>
    <row r="184" spans="1:26" ht="15.75" customHeight="1">
      <c r="A184" s="207"/>
      <c r="B184" s="207"/>
      <c r="C184" s="207"/>
      <c r="D184" s="207"/>
      <c r="E184" s="207"/>
      <c r="F184" s="207"/>
      <c r="G184" s="207"/>
      <c r="H184" s="207"/>
      <c r="I184" s="207"/>
      <c r="J184" s="207"/>
      <c r="K184" s="207"/>
      <c r="L184" s="207"/>
      <c r="M184" s="207"/>
      <c r="N184" s="207"/>
      <c r="O184" s="207"/>
      <c r="P184" s="207"/>
      <c r="Q184" s="207"/>
      <c r="R184" s="207"/>
      <c r="S184" s="207"/>
      <c r="T184" s="207"/>
      <c r="U184" s="207"/>
      <c r="V184" s="207"/>
      <c r="W184" s="207"/>
      <c r="X184" s="207"/>
      <c r="Y184" s="207"/>
      <c r="Z184" s="207"/>
    </row>
    <row r="185" spans="1:26" ht="15.75" customHeight="1">
      <c r="A185" s="207"/>
      <c r="B185" s="207"/>
      <c r="C185" s="207"/>
      <c r="D185" s="207"/>
      <c r="E185" s="207"/>
      <c r="F185" s="207"/>
      <c r="G185" s="207"/>
      <c r="H185" s="207"/>
      <c r="I185" s="207"/>
      <c r="J185" s="207"/>
      <c r="K185" s="207"/>
      <c r="L185" s="207"/>
      <c r="M185" s="207"/>
      <c r="N185" s="207"/>
      <c r="O185" s="207"/>
      <c r="P185" s="207"/>
      <c r="Q185" s="207"/>
      <c r="R185" s="207"/>
      <c r="S185" s="207"/>
      <c r="T185" s="207"/>
      <c r="U185" s="207"/>
      <c r="V185" s="207"/>
      <c r="W185" s="207"/>
      <c r="X185" s="207"/>
      <c r="Y185" s="207"/>
      <c r="Z185" s="207"/>
    </row>
    <row r="186" spans="1:26" ht="15.75" customHeight="1">
      <c r="A186" s="207"/>
      <c r="B186" s="207"/>
      <c r="C186" s="207"/>
      <c r="D186" s="207"/>
      <c r="E186" s="207"/>
      <c r="F186" s="207"/>
      <c r="G186" s="207"/>
      <c r="H186" s="207"/>
      <c r="I186" s="207"/>
      <c r="J186" s="207"/>
      <c r="K186" s="207"/>
      <c r="L186" s="207"/>
      <c r="M186" s="207"/>
      <c r="N186" s="207"/>
      <c r="O186" s="207"/>
      <c r="P186" s="207"/>
      <c r="Q186" s="207"/>
      <c r="R186" s="207"/>
      <c r="S186" s="207"/>
      <c r="T186" s="207"/>
      <c r="U186" s="207"/>
      <c r="V186" s="207"/>
      <c r="W186" s="207"/>
      <c r="X186" s="207"/>
      <c r="Y186" s="207"/>
      <c r="Z186" s="207"/>
    </row>
    <row r="187" spans="1:26" ht="15.75" customHeight="1">
      <c r="A187" s="207"/>
      <c r="B187" s="207"/>
      <c r="C187" s="207"/>
      <c r="D187" s="207"/>
      <c r="E187" s="207"/>
      <c r="F187" s="207"/>
      <c r="G187" s="207"/>
      <c r="H187" s="207"/>
      <c r="I187" s="207"/>
      <c r="J187" s="207"/>
      <c r="K187" s="207"/>
      <c r="L187" s="207"/>
      <c r="M187" s="207"/>
      <c r="N187" s="207"/>
      <c r="O187" s="207"/>
      <c r="P187" s="207"/>
      <c r="Q187" s="207"/>
      <c r="R187" s="207"/>
      <c r="S187" s="207"/>
      <c r="T187" s="207"/>
      <c r="U187" s="207"/>
      <c r="V187" s="207"/>
      <c r="W187" s="207"/>
      <c r="X187" s="207"/>
      <c r="Y187" s="207"/>
      <c r="Z187" s="207"/>
    </row>
    <row r="188" spans="1:26" ht="15.75" customHeight="1">
      <c r="A188" s="207"/>
      <c r="B188" s="207"/>
      <c r="C188" s="207"/>
      <c r="D188" s="207"/>
      <c r="E188" s="207"/>
      <c r="F188" s="207"/>
      <c r="G188" s="207"/>
      <c r="H188" s="207"/>
      <c r="I188" s="207"/>
      <c r="J188" s="207"/>
      <c r="K188" s="207"/>
      <c r="L188" s="207"/>
      <c r="M188" s="207"/>
      <c r="N188" s="207"/>
      <c r="O188" s="207"/>
      <c r="P188" s="207"/>
      <c r="Q188" s="207"/>
      <c r="R188" s="207"/>
      <c r="S188" s="207"/>
      <c r="T188" s="207"/>
      <c r="U188" s="207"/>
      <c r="V188" s="207"/>
      <c r="W188" s="207"/>
      <c r="X188" s="207"/>
      <c r="Y188" s="207"/>
      <c r="Z188" s="207"/>
    </row>
    <row r="189" spans="1:26" ht="15.75" customHeight="1">
      <c r="A189" s="207"/>
      <c r="B189" s="207"/>
      <c r="C189" s="207"/>
      <c r="D189" s="207"/>
      <c r="E189" s="207"/>
      <c r="F189" s="207"/>
      <c r="G189" s="207"/>
      <c r="H189" s="207"/>
      <c r="I189" s="207"/>
      <c r="J189" s="207"/>
      <c r="K189" s="207"/>
      <c r="L189" s="207"/>
      <c r="M189" s="207"/>
      <c r="N189" s="207"/>
      <c r="O189" s="207"/>
      <c r="P189" s="207"/>
      <c r="Q189" s="207"/>
      <c r="R189" s="207"/>
      <c r="S189" s="207"/>
      <c r="T189" s="207"/>
      <c r="U189" s="207"/>
      <c r="V189" s="207"/>
      <c r="W189" s="207"/>
      <c r="X189" s="207"/>
      <c r="Y189" s="207"/>
      <c r="Z189" s="207"/>
    </row>
    <row r="190" spans="1:26" ht="15.75" customHeight="1">
      <c r="A190" s="207"/>
      <c r="B190" s="207"/>
      <c r="C190" s="207"/>
      <c r="D190" s="207"/>
      <c r="E190" s="207"/>
      <c r="F190" s="207"/>
      <c r="G190" s="207"/>
      <c r="H190" s="207"/>
      <c r="I190" s="207"/>
      <c r="J190" s="207"/>
      <c r="K190" s="207"/>
      <c r="L190" s="207"/>
      <c r="M190" s="207"/>
      <c r="N190" s="207"/>
      <c r="O190" s="207"/>
      <c r="P190" s="207"/>
      <c r="Q190" s="207"/>
      <c r="R190" s="207"/>
      <c r="S190" s="207"/>
      <c r="T190" s="207"/>
      <c r="U190" s="207"/>
      <c r="V190" s="207"/>
      <c r="W190" s="207"/>
      <c r="X190" s="207"/>
      <c r="Y190" s="207"/>
      <c r="Z190" s="207"/>
    </row>
    <row r="191" spans="1:26" ht="15.75" customHeight="1">
      <c r="A191" s="207"/>
      <c r="B191" s="207"/>
      <c r="C191" s="207"/>
      <c r="D191" s="207"/>
      <c r="E191" s="207"/>
      <c r="F191" s="207"/>
      <c r="G191" s="207"/>
      <c r="H191" s="207"/>
      <c r="I191" s="207"/>
      <c r="J191" s="207"/>
      <c r="K191" s="207"/>
      <c r="L191" s="207"/>
      <c r="M191" s="207"/>
      <c r="N191" s="207"/>
      <c r="O191" s="207"/>
      <c r="P191" s="207"/>
      <c r="Q191" s="207"/>
      <c r="R191" s="207"/>
      <c r="S191" s="207"/>
      <c r="T191" s="207"/>
      <c r="U191" s="207"/>
      <c r="V191" s="207"/>
      <c r="W191" s="207"/>
      <c r="X191" s="207"/>
      <c r="Y191" s="207"/>
      <c r="Z191" s="207"/>
    </row>
    <row r="192" spans="1:26" ht="15.75" customHeight="1">
      <c r="A192" s="207"/>
      <c r="B192" s="207"/>
      <c r="C192" s="207"/>
      <c r="D192" s="207"/>
      <c r="E192" s="207"/>
      <c r="F192" s="207"/>
      <c r="G192" s="207"/>
      <c r="H192" s="207"/>
      <c r="I192" s="207"/>
      <c r="J192" s="207"/>
      <c r="K192" s="207"/>
      <c r="L192" s="207"/>
      <c r="M192" s="207"/>
      <c r="N192" s="207"/>
      <c r="O192" s="207"/>
      <c r="P192" s="207"/>
      <c r="Q192" s="207"/>
      <c r="R192" s="207"/>
      <c r="S192" s="207"/>
      <c r="T192" s="207"/>
      <c r="U192" s="207"/>
      <c r="V192" s="207"/>
      <c r="W192" s="207"/>
      <c r="X192" s="207"/>
      <c r="Y192" s="207"/>
      <c r="Z192" s="207"/>
    </row>
    <row r="193" spans="1:26" ht="15.75" customHeight="1">
      <c r="A193" s="207"/>
      <c r="B193" s="207"/>
      <c r="C193" s="207"/>
      <c r="D193" s="207"/>
      <c r="E193" s="207"/>
      <c r="F193" s="207"/>
      <c r="G193" s="207"/>
      <c r="H193" s="207"/>
      <c r="I193" s="207"/>
      <c r="J193" s="207"/>
      <c r="K193" s="207"/>
      <c r="L193" s="207"/>
      <c r="M193" s="207"/>
      <c r="N193" s="207"/>
      <c r="O193" s="207"/>
      <c r="P193" s="207"/>
      <c r="Q193" s="207"/>
      <c r="R193" s="207"/>
      <c r="S193" s="207"/>
      <c r="T193" s="207"/>
      <c r="U193" s="207"/>
      <c r="V193" s="207"/>
      <c r="W193" s="207"/>
      <c r="X193" s="207"/>
      <c r="Y193" s="207"/>
      <c r="Z193" s="207"/>
    </row>
    <row r="194" spans="1:26" ht="15.75" customHeight="1">
      <c r="A194" s="207"/>
      <c r="B194" s="207"/>
      <c r="C194" s="207"/>
      <c r="D194" s="207"/>
      <c r="E194" s="207"/>
      <c r="F194" s="207"/>
      <c r="G194" s="207"/>
      <c r="H194" s="207"/>
      <c r="I194" s="207"/>
      <c r="J194" s="207"/>
      <c r="K194" s="207"/>
      <c r="L194" s="207"/>
      <c r="M194" s="207"/>
      <c r="N194" s="207"/>
      <c r="O194" s="207"/>
      <c r="P194" s="207"/>
      <c r="Q194" s="207"/>
      <c r="R194" s="207"/>
      <c r="S194" s="207"/>
      <c r="T194" s="207"/>
      <c r="U194" s="207"/>
      <c r="V194" s="207"/>
      <c r="W194" s="207"/>
      <c r="X194" s="207"/>
      <c r="Y194" s="207"/>
      <c r="Z194" s="207"/>
    </row>
    <row r="195" spans="1:26" ht="15.75" customHeight="1">
      <c r="A195" s="207"/>
      <c r="B195" s="207"/>
      <c r="C195" s="207"/>
      <c r="D195" s="207"/>
      <c r="E195" s="207"/>
      <c r="F195" s="207"/>
      <c r="G195" s="207"/>
      <c r="H195" s="207"/>
      <c r="I195" s="207"/>
      <c r="J195" s="207"/>
      <c r="K195" s="207"/>
      <c r="L195" s="207"/>
      <c r="M195" s="207"/>
      <c r="N195" s="207"/>
      <c r="O195" s="207"/>
      <c r="P195" s="207"/>
      <c r="Q195" s="207"/>
      <c r="R195" s="207"/>
      <c r="S195" s="207"/>
      <c r="T195" s="207"/>
      <c r="U195" s="207"/>
      <c r="V195" s="207"/>
      <c r="W195" s="207"/>
      <c r="X195" s="207"/>
      <c r="Y195" s="207"/>
      <c r="Z195" s="207"/>
    </row>
    <row r="196" spans="1:26" ht="15.75" customHeight="1">
      <c r="A196" s="207"/>
      <c r="B196" s="207"/>
      <c r="C196" s="207"/>
      <c r="D196" s="207"/>
      <c r="E196" s="207"/>
      <c r="F196" s="207"/>
      <c r="G196" s="207"/>
      <c r="H196" s="207"/>
      <c r="I196" s="207"/>
      <c r="J196" s="207"/>
      <c r="K196" s="207"/>
      <c r="L196" s="207"/>
      <c r="M196" s="207"/>
      <c r="N196" s="207"/>
      <c r="O196" s="207"/>
      <c r="P196" s="207"/>
      <c r="Q196" s="207"/>
      <c r="R196" s="207"/>
      <c r="S196" s="207"/>
      <c r="T196" s="207"/>
      <c r="U196" s="207"/>
      <c r="V196" s="207"/>
      <c r="W196" s="207"/>
      <c r="X196" s="207"/>
      <c r="Y196" s="207"/>
      <c r="Z196" s="207"/>
    </row>
    <row r="197" spans="1:26" ht="15.75" customHeight="1">
      <c r="A197" s="207"/>
      <c r="B197" s="207"/>
      <c r="C197" s="207"/>
      <c r="D197" s="207"/>
      <c r="E197" s="207"/>
      <c r="F197" s="207"/>
      <c r="G197" s="207"/>
      <c r="H197" s="207"/>
      <c r="I197" s="207"/>
      <c r="J197" s="207"/>
      <c r="K197" s="207"/>
      <c r="L197" s="207"/>
      <c r="M197" s="207"/>
      <c r="N197" s="207"/>
      <c r="O197" s="207"/>
      <c r="P197" s="207"/>
      <c r="Q197" s="207"/>
      <c r="R197" s="207"/>
      <c r="S197" s="207"/>
      <c r="T197" s="207"/>
      <c r="U197" s="207"/>
      <c r="V197" s="207"/>
      <c r="W197" s="207"/>
      <c r="X197" s="207"/>
      <c r="Y197" s="207"/>
      <c r="Z197" s="207"/>
    </row>
    <row r="198" spans="1:26" ht="15.75" customHeight="1">
      <c r="A198" s="207"/>
      <c r="B198" s="207"/>
      <c r="C198" s="207"/>
      <c r="D198" s="207"/>
      <c r="E198" s="207"/>
      <c r="F198" s="207"/>
      <c r="G198" s="207"/>
      <c r="H198" s="207"/>
      <c r="I198" s="207"/>
      <c r="J198" s="207"/>
      <c r="K198" s="207"/>
      <c r="L198" s="207"/>
      <c r="M198" s="207"/>
      <c r="N198" s="207"/>
      <c r="O198" s="207"/>
      <c r="P198" s="207"/>
      <c r="Q198" s="207"/>
      <c r="R198" s="207"/>
      <c r="S198" s="207"/>
      <c r="T198" s="207"/>
      <c r="U198" s="207"/>
      <c r="V198" s="207"/>
      <c r="W198" s="207"/>
      <c r="X198" s="207"/>
      <c r="Y198" s="207"/>
      <c r="Z198" s="207"/>
    </row>
    <row r="199" spans="1:26" ht="15.75" customHeight="1">
      <c r="A199" s="207"/>
      <c r="B199" s="207"/>
      <c r="C199" s="207"/>
      <c r="D199" s="207"/>
      <c r="E199" s="207"/>
      <c r="F199" s="207"/>
      <c r="G199" s="207"/>
      <c r="H199" s="207"/>
      <c r="I199" s="207"/>
      <c r="J199" s="207"/>
      <c r="K199" s="207"/>
      <c r="L199" s="207"/>
      <c r="M199" s="207"/>
      <c r="N199" s="207"/>
      <c r="O199" s="207"/>
      <c r="P199" s="207"/>
      <c r="Q199" s="207"/>
      <c r="R199" s="207"/>
      <c r="S199" s="207"/>
      <c r="T199" s="207"/>
      <c r="U199" s="207"/>
      <c r="V199" s="207"/>
      <c r="W199" s="207"/>
      <c r="X199" s="207"/>
      <c r="Y199" s="207"/>
      <c r="Z199" s="207"/>
    </row>
    <row r="200" spans="1:26" ht="15.75" customHeight="1">
      <c r="A200" s="207"/>
      <c r="B200" s="207"/>
      <c r="C200" s="207"/>
      <c r="D200" s="207"/>
      <c r="E200" s="207"/>
      <c r="F200" s="207"/>
      <c r="G200" s="207"/>
      <c r="H200" s="207"/>
      <c r="I200" s="207"/>
      <c r="J200" s="207"/>
      <c r="K200" s="207"/>
      <c r="L200" s="207"/>
      <c r="M200" s="207"/>
      <c r="N200" s="207"/>
      <c r="O200" s="207"/>
      <c r="P200" s="207"/>
      <c r="Q200" s="207"/>
      <c r="R200" s="207"/>
      <c r="S200" s="207"/>
      <c r="T200" s="207"/>
      <c r="U200" s="207"/>
      <c r="V200" s="207"/>
      <c r="W200" s="207"/>
      <c r="X200" s="207"/>
      <c r="Y200" s="207"/>
      <c r="Z200" s="207"/>
    </row>
    <row r="201" spans="1:26" ht="15.75" customHeight="1">
      <c r="A201" s="207"/>
      <c r="B201" s="207"/>
      <c r="C201" s="207"/>
      <c r="D201" s="207"/>
      <c r="E201" s="207"/>
      <c r="F201" s="207"/>
      <c r="G201" s="207"/>
      <c r="H201" s="207"/>
      <c r="I201" s="207"/>
      <c r="J201" s="207"/>
      <c r="K201" s="207"/>
      <c r="L201" s="207"/>
      <c r="M201" s="207"/>
      <c r="N201" s="207"/>
      <c r="O201" s="207"/>
      <c r="P201" s="207"/>
      <c r="Q201" s="207"/>
      <c r="R201" s="207"/>
      <c r="S201" s="207"/>
      <c r="T201" s="207"/>
      <c r="U201" s="207"/>
      <c r="V201" s="207"/>
      <c r="W201" s="207"/>
      <c r="X201" s="207"/>
      <c r="Y201" s="207"/>
      <c r="Z201" s="207"/>
    </row>
    <row r="202" spans="1:26" ht="15.75" customHeight="1">
      <c r="A202" s="207"/>
      <c r="B202" s="207"/>
      <c r="C202" s="207"/>
      <c r="D202" s="207"/>
      <c r="E202" s="207"/>
      <c r="F202" s="207"/>
      <c r="G202" s="207"/>
      <c r="H202" s="207"/>
      <c r="I202" s="207"/>
      <c r="J202" s="207"/>
      <c r="K202" s="207"/>
      <c r="L202" s="207"/>
      <c r="M202" s="207"/>
      <c r="N202" s="207"/>
      <c r="O202" s="207"/>
      <c r="P202" s="207"/>
      <c r="Q202" s="207"/>
      <c r="R202" s="207"/>
      <c r="S202" s="207"/>
      <c r="T202" s="207"/>
      <c r="U202" s="207"/>
      <c r="V202" s="207"/>
      <c r="W202" s="207"/>
      <c r="X202" s="207"/>
      <c r="Y202" s="207"/>
      <c r="Z202" s="207"/>
    </row>
    <row r="203" spans="1:26" ht="15.75" customHeight="1">
      <c r="A203" s="207"/>
      <c r="B203" s="207"/>
      <c r="C203" s="207"/>
      <c r="D203" s="207"/>
      <c r="E203" s="207"/>
      <c r="F203" s="207"/>
      <c r="G203" s="207"/>
      <c r="H203" s="207"/>
      <c r="I203" s="207"/>
      <c r="J203" s="207"/>
      <c r="K203" s="207"/>
      <c r="L203" s="207"/>
      <c r="M203" s="207"/>
      <c r="N203" s="207"/>
      <c r="O203" s="207"/>
      <c r="P203" s="207"/>
      <c r="Q203" s="207"/>
      <c r="R203" s="207"/>
      <c r="S203" s="207"/>
      <c r="T203" s="207"/>
      <c r="U203" s="207"/>
      <c r="V203" s="207"/>
      <c r="W203" s="207"/>
      <c r="X203" s="207"/>
      <c r="Y203" s="207"/>
      <c r="Z203" s="207"/>
    </row>
    <row r="204" spans="1:26" ht="15.75" customHeight="1">
      <c r="A204" s="207"/>
      <c r="B204" s="207"/>
      <c r="C204" s="207"/>
      <c r="D204" s="207"/>
      <c r="E204" s="207"/>
      <c r="F204" s="207"/>
      <c r="G204" s="207"/>
      <c r="H204" s="207"/>
      <c r="I204" s="207"/>
      <c r="J204" s="207"/>
      <c r="K204" s="207"/>
      <c r="L204" s="207"/>
      <c r="M204" s="207"/>
      <c r="N204" s="207"/>
      <c r="O204" s="207"/>
      <c r="P204" s="207"/>
      <c r="Q204" s="207"/>
      <c r="R204" s="207"/>
      <c r="S204" s="207"/>
      <c r="T204" s="207"/>
      <c r="U204" s="207"/>
      <c r="V204" s="207"/>
      <c r="W204" s="207"/>
      <c r="X204" s="207"/>
      <c r="Y204" s="207"/>
      <c r="Z204" s="207"/>
    </row>
    <row r="205" spans="1:26" ht="15.75" customHeight="1">
      <c r="A205" s="207"/>
      <c r="B205" s="207"/>
      <c r="C205" s="207"/>
      <c r="D205" s="207"/>
      <c r="E205" s="207"/>
      <c r="F205" s="207"/>
      <c r="G205" s="207"/>
      <c r="H205" s="207"/>
      <c r="I205" s="207"/>
      <c r="J205" s="207"/>
      <c r="K205" s="207"/>
      <c r="L205" s="207"/>
      <c r="M205" s="207"/>
      <c r="N205" s="207"/>
      <c r="O205" s="207"/>
      <c r="P205" s="207"/>
      <c r="Q205" s="207"/>
      <c r="R205" s="207"/>
      <c r="S205" s="207"/>
      <c r="T205" s="207"/>
      <c r="U205" s="207"/>
      <c r="V205" s="207"/>
      <c r="W205" s="207"/>
      <c r="X205" s="207"/>
      <c r="Y205" s="207"/>
      <c r="Z205" s="207"/>
    </row>
    <row r="206" spans="1:26" ht="15.75" customHeight="1">
      <c r="A206" s="207"/>
      <c r="B206" s="207"/>
      <c r="C206" s="207"/>
      <c r="D206" s="207"/>
      <c r="E206" s="207"/>
      <c r="F206" s="207"/>
      <c r="G206" s="207"/>
      <c r="H206" s="207"/>
      <c r="I206" s="207"/>
      <c r="J206" s="207"/>
      <c r="K206" s="207"/>
      <c r="L206" s="207"/>
      <c r="M206" s="207"/>
      <c r="N206" s="207"/>
      <c r="O206" s="207"/>
      <c r="P206" s="207"/>
      <c r="Q206" s="207"/>
      <c r="R206" s="207"/>
      <c r="S206" s="207"/>
      <c r="T206" s="207"/>
      <c r="U206" s="207"/>
      <c r="V206" s="207"/>
      <c r="W206" s="207"/>
      <c r="X206" s="207"/>
      <c r="Y206" s="207"/>
      <c r="Z206" s="207"/>
    </row>
    <row r="207" spans="1:26" ht="15.75" customHeight="1">
      <c r="A207" s="207"/>
      <c r="B207" s="207"/>
      <c r="C207" s="207"/>
      <c r="D207" s="207"/>
      <c r="E207" s="207"/>
      <c r="F207" s="207"/>
      <c r="G207" s="207"/>
      <c r="H207" s="207"/>
      <c r="I207" s="207"/>
      <c r="J207" s="207"/>
      <c r="K207" s="207"/>
      <c r="L207" s="207"/>
      <c r="M207" s="207"/>
      <c r="N207" s="207"/>
      <c r="O207" s="207"/>
      <c r="P207" s="207"/>
      <c r="Q207" s="207"/>
      <c r="R207" s="207"/>
      <c r="S207" s="207"/>
      <c r="T207" s="207"/>
      <c r="U207" s="207"/>
      <c r="V207" s="207"/>
      <c r="W207" s="207"/>
      <c r="X207" s="207"/>
      <c r="Y207" s="207"/>
      <c r="Z207" s="207"/>
    </row>
    <row r="208" spans="1:26" ht="15.75" customHeight="1">
      <c r="A208" s="207"/>
      <c r="B208" s="207"/>
      <c r="C208" s="207"/>
      <c r="D208" s="207"/>
      <c r="E208" s="207"/>
      <c r="F208" s="207"/>
      <c r="G208" s="207"/>
      <c r="H208" s="207"/>
      <c r="I208" s="207"/>
      <c r="J208" s="207"/>
      <c r="K208" s="207"/>
      <c r="L208" s="207"/>
      <c r="M208" s="207"/>
      <c r="N208" s="207"/>
      <c r="O208" s="207"/>
      <c r="P208" s="207"/>
      <c r="Q208" s="207"/>
      <c r="R208" s="207"/>
      <c r="S208" s="207"/>
      <c r="T208" s="207"/>
      <c r="U208" s="207"/>
      <c r="V208" s="207"/>
      <c r="W208" s="207"/>
      <c r="X208" s="207"/>
      <c r="Y208" s="207"/>
      <c r="Z208" s="207"/>
    </row>
    <row r="209" spans="1:26" ht="15.75" customHeight="1">
      <c r="A209" s="207"/>
      <c r="B209" s="207"/>
      <c r="C209" s="207"/>
      <c r="D209" s="207"/>
      <c r="E209" s="207"/>
      <c r="F209" s="207"/>
      <c r="G209" s="207"/>
      <c r="H209" s="207"/>
      <c r="I209" s="207"/>
      <c r="J209" s="207"/>
      <c r="K209" s="207"/>
      <c r="L209" s="207"/>
      <c r="M209" s="207"/>
      <c r="N209" s="207"/>
      <c r="O209" s="207"/>
      <c r="P209" s="207"/>
      <c r="Q209" s="207"/>
      <c r="R209" s="207"/>
      <c r="S209" s="207"/>
      <c r="T209" s="207"/>
      <c r="U209" s="207"/>
      <c r="V209" s="207"/>
      <c r="W209" s="207"/>
      <c r="X209" s="207"/>
      <c r="Y209" s="207"/>
      <c r="Z209" s="207"/>
    </row>
    <row r="210" spans="1:26" ht="15.75" customHeight="1">
      <c r="A210" s="207"/>
      <c r="B210" s="207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07"/>
      <c r="O210" s="207"/>
      <c r="P210" s="207"/>
      <c r="Q210" s="207"/>
      <c r="R210" s="207"/>
      <c r="S210" s="207"/>
      <c r="T210" s="207"/>
      <c r="U210" s="207"/>
      <c r="V210" s="207"/>
      <c r="W210" s="207"/>
      <c r="X210" s="207"/>
      <c r="Y210" s="207"/>
      <c r="Z210" s="207"/>
    </row>
    <row r="211" spans="1:26" ht="15.75" customHeight="1">
      <c r="A211" s="207"/>
      <c r="B211" s="207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07"/>
      <c r="O211" s="207"/>
      <c r="P211" s="207"/>
      <c r="Q211" s="207"/>
      <c r="R211" s="207"/>
      <c r="S211" s="207"/>
      <c r="T211" s="207"/>
      <c r="U211" s="207"/>
      <c r="V211" s="207"/>
      <c r="W211" s="207"/>
      <c r="X211" s="207"/>
      <c r="Y211" s="207"/>
      <c r="Z211" s="207"/>
    </row>
    <row r="212" spans="1:26" ht="15.75" customHeight="1">
      <c r="A212" s="207"/>
      <c r="B212" s="207"/>
      <c r="C212" s="207"/>
      <c r="D212" s="207"/>
      <c r="E212" s="207"/>
      <c r="F212" s="207"/>
      <c r="G212" s="207"/>
      <c r="H212" s="207"/>
      <c r="I212" s="207"/>
      <c r="J212" s="207"/>
      <c r="K212" s="207"/>
      <c r="L212" s="207"/>
      <c r="M212" s="207"/>
      <c r="N212" s="207"/>
      <c r="O212" s="207"/>
      <c r="P212" s="207"/>
      <c r="Q212" s="207"/>
      <c r="R212" s="207"/>
      <c r="S212" s="207"/>
      <c r="T212" s="207"/>
      <c r="U212" s="207"/>
      <c r="V212" s="207"/>
      <c r="W212" s="207"/>
      <c r="X212" s="207"/>
      <c r="Y212" s="207"/>
      <c r="Z212" s="207"/>
    </row>
    <row r="213" spans="1:26" ht="15.75" customHeight="1">
      <c r="A213" s="207"/>
      <c r="B213" s="207"/>
      <c r="C213" s="207"/>
      <c r="D213" s="207"/>
      <c r="E213" s="207"/>
      <c r="F213" s="207"/>
      <c r="G213" s="207"/>
      <c r="H213" s="207"/>
      <c r="I213" s="207"/>
      <c r="J213" s="207"/>
      <c r="K213" s="207"/>
      <c r="L213" s="207"/>
      <c r="M213" s="207"/>
      <c r="N213" s="207"/>
      <c r="O213" s="207"/>
      <c r="P213" s="207"/>
      <c r="Q213" s="207"/>
      <c r="R213" s="207"/>
      <c r="S213" s="207"/>
      <c r="T213" s="207"/>
      <c r="U213" s="207"/>
      <c r="V213" s="207"/>
      <c r="W213" s="207"/>
      <c r="X213" s="207"/>
      <c r="Y213" s="207"/>
      <c r="Z213" s="207"/>
    </row>
    <row r="214" spans="1:26" ht="15.75" customHeight="1">
      <c r="A214" s="207"/>
      <c r="B214" s="207"/>
      <c r="C214" s="207"/>
      <c r="D214" s="207"/>
      <c r="E214" s="207"/>
      <c r="F214" s="207"/>
      <c r="G214" s="207"/>
      <c r="H214" s="207"/>
      <c r="I214" s="207"/>
      <c r="J214" s="207"/>
      <c r="K214" s="207"/>
      <c r="L214" s="207"/>
      <c r="M214" s="207"/>
      <c r="N214" s="207"/>
      <c r="O214" s="207"/>
      <c r="P214" s="207"/>
      <c r="Q214" s="207"/>
      <c r="R214" s="207"/>
      <c r="S214" s="207"/>
      <c r="T214" s="207"/>
      <c r="U214" s="207"/>
      <c r="V214" s="207"/>
      <c r="W214" s="207"/>
      <c r="X214" s="207"/>
      <c r="Y214" s="207"/>
      <c r="Z214" s="207"/>
    </row>
    <row r="215" spans="1:26" ht="15.75" customHeight="1">
      <c r="A215" s="207"/>
      <c r="B215" s="207"/>
      <c r="C215" s="207"/>
      <c r="D215" s="207"/>
      <c r="E215" s="207"/>
      <c r="F215" s="207"/>
      <c r="G215" s="207"/>
      <c r="H215" s="207"/>
      <c r="I215" s="207"/>
      <c r="J215" s="207"/>
      <c r="K215" s="207"/>
      <c r="L215" s="207"/>
      <c r="M215" s="207"/>
      <c r="N215" s="207"/>
      <c r="O215" s="207"/>
      <c r="P215" s="207"/>
      <c r="Q215" s="207"/>
      <c r="R215" s="207"/>
      <c r="S215" s="207"/>
      <c r="T215" s="207"/>
      <c r="U215" s="207"/>
      <c r="V215" s="207"/>
      <c r="W215" s="207"/>
      <c r="X215" s="207"/>
      <c r="Y215" s="207"/>
      <c r="Z215" s="207"/>
    </row>
    <row r="216" spans="1:26" ht="15.75" customHeight="1">
      <c r="A216" s="207"/>
      <c r="B216" s="207"/>
      <c r="C216" s="207"/>
      <c r="D216" s="207"/>
      <c r="E216" s="207"/>
      <c r="F216" s="207"/>
      <c r="G216" s="207"/>
      <c r="H216" s="207"/>
      <c r="I216" s="207"/>
      <c r="J216" s="207"/>
      <c r="K216" s="207"/>
      <c r="L216" s="207"/>
      <c r="M216" s="207"/>
      <c r="N216" s="207"/>
      <c r="O216" s="207"/>
      <c r="P216" s="207"/>
      <c r="Q216" s="207"/>
      <c r="R216" s="207"/>
      <c r="S216" s="207"/>
      <c r="T216" s="207"/>
      <c r="U216" s="207"/>
      <c r="V216" s="207"/>
      <c r="W216" s="207"/>
      <c r="X216" s="207"/>
      <c r="Y216" s="207"/>
      <c r="Z216" s="207"/>
    </row>
    <row r="217" spans="1:26" ht="15.75" customHeight="1">
      <c r="A217" s="207"/>
      <c r="B217" s="207"/>
      <c r="C217" s="207"/>
      <c r="D217" s="207"/>
      <c r="E217" s="207"/>
      <c r="F217" s="207"/>
      <c r="G217" s="207"/>
      <c r="H217" s="207"/>
      <c r="I217" s="207"/>
      <c r="J217" s="207"/>
      <c r="K217" s="207"/>
      <c r="L217" s="207"/>
      <c r="M217" s="207"/>
      <c r="N217" s="207"/>
      <c r="O217" s="207"/>
      <c r="P217" s="207"/>
      <c r="Q217" s="207"/>
      <c r="R217" s="207"/>
      <c r="S217" s="207"/>
      <c r="T217" s="207"/>
      <c r="U217" s="207"/>
      <c r="V217" s="207"/>
      <c r="W217" s="207"/>
      <c r="X217" s="207"/>
      <c r="Y217" s="207"/>
      <c r="Z217" s="207"/>
    </row>
    <row r="218" spans="1:26" ht="15.75" customHeight="1">
      <c r="A218" s="207"/>
      <c r="B218" s="207"/>
      <c r="C218" s="207"/>
      <c r="D218" s="207"/>
      <c r="E218" s="207"/>
      <c r="F218" s="207"/>
      <c r="G218" s="207"/>
      <c r="H218" s="207"/>
      <c r="I218" s="207"/>
      <c r="J218" s="207"/>
      <c r="K218" s="207"/>
      <c r="L218" s="207"/>
      <c r="M218" s="207"/>
      <c r="N218" s="207"/>
      <c r="O218" s="207"/>
      <c r="P218" s="207"/>
      <c r="Q218" s="207"/>
      <c r="R218" s="207"/>
      <c r="S218" s="207"/>
      <c r="T218" s="207"/>
      <c r="U218" s="207"/>
      <c r="V218" s="207"/>
      <c r="W218" s="207"/>
      <c r="X218" s="207"/>
      <c r="Y218" s="207"/>
      <c r="Z218" s="207"/>
    </row>
    <row r="219" spans="1:26" ht="15.75" customHeight="1">
      <c r="A219" s="207"/>
      <c r="B219" s="207"/>
      <c r="C219" s="207"/>
      <c r="D219" s="207"/>
      <c r="E219" s="207"/>
      <c r="F219" s="207"/>
      <c r="G219" s="207"/>
      <c r="H219" s="207"/>
      <c r="I219" s="207"/>
      <c r="J219" s="207"/>
      <c r="K219" s="207"/>
      <c r="L219" s="207"/>
      <c r="M219" s="207"/>
      <c r="N219" s="207"/>
      <c r="O219" s="207"/>
      <c r="P219" s="207"/>
      <c r="Q219" s="207"/>
      <c r="R219" s="207"/>
      <c r="S219" s="207"/>
      <c r="T219" s="207"/>
      <c r="U219" s="207"/>
      <c r="V219" s="207"/>
      <c r="W219" s="207"/>
      <c r="X219" s="207"/>
      <c r="Y219" s="207"/>
      <c r="Z219" s="207"/>
    </row>
    <row r="220" spans="1:26" ht="15.75" customHeight="1">
      <c r="A220" s="207"/>
      <c r="B220" s="207"/>
      <c r="C220" s="207"/>
      <c r="D220" s="207"/>
      <c r="E220" s="207"/>
      <c r="F220" s="207"/>
      <c r="G220" s="207"/>
      <c r="H220" s="207"/>
      <c r="I220" s="207"/>
      <c r="J220" s="207"/>
      <c r="K220" s="207"/>
      <c r="L220" s="207"/>
      <c r="M220" s="207"/>
      <c r="N220" s="207"/>
      <c r="O220" s="207"/>
      <c r="P220" s="207"/>
      <c r="Q220" s="207"/>
      <c r="R220" s="207"/>
      <c r="S220" s="207"/>
      <c r="T220" s="207"/>
      <c r="U220" s="207"/>
      <c r="V220" s="207"/>
      <c r="W220" s="207"/>
      <c r="X220" s="207"/>
      <c r="Y220" s="207"/>
      <c r="Z220" s="207"/>
    </row>
    <row r="221" spans="1:26" ht="15.75" customHeight="1">
      <c r="A221" s="207"/>
      <c r="B221" s="207"/>
      <c r="C221" s="207"/>
      <c r="D221" s="207"/>
      <c r="E221" s="207"/>
      <c r="F221" s="207"/>
      <c r="G221" s="207"/>
      <c r="H221" s="207"/>
      <c r="I221" s="207"/>
      <c r="J221" s="207"/>
      <c r="K221" s="207"/>
      <c r="L221" s="207"/>
      <c r="M221" s="207"/>
      <c r="N221" s="207"/>
      <c r="O221" s="207"/>
      <c r="P221" s="207"/>
      <c r="Q221" s="207"/>
      <c r="R221" s="207"/>
      <c r="S221" s="207"/>
      <c r="T221" s="207"/>
      <c r="U221" s="207"/>
      <c r="V221" s="207"/>
      <c r="W221" s="207"/>
      <c r="X221" s="207"/>
      <c r="Y221" s="207"/>
      <c r="Z221" s="207"/>
    </row>
    <row r="222" spans="1:26" ht="15.75" customHeight="1">
      <c r="A222" s="207"/>
      <c r="B222" s="207"/>
      <c r="C222" s="207"/>
      <c r="D222" s="207"/>
      <c r="E222" s="207"/>
      <c r="F222" s="207"/>
      <c r="G222" s="207"/>
      <c r="H222" s="207"/>
      <c r="I222" s="207"/>
      <c r="J222" s="207"/>
      <c r="K222" s="207"/>
      <c r="L222" s="207"/>
      <c r="M222" s="207"/>
      <c r="N222" s="207"/>
      <c r="O222" s="207"/>
      <c r="P222" s="207"/>
      <c r="Q222" s="207"/>
      <c r="R222" s="207"/>
      <c r="S222" s="207"/>
      <c r="T222" s="207"/>
      <c r="U222" s="207"/>
      <c r="V222" s="207"/>
      <c r="W222" s="207"/>
      <c r="X222" s="207"/>
      <c r="Y222" s="207"/>
      <c r="Z222" s="207"/>
    </row>
    <row r="223" spans="1:26" ht="15.75" customHeight="1">
      <c r="A223" s="207"/>
      <c r="B223" s="207"/>
      <c r="C223" s="207"/>
      <c r="D223" s="207"/>
      <c r="E223" s="207"/>
      <c r="F223" s="207"/>
      <c r="G223" s="207"/>
      <c r="H223" s="207"/>
      <c r="I223" s="207"/>
      <c r="J223" s="207"/>
      <c r="K223" s="207"/>
      <c r="L223" s="207"/>
      <c r="M223" s="207"/>
      <c r="N223" s="207"/>
      <c r="O223" s="207"/>
      <c r="P223" s="207"/>
      <c r="Q223" s="207"/>
      <c r="R223" s="207"/>
      <c r="S223" s="207"/>
      <c r="T223" s="207"/>
      <c r="U223" s="207"/>
      <c r="V223" s="207"/>
      <c r="W223" s="207"/>
      <c r="X223" s="207"/>
      <c r="Y223" s="207"/>
      <c r="Z223" s="207"/>
    </row>
    <row r="224" spans="1:26" ht="15.75" customHeight="1">
      <c r="A224" s="207"/>
      <c r="B224" s="207"/>
      <c r="C224" s="207"/>
      <c r="D224" s="207"/>
      <c r="E224" s="207"/>
      <c r="F224" s="207"/>
      <c r="G224" s="207"/>
      <c r="H224" s="207"/>
      <c r="I224" s="207"/>
      <c r="J224" s="207"/>
      <c r="K224" s="207"/>
      <c r="L224" s="207"/>
      <c r="M224" s="207"/>
      <c r="N224" s="207"/>
      <c r="O224" s="207"/>
      <c r="P224" s="207"/>
      <c r="Q224" s="207"/>
      <c r="R224" s="207"/>
      <c r="S224" s="207"/>
      <c r="T224" s="207"/>
      <c r="U224" s="207"/>
      <c r="V224" s="207"/>
      <c r="W224" s="207"/>
      <c r="X224" s="207"/>
      <c r="Y224" s="207"/>
      <c r="Z224" s="207"/>
    </row>
    <row r="225" spans="1:26" ht="15.75" customHeight="1">
      <c r="A225" s="207"/>
      <c r="B225" s="207"/>
      <c r="C225" s="207"/>
      <c r="D225" s="207"/>
      <c r="E225" s="207"/>
      <c r="F225" s="207"/>
      <c r="G225" s="207"/>
      <c r="H225" s="207"/>
      <c r="I225" s="207"/>
      <c r="J225" s="207"/>
      <c r="K225" s="207"/>
      <c r="L225" s="207"/>
      <c r="M225" s="207"/>
      <c r="N225" s="207"/>
      <c r="O225" s="207"/>
      <c r="P225" s="207"/>
      <c r="Q225" s="207"/>
      <c r="R225" s="207"/>
      <c r="S225" s="207"/>
      <c r="T225" s="207"/>
      <c r="U225" s="207"/>
      <c r="V225" s="207"/>
      <c r="W225" s="207"/>
      <c r="X225" s="207"/>
      <c r="Y225" s="207"/>
      <c r="Z225" s="207"/>
    </row>
    <row r="226" spans="1:26" ht="15.75" customHeight="1">
      <c r="A226" s="207"/>
      <c r="B226" s="207"/>
      <c r="C226" s="207"/>
      <c r="D226" s="207"/>
      <c r="E226" s="207"/>
      <c r="F226" s="207"/>
      <c r="G226" s="207"/>
      <c r="H226" s="207"/>
      <c r="I226" s="207"/>
      <c r="J226" s="207"/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7"/>
      <c r="X226" s="207"/>
      <c r="Y226" s="207"/>
      <c r="Z226" s="207"/>
    </row>
    <row r="227" spans="1:26" ht="15.75" customHeight="1">
      <c r="A227" s="207"/>
      <c r="B227" s="207"/>
      <c r="C227" s="207"/>
      <c r="D227" s="207"/>
      <c r="E227" s="207"/>
      <c r="F227" s="207"/>
      <c r="G227" s="207"/>
      <c r="H227" s="207"/>
      <c r="I227" s="207"/>
      <c r="J227" s="207"/>
      <c r="K227" s="207"/>
      <c r="L227" s="207"/>
      <c r="M227" s="207"/>
      <c r="N227" s="207"/>
      <c r="O227" s="207"/>
      <c r="P227" s="207"/>
      <c r="Q227" s="207"/>
      <c r="R227" s="207"/>
      <c r="S227" s="207"/>
      <c r="T227" s="207"/>
      <c r="U227" s="207"/>
      <c r="V227" s="207"/>
      <c r="W227" s="207"/>
      <c r="X227" s="207"/>
      <c r="Y227" s="207"/>
      <c r="Z227" s="207"/>
    </row>
    <row r="228" spans="1:26" ht="15.75" customHeight="1">
      <c r="A228" s="207"/>
      <c r="B228" s="207"/>
      <c r="C228" s="207"/>
      <c r="D228" s="207"/>
      <c r="E228" s="207"/>
      <c r="F228" s="207"/>
      <c r="G228" s="207"/>
      <c r="H228" s="207"/>
      <c r="I228" s="207"/>
      <c r="J228" s="207"/>
      <c r="K228" s="207"/>
      <c r="L228" s="207"/>
      <c r="M228" s="207"/>
      <c r="N228" s="207"/>
      <c r="O228" s="207"/>
      <c r="P228" s="207"/>
      <c r="Q228" s="207"/>
      <c r="R228" s="207"/>
      <c r="S228" s="207"/>
      <c r="T228" s="207"/>
      <c r="U228" s="207"/>
      <c r="V228" s="207"/>
      <c r="W228" s="207"/>
      <c r="X228" s="207"/>
      <c r="Y228" s="207"/>
      <c r="Z228" s="207"/>
    </row>
    <row r="229" spans="1:26" ht="15.75" customHeight="1">
      <c r="A229" s="207"/>
      <c r="B229" s="207"/>
      <c r="C229" s="207"/>
      <c r="D229" s="207"/>
      <c r="E229" s="207"/>
      <c r="F229" s="207"/>
      <c r="G229" s="207"/>
      <c r="H229" s="207"/>
      <c r="I229" s="207"/>
      <c r="J229" s="207"/>
      <c r="K229" s="207"/>
      <c r="L229" s="207"/>
      <c r="M229" s="207"/>
      <c r="N229" s="207"/>
      <c r="O229" s="207"/>
      <c r="P229" s="207"/>
      <c r="Q229" s="207"/>
      <c r="R229" s="207"/>
      <c r="S229" s="207"/>
      <c r="T229" s="207"/>
      <c r="U229" s="207"/>
      <c r="V229" s="207"/>
      <c r="W229" s="207"/>
      <c r="X229" s="207"/>
      <c r="Y229" s="207"/>
      <c r="Z229" s="207"/>
    </row>
    <row r="230" spans="1:26" ht="15.75" customHeight="1">
      <c r="A230" s="207"/>
      <c r="B230" s="207"/>
      <c r="C230" s="207"/>
      <c r="D230" s="207"/>
      <c r="E230" s="207"/>
      <c r="F230" s="207"/>
      <c r="G230" s="207"/>
      <c r="H230" s="207"/>
      <c r="I230" s="207"/>
      <c r="J230" s="207"/>
      <c r="K230" s="207"/>
      <c r="L230" s="207"/>
      <c r="M230" s="207"/>
      <c r="N230" s="207"/>
      <c r="O230" s="207"/>
      <c r="P230" s="207"/>
      <c r="Q230" s="207"/>
      <c r="R230" s="207"/>
      <c r="S230" s="207"/>
      <c r="T230" s="207"/>
      <c r="U230" s="207"/>
      <c r="V230" s="207"/>
      <c r="W230" s="207"/>
      <c r="X230" s="207"/>
      <c r="Y230" s="207"/>
      <c r="Z230" s="207"/>
    </row>
    <row r="231" spans="1:26" ht="15.75" customHeight="1">
      <c r="A231" s="207"/>
      <c r="B231" s="207"/>
      <c r="C231" s="207"/>
      <c r="D231" s="207"/>
      <c r="E231" s="207"/>
      <c r="F231" s="207"/>
      <c r="G231" s="207"/>
      <c r="H231" s="207"/>
      <c r="I231" s="207"/>
      <c r="J231" s="207"/>
      <c r="K231" s="207"/>
      <c r="L231" s="207"/>
      <c r="M231" s="207"/>
      <c r="N231" s="207"/>
      <c r="O231" s="207"/>
      <c r="P231" s="207"/>
      <c r="Q231" s="207"/>
      <c r="R231" s="207"/>
      <c r="S231" s="207"/>
      <c r="T231" s="207"/>
      <c r="U231" s="207"/>
      <c r="V231" s="207"/>
      <c r="W231" s="207"/>
      <c r="X231" s="207"/>
      <c r="Y231" s="207"/>
      <c r="Z231" s="207"/>
    </row>
    <row r="232" spans="1:26" ht="15.75" customHeight="1">
      <c r="A232" s="207"/>
      <c r="B232" s="207"/>
      <c r="C232" s="207"/>
      <c r="D232" s="207"/>
      <c r="E232" s="207"/>
      <c r="F232" s="207"/>
      <c r="G232" s="207"/>
      <c r="H232" s="207"/>
      <c r="I232" s="207"/>
      <c r="J232" s="207"/>
      <c r="K232" s="207"/>
      <c r="L232" s="207"/>
      <c r="M232" s="207"/>
      <c r="N232" s="207"/>
      <c r="O232" s="207"/>
      <c r="P232" s="207"/>
      <c r="Q232" s="207"/>
      <c r="R232" s="207"/>
      <c r="S232" s="207"/>
      <c r="T232" s="207"/>
      <c r="U232" s="207"/>
      <c r="V232" s="207"/>
      <c r="W232" s="207"/>
      <c r="X232" s="207"/>
      <c r="Y232" s="207"/>
      <c r="Z232" s="207"/>
    </row>
    <row r="233" spans="1:26" ht="15.75" customHeight="1">
      <c r="A233" s="207"/>
      <c r="B233" s="207"/>
      <c r="C233" s="207"/>
      <c r="D233" s="207"/>
      <c r="E233" s="207"/>
      <c r="F233" s="207"/>
      <c r="G233" s="207"/>
      <c r="H233" s="207"/>
      <c r="I233" s="207"/>
      <c r="J233" s="207"/>
      <c r="K233" s="207"/>
      <c r="L233" s="207"/>
      <c r="M233" s="207"/>
      <c r="N233" s="207"/>
      <c r="O233" s="207"/>
      <c r="P233" s="207"/>
      <c r="Q233" s="207"/>
      <c r="R233" s="207"/>
      <c r="S233" s="207"/>
      <c r="T233" s="207"/>
      <c r="U233" s="207"/>
      <c r="V233" s="207"/>
      <c r="W233" s="207"/>
      <c r="X233" s="207"/>
      <c r="Y233" s="207"/>
      <c r="Z233" s="207"/>
    </row>
    <row r="234" spans="1:26" ht="15.75" customHeight="1">
      <c r="A234" s="207"/>
      <c r="B234" s="207"/>
      <c r="C234" s="207"/>
      <c r="D234" s="207"/>
      <c r="E234" s="207"/>
      <c r="F234" s="207"/>
      <c r="G234" s="207"/>
      <c r="H234" s="207"/>
      <c r="I234" s="207"/>
      <c r="J234" s="207"/>
      <c r="K234" s="207"/>
      <c r="L234" s="207"/>
      <c r="M234" s="207"/>
      <c r="N234" s="207"/>
      <c r="O234" s="207"/>
      <c r="P234" s="207"/>
      <c r="Q234" s="207"/>
      <c r="R234" s="207"/>
      <c r="S234" s="207"/>
      <c r="T234" s="207"/>
      <c r="U234" s="207"/>
      <c r="V234" s="207"/>
      <c r="W234" s="207"/>
      <c r="X234" s="207"/>
      <c r="Y234" s="207"/>
      <c r="Z234" s="207"/>
    </row>
    <row r="235" spans="1:26" ht="15.75" customHeight="1">
      <c r="A235" s="207"/>
      <c r="B235" s="207"/>
      <c r="C235" s="207"/>
      <c r="D235" s="207"/>
      <c r="E235" s="207"/>
      <c r="F235" s="207"/>
      <c r="G235" s="207"/>
      <c r="H235" s="207"/>
      <c r="I235" s="207"/>
      <c r="J235" s="207"/>
      <c r="K235" s="207"/>
      <c r="L235" s="207"/>
      <c r="M235" s="207"/>
      <c r="N235" s="207"/>
      <c r="O235" s="207"/>
      <c r="P235" s="207"/>
      <c r="Q235" s="207"/>
      <c r="R235" s="207"/>
      <c r="S235" s="207"/>
      <c r="T235" s="207"/>
      <c r="U235" s="207"/>
      <c r="V235" s="207"/>
      <c r="W235" s="207"/>
      <c r="X235" s="207"/>
      <c r="Y235" s="207"/>
      <c r="Z235" s="207"/>
    </row>
    <row r="236" spans="1:26" ht="15.75" customHeight="1">
      <c r="A236" s="207"/>
      <c r="B236" s="207"/>
      <c r="C236" s="207"/>
      <c r="D236" s="207"/>
      <c r="E236" s="207"/>
      <c r="F236" s="207"/>
      <c r="G236" s="207"/>
      <c r="H236" s="207"/>
      <c r="I236" s="207"/>
      <c r="J236" s="207"/>
      <c r="K236" s="207"/>
      <c r="L236" s="207"/>
      <c r="M236" s="207"/>
      <c r="N236" s="207"/>
      <c r="O236" s="207"/>
      <c r="P236" s="207"/>
      <c r="Q236" s="207"/>
      <c r="R236" s="207"/>
      <c r="S236" s="207"/>
      <c r="T236" s="207"/>
      <c r="U236" s="207"/>
      <c r="V236" s="207"/>
      <c r="W236" s="207"/>
      <c r="X236" s="207"/>
      <c r="Y236" s="207"/>
      <c r="Z236" s="207"/>
    </row>
    <row r="237" spans="1:26" ht="15.75" customHeight="1">
      <c r="A237" s="207"/>
      <c r="B237" s="207"/>
      <c r="C237" s="207"/>
      <c r="D237" s="207"/>
      <c r="E237" s="207"/>
      <c r="F237" s="207"/>
      <c r="G237" s="207"/>
      <c r="H237" s="207"/>
      <c r="I237" s="207"/>
      <c r="J237" s="207"/>
      <c r="K237" s="207"/>
      <c r="L237" s="207"/>
      <c r="M237" s="207"/>
      <c r="N237" s="207"/>
      <c r="O237" s="207"/>
      <c r="P237" s="207"/>
      <c r="Q237" s="207"/>
      <c r="R237" s="207"/>
      <c r="S237" s="207"/>
      <c r="T237" s="207"/>
      <c r="U237" s="207"/>
      <c r="V237" s="207"/>
      <c r="W237" s="207"/>
      <c r="X237" s="207"/>
      <c r="Y237" s="207"/>
      <c r="Z237" s="207"/>
    </row>
    <row r="238" spans="1:26" ht="15.75" customHeight="1">
      <c r="A238" s="207"/>
      <c r="B238" s="207"/>
      <c r="C238" s="207"/>
      <c r="D238" s="207"/>
      <c r="E238" s="207"/>
      <c r="F238" s="207"/>
      <c r="G238" s="207"/>
      <c r="H238" s="207"/>
      <c r="I238" s="207"/>
      <c r="J238" s="207"/>
      <c r="K238" s="207"/>
      <c r="L238" s="207"/>
      <c r="M238" s="207"/>
      <c r="N238" s="207"/>
      <c r="O238" s="207"/>
      <c r="P238" s="207"/>
      <c r="Q238" s="207"/>
      <c r="R238" s="207"/>
      <c r="S238" s="207"/>
      <c r="T238" s="207"/>
      <c r="U238" s="207"/>
      <c r="V238" s="207"/>
      <c r="W238" s="207"/>
      <c r="X238" s="207"/>
      <c r="Y238" s="207"/>
      <c r="Z238" s="207"/>
    </row>
    <row r="239" spans="1:26" ht="15.75" customHeight="1">
      <c r="A239" s="207"/>
      <c r="B239" s="207"/>
      <c r="C239" s="207"/>
      <c r="D239" s="207"/>
      <c r="E239" s="207"/>
      <c r="F239" s="207"/>
      <c r="G239" s="207"/>
      <c r="H239" s="207"/>
      <c r="I239" s="207"/>
      <c r="J239" s="207"/>
      <c r="K239" s="207"/>
      <c r="L239" s="207"/>
      <c r="M239" s="207"/>
      <c r="N239" s="207"/>
      <c r="O239" s="207"/>
      <c r="P239" s="207"/>
      <c r="Q239" s="207"/>
      <c r="R239" s="207"/>
      <c r="S239" s="207"/>
      <c r="T239" s="207"/>
      <c r="U239" s="207"/>
      <c r="V239" s="207"/>
      <c r="W239" s="207"/>
      <c r="X239" s="207"/>
      <c r="Y239" s="207"/>
      <c r="Z239" s="207"/>
    </row>
    <row r="240" spans="1:26" ht="15.75" customHeight="1">
      <c r="A240" s="207"/>
      <c r="B240" s="207"/>
      <c r="C240" s="207"/>
      <c r="D240" s="207"/>
      <c r="E240" s="207"/>
      <c r="F240" s="207"/>
      <c r="G240" s="207"/>
      <c r="H240" s="207"/>
      <c r="I240" s="207"/>
      <c r="J240" s="207"/>
      <c r="K240" s="207"/>
      <c r="L240" s="207"/>
      <c r="M240" s="207"/>
      <c r="N240" s="207"/>
      <c r="O240" s="207"/>
      <c r="P240" s="207"/>
      <c r="Q240" s="207"/>
      <c r="R240" s="207"/>
      <c r="S240" s="207"/>
      <c r="T240" s="207"/>
      <c r="U240" s="207"/>
      <c r="V240" s="207"/>
      <c r="W240" s="207"/>
      <c r="X240" s="207"/>
      <c r="Y240" s="207"/>
      <c r="Z240" s="207"/>
    </row>
    <row r="241" spans="1:26" ht="15.75" customHeight="1">
      <c r="A241" s="207"/>
      <c r="B241" s="207"/>
      <c r="C241" s="207"/>
      <c r="D241" s="207"/>
      <c r="E241" s="207"/>
      <c r="F241" s="207"/>
      <c r="G241" s="207"/>
      <c r="H241" s="207"/>
      <c r="I241" s="207"/>
      <c r="J241" s="207"/>
      <c r="K241" s="207"/>
      <c r="L241" s="207"/>
      <c r="M241" s="207"/>
      <c r="N241" s="207"/>
      <c r="O241" s="207"/>
      <c r="P241" s="207"/>
      <c r="Q241" s="207"/>
      <c r="R241" s="207"/>
      <c r="S241" s="207"/>
      <c r="T241" s="207"/>
      <c r="U241" s="207"/>
      <c r="V241" s="207"/>
      <c r="W241" s="207"/>
      <c r="X241" s="207"/>
      <c r="Y241" s="207"/>
      <c r="Z241" s="207"/>
    </row>
    <row r="242" spans="1:26" ht="15.75" customHeight="1">
      <c r="A242" s="207"/>
      <c r="B242" s="207"/>
      <c r="C242" s="207"/>
      <c r="D242" s="207"/>
      <c r="E242" s="207"/>
      <c r="F242" s="207"/>
      <c r="G242" s="207"/>
      <c r="H242" s="207"/>
      <c r="I242" s="207"/>
      <c r="J242" s="207"/>
      <c r="K242" s="207"/>
      <c r="L242" s="207"/>
      <c r="M242" s="207"/>
      <c r="N242" s="207"/>
      <c r="O242" s="207"/>
      <c r="P242" s="207"/>
      <c r="Q242" s="207"/>
      <c r="R242" s="207"/>
      <c r="S242" s="207"/>
      <c r="T242" s="207"/>
      <c r="U242" s="207"/>
      <c r="V242" s="207"/>
      <c r="W242" s="207"/>
      <c r="X242" s="207"/>
      <c r="Y242" s="207"/>
      <c r="Z242" s="207"/>
    </row>
    <row r="243" spans="1:26" ht="15.75" customHeight="1">
      <c r="A243" s="207"/>
      <c r="B243" s="207"/>
      <c r="C243" s="207"/>
      <c r="D243" s="207"/>
      <c r="E243" s="207"/>
      <c r="F243" s="207"/>
      <c r="G243" s="207"/>
      <c r="H243" s="207"/>
      <c r="I243" s="207"/>
      <c r="J243" s="207"/>
      <c r="K243" s="207"/>
      <c r="L243" s="207"/>
      <c r="M243" s="207"/>
      <c r="N243" s="207"/>
      <c r="O243" s="207"/>
      <c r="P243" s="207"/>
      <c r="Q243" s="207"/>
      <c r="R243" s="207"/>
      <c r="S243" s="207"/>
      <c r="T243" s="207"/>
      <c r="U243" s="207"/>
      <c r="V243" s="207"/>
      <c r="W243" s="207"/>
      <c r="X243" s="207"/>
      <c r="Y243" s="207"/>
      <c r="Z243" s="207"/>
    </row>
    <row r="244" spans="1:26" ht="15.75" customHeight="1">
      <c r="A244" s="207"/>
      <c r="B244" s="207"/>
      <c r="C244" s="207"/>
      <c r="D244" s="207"/>
      <c r="E244" s="207"/>
      <c r="F244" s="207"/>
      <c r="G244" s="207"/>
      <c r="H244" s="207"/>
      <c r="I244" s="207"/>
      <c r="J244" s="207"/>
      <c r="K244" s="207"/>
      <c r="L244" s="207"/>
      <c r="M244" s="207"/>
      <c r="N244" s="207"/>
      <c r="O244" s="207"/>
      <c r="P244" s="207"/>
      <c r="Q244" s="207"/>
      <c r="R244" s="207"/>
      <c r="S244" s="207"/>
      <c r="T244" s="207"/>
      <c r="U244" s="207"/>
      <c r="V244" s="207"/>
      <c r="W244" s="207"/>
      <c r="X244" s="207"/>
      <c r="Y244" s="207"/>
      <c r="Z244" s="207"/>
    </row>
    <row r="245" spans="1:26" ht="15.75" customHeight="1">
      <c r="A245" s="207"/>
      <c r="B245" s="207"/>
      <c r="C245" s="207"/>
      <c r="D245" s="207"/>
      <c r="E245" s="207"/>
      <c r="F245" s="207"/>
      <c r="G245" s="207"/>
      <c r="H245" s="207"/>
      <c r="I245" s="207"/>
      <c r="J245" s="207"/>
      <c r="K245" s="207"/>
      <c r="L245" s="207"/>
      <c r="M245" s="207"/>
      <c r="N245" s="207"/>
      <c r="O245" s="207"/>
      <c r="P245" s="207"/>
      <c r="Q245" s="207"/>
      <c r="R245" s="207"/>
      <c r="S245" s="207"/>
      <c r="T245" s="207"/>
      <c r="U245" s="207"/>
      <c r="V245" s="207"/>
      <c r="W245" s="207"/>
      <c r="X245" s="207"/>
      <c r="Y245" s="207"/>
      <c r="Z245" s="207"/>
    </row>
    <row r="246" spans="1:26" ht="15.75" customHeight="1">
      <c r="A246" s="207"/>
      <c r="B246" s="207"/>
      <c r="C246" s="207"/>
      <c r="D246" s="207"/>
      <c r="E246" s="207"/>
      <c r="F246" s="207"/>
      <c r="G246" s="207"/>
      <c r="H246" s="207"/>
      <c r="I246" s="207"/>
      <c r="J246" s="207"/>
      <c r="K246" s="207"/>
      <c r="L246" s="207"/>
      <c r="M246" s="207"/>
      <c r="N246" s="207"/>
      <c r="O246" s="207"/>
      <c r="P246" s="207"/>
      <c r="Q246" s="207"/>
      <c r="R246" s="207"/>
      <c r="S246" s="207"/>
      <c r="T246" s="207"/>
      <c r="U246" s="207"/>
      <c r="V246" s="207"/>
      <c r="W246" s="207"/>
      <c r="X246" s="207"/>
      <c r="Y246" s="207"/>
      <c r="Z246" s="207"/>
    </row>
    <row r="247" spans="1:26" ht="15.75" customHeight="1">
      <c r="A247" s="207"/>
      <c r="B247" s="207"/>
      <c r="C247" s="207"/>
      <c r="D247" s="207"/>
      <c r="E247" s="207"/>
      <c r="F247" s="207"/>
      <c r="G247" s="207"/>
      <c r="H247" s="207"/>
      <c r="I247" s="207"/>
      <c r="J247" s="207"/>
      <c r="K247" s="207"/>
      <c r="L247" s="207"/>
      <c r="M247" s="207"/>
      <c r="N247" s="207"/>
      <c r="O247" s="207"/>
      <c r="P247" s="207"/>
      <c r="Q247" s="207"/>
      <c r="R247" s="207"/>
      <c r="S247" s="207"/>
      <c r="T247" s="207"/>
      <c r="U247" s="207"/>
      <c r="V247" s="207"/>
      <c r="W247" s="207"/>
      <c r="X247" s="207"/>
      <c r="Y247" s="207"/>
      <c r="Z247" s="207"/>
    </row>
    <row r="248" spans="1:26" ht="15.75" customHeight="1">
      <c r="A248" s="207"/>
      <c r="B248" s="207"/>
      <c r="C248" s="207"/>
      <c r="D248" s="207"/>
      <c r="E248" s="207"/>
      <c r="F248" s="207"/>
      <c r="G248" s="207"/>
      <c r="H248" s="207"/>
      <c r="I248" s="207"/>
      <c r="J248" s="207"/>
      <c r="K248" s="207"/>
      <c r="L248" s="207"/>
      <c r="M248" s="207"/>
      <c r="N248" s="207"/>
      <c r="O248" s="207"/>
      <c r="P248" s="207"/>
      <c r="Q248" s="207"/>
      <c r="R248" s="207"/>
      <c r="S248" s="207"/>
      <c r="T248" s="207"/>
      <c r="U248" s="207"/>
      <c r="V248" s="207"/>
      <c r="W248" s="207"/>
      <c r="X248" s="207"/>
      <c r="Y248" s="207"/>
      <c r="Z248" s="207"/>
    </row>
    <row r="249" spans="1:26" ht="15.75" customHeight="1">
      <c r="A249" s="207"/>
      <c r="B249" s="207"/>
      <c r="C249" s="207"/>
      <c r="D249" s="207"/>
      <c r="E249" s="207"/>
      <c r="F249" s="207"/>
      <c r="G249" s="207"/>
      <c r="H249" s="207"/>
      <c r="I249" s="207"/>
      <c r="J249" s="207"/>
      <c r="K249" s="207"/>
      <c r="L249" s="207"/>
      <c r="M249" s="207"/>
      <c r="N249" s="207"/>
      <c r="O249" s="207"/>
      <c r="P249" s="207"/>
      <c r="Q249" s="207"/>
      <c r="R249" s="207"/>
      <c r="S249" s="207"/>
      <c r="T249" s="207"/>
      <c r="U249" s="207"/>
      <c r="V249" s="207"/>
      <c r="W249" s="207"/>
      <c r="X249" s="207"/>
      <c r="Y249" s="207"/>
      <c r="Z249" s="207"/>
    </row>
    <row r="250" spans="1:26" ht="15.75" customHeight="1">
      <c r="A250" s="207"/>
      <c r="B250" s="207"/>
      <c r="C250" s="207"/>
      <c r="D250" s="207"/>
      <c r="E250" s="207"/>
      <c r="F250" s="207"/>
      <c r="G250" s="207"/>
      <c r="H250" s="207"/>
      <c r="I250" s="207"/>
      <c r="J250" s="207"/>
      <c r="K250" s="207"/>
      <c r="L250" s="207"/>
      <c r="M250" s="207"/>
      <c r="N250" s="207"/>
      <c r="O250" s="207"/>
      <c r="P250" s="207"/>
      <c r="Q250" s="207"/>
      <c r="R250" s="207"/>
      <c r="S250" s="207"/>
      <c r="T250" s="207"/>
      <c r="U250" s="207"/>
      <c r="V250" s="207"/>
      <c r="W250" s="207"/>
      <c r="X250" s="207"/>
      <c r="Y250" s="207"/>
      <c r="Z250" s="207"/>
    </row>
    <row r="251" spans="1:26" ht="15.75" customHeight="1">
      <c r="A251" s="207"/>
      <c r="B251" s="207"/>
      <c r="C251" s="207"/>
      <c r="D251" s="207"/>
      <c r="E251" s="207"/>
      <c r="F251" s="207"/>
      <c r="G251" s="207"/>
      <c r="H251" s="207"/>
      <c r="I251" s="207"/>
      <c r="J251" s="207"/>
      <c r="K251" s="207"/>
      <c r="L251" s="207"/>
      <c r="M251" s="207"/>
      <c r="N251" s="207"/>
      <c r="O251" s="207"/>
      <c r="P251" s="207"/>
      <c r="Q251" s="207"/>
      <c r="R251" s="207"/>
      <c r="S251" s="207"/>
      <c r="T251" s="207"/>
      <c r="U251" s="207"/>
      <c r="V251" s="207"/>
      <c r="W251" s="207"/>
      <c r="X251" s="207"/>
      <c r="Y251" s="207"/>
      <c r="Z251" s="207"/>
    </row>
    <row r="252" spans="1:26" ht="15.75" customHeight="1">
      <c r="A252" s="207"/>
      <c r="B252" s="207"/>
      <c r="C252" s="207"/>
      <c r="D252" s="207"/>
      <c r="E252" s="207"/>
      <c r="F252" s="207"/>
      <c r="G252" s="207"/>
      <c r="H252" s="207"/>
      <c r="I252" s="207"/>
      <c r="J252" s="207"/>
      <c r="K252" s="207"/>
      <c r="L252" s="207"/>
      <c r="M252" s="207"/>
      <c r="N252" s="207"/>
      <c r="O252" s="207"/>
      <c r="P252" s="207"/>
      <c r="Q252" s="207"/>
      <c r="R252" s="207"/>
      <c r="S252" s="207"/>
      <c r="T252" s="207"/>
      <c r="U252" s="207"/>
      <c r="V252" s="207"/>
      <c r="W252" s="207"/>
      <c r="X252" s="207"/>
      <c r="Y252" s="207"/>
      <c r="Z252" s="207"/>
    </row>
    <row r="253" spans="1:26" ht="15.75" customHeight="1">
      <c r="A253" s="207"/>
      <c r="B253" s="207"/>
      <c r="C253" s="207"/>
      <c r="D253" s="207"/>
      <c r="E253" s="207"/>
      <c r="F253" s="207"/>
      <c r="G253" s="207"/>
      <c r="H253" s="207"/>
      <c r="I253" s="207"/>
      <c r="J253" s="207"/>
      <c r="K253" s="207"/>
      <c r="L253" s="207"/>
      <c r="M253" s="207"/>
      <c r="N253" s="207"/>
      <c r="O253" s="207"/>
      <c r="P253" s="207"/>
      <c r="Q253" s="207"/>
      <c r="R253" s="207"/>
      <c r="S253" s="207"/>
      <c r="T253" s="207"/>
      <c r="U253" s="207"/>
      <c r="V253" s="207"/>
      <c r="W253" s="207"/>
      <c r="X253" s="207"/>
      <c r="Y253" s="207"/>
      <c r="Z253" s="207"/>
    </row>
    <row r="254" spans="1:26" ht="15.75" customHeight="1">
      <c r="A254" s="207"/>
      <c r="B254" s="207"/>
      <c r="C254" s="207"/>
      <c r="D254" s="207"/>
      <c r="E254" s="207"/>
      <c r="F254" s="207"/>
      <c r="G254" s="207"/>
      <c r="H254" s="207"/>
      <c r="I254" s="207"/>
      <c r="J254" s="207"/>
      <c r="K254" s="207"/>
      <c r="L254" s="207"/>
      <c r="M254" s="207"/>
      <c r="N254" s="207"/>
      <c r="O254" s="207"/>
      <c r="P254" s="207"/>
      <c r="Q254" s="207"/>
      <c r="R254" s="207"/>
      <c r="S254" s="207"/>
      <c r="T254" s="207"/>
      <c r="U254" s="207"/>
      <c r="V254" s="207"/>
      <c r="W254" s="207"/>
      <c r="X254" s="207"/>
      <c r="Y254" s="207"/>
      <c r="Z254" s="207"/>
    </row>
    <row r="255" spans="1:26" ht="15.75" customHeight="1">
      <c r="A255" s="207"/>
      <c r="B255" s="207"/>
      <c r="C255" s="207"/>
      <c r="D255" s="207"/>
      <c r="E255" s="207"/>
      <c r="F255" s="207"/>
      <c r="G255" s="207"/>
      <c r="H255" s="207"/>
      <c r="I255" s="207"/>
      <c r="J255" s="207"/>
      <c r="K255" s="207"/>
      <c r="L255" s="207"/>
      <c r="M255" s="207"/>
      <c r="N255" s="207"/>
      <c r="O255" s="207"/>
      <c r="P255" s="207"/>
      <c r="Q255" s="207"/>
      <c r="R255" s="207"/>
      <c r="S255" s="207"/>
      <c r="T255" s="207"/>
      <c r="U255" s="207"/>
      <c r="V255" s="207"/>
      <c r="W255" s="207"/>
      <c r="X255" s="207"/>
      <c r="Y255" s="207"/>
      <c r="Z255" s="207"/>
    </row>
    <row r="256" spans="1:26" ht="15.75" customHeight="1">
      <c r="A256" s="207"/>
      <c r="B256" s="207"/>
      <c r="C256" s="207"/>
      <c r="D256" s="207"/>
      <c r="E256" s="207"/>
      <c r="F256" s="207"/>
      <c r="G256" s="207"/>
      <c r="H256" s="207"/>
      <c r="I256" s="207"/>
      <c r="J256" s="207"/>
      <c r="K256" s="207"/>
      <c r="L256" s="207"/>
      <c r="M256" s="207"/>
      <c r="N256" s="207"/>
      <c r="O256" s="207"/>
      <c r="P256" s="207"/>
      <c r="Q256" s="207"/>
      <c r="R256" s="207"/>
      <c r="S256" s="207"/>
      <c r="T256" s="207"/>
      <c r="U256" s="207"/>
      <c r="V256" s="207"/>
      <c r="W256" s="207"/>
      <c r="X256" s="207"/>
      <c r="Y256" s="207"/>
      <c r="Z256" s="207"/>
    </row>
    <row r="257" spans="1:26" ht="15.75" customHeight="1">
      <c r="A257" s="207"/>
      <c r="B257" s="207"/>
      <c r="C257" s="207"/>
      <c r="D257" s="207"/>
      <c r="E257" s="207"/>
      <c r="F257" s="207"/>
      <c r="G257" s="207"/>
      <c r="H257" s="207"/>
      <c r="I257" s="207"/>
      <c r="J257" s="207"/>
      <c r="K257" s="207"/>
      <c r="L257" s="207"/>
      <c r="M257" s="207"/>
      <c r="N257" s="207"/>
      <c r="O257" s="207"/>
      <c r="P257" s="207"/>
      <c r="Q257" s="207"/>
      <c r="R257" s="207"/>
      <c r="S257" s="207"/>
      <c r="T257" s="207"/>
      <c r="U257" s="207"/>
      <c r="V257" s="207"/>
      <c r="W257" s="207"/>
      <c r="X257" s="207"/>
      <c r="Y257" s="207"/>
      <c r="Z257" s="207"/>
    </row>
    <row r="258" spans="1:26" ht="15.75" customHeight="1">
      <c r="A258" s="207"/>
      <c r="B258" s="207"/>
      <c r="C258" s="207"/>
      <c r="D258" s="207"/>
      <c r="E258" s="207"/>
      <c r="F258" s="207"/>
      <c r="G258" s="207"/>
      <c r="H258" s="207"/>
      <c r="I258" s="207"/>
      <c r="J258" s="207"/>
      <c r="K258" s="207"/>
      <c r="L258" s="207"/>
      <c r="M258" s="207"/>
      <c r="N258" s="207"/>
      <c r="O258" s="207"/>
      <c r="P258" s="207"/>
      <c r="Q258" s="207"/>
      <c r="R258" s="207"/>
      <c r="S258" s="207"/>
      <c r="T258" s="207"/>
      <c r="U258" s="207"/>
      <c r="V258" s="207"/>
      <c r="W258" s="207"/>
      <c r="X258" s="207"/>
      <c r="Y258" s="207"/>
      <c r="Z258" s="207"/>
    </row>
    <row r="259" spans="1:26" ht="15.75" customHeight="1">
      <c r="A259" s="207"/>
      <c r="B259" s="207"/>
      <c r="C259" s="207"/>
      <c r="D259" s="207"/>
      <c r="E259" s="207"/>
      <c r="F259" s="207"/>
      <c r="G259" s="207"/>
      <c r="H259" s="207"/>
      <c r="I259" s="207"/>
      <c r="J259" s="207"/>
      <c r="K259" s="207"/>
      <c r="L259" s="207"/>
      <c r="M259" s="207"/>
      <c r="N259" s="207"/>
      <c r="O259" s="207"/>
      <c r="P259" s="207"/>
      <c r="Q259" s="207"/>
      <c r="R259" s="207"/>
      <c r="S259" s="207"/>
      <c r="T259" s="207"/>
      <c r="U259" s="207"/>
      <c r="V259" s="207"/>
      <c r="W259" s="207"/>
      <c r="X259" s="207"/>
      <c r="Y259" s="207"/>
      <c r="Z259" s="207"/>
    </row>
    <row r="260" spans="1:26" ht="15.75" customHeight="1">
      <c r="A260" s="207"/>
      <c r="B260" s="207"/>
      <c r="C260" s="207"/>
      <c r="D260" s="207"/>
      <c r="E260" s="207"/>
      <c r="F260" s="207"/>
      <c r="G260" s="207"/>
      <c r="H260" s="207"/>
      <c r="I260" s="207"/>
      <c r="J260" s="207"/>
      <c r="K260" s="207"/>
      <c r="L260" s="207"/>
      <c r="M260" s="207"/>
      <c r="N260" s="207"/>
      <c r="O260" s="207"/>
      <c r="P260" s="207"/>
      <c r="Q260" s="207"/>
      <c r="R260" s="207"/>
      <c r="S260" s="207"/>
      <c r="T260" s="207"/>
      <c r="U260" s="207"/>
      <c r="V260" s="207"/>
      <c r="W260" s="207"/>
      <c r="X260" s="207"/>
      <c r="Y260" s="207"/>
      <c r="Z260" s="207"/>
    </row>
    <row r="261" spans="1:26" ht="15.75" customHeight="1">
      <c r="A261" s="207"/>
      <c r="B261" s="207"/>
      <c r="C261" s="207"/>
      <c r="D261" s="207"/>
      <c r="E261" s="207"/>
      <c r="F261" s="207"/>
      <c r="G261" s="207"/>
      <c r="H261" s="207"/>
      <c r="I261" s="207"/>
      <c r="J261" s="207"/>
      <c r="K261" s="207"/>
      <c r="L261" s="207"/>
      <c r="M261" s="207"/>
      <c r="N261" s="207"/>
      <c r="O261" s="207"/>
      <c r="P261" s="207"/>
      <c r="Q261" s="207"/>
      <c r="R261" s="207"/>
      <c r="S261" s="207"/>
      <c r="T261" s="207"/>
      <c r="U261" s="207"/>
      <c r="V261" s="207"/>
      <c r="W261" s="207"/>
      <c r="X261" s="207"/>
      <c r="Y261" s="207"/>
      <c r="Z261" s="207"/>
    </row>
    <row r="262" spans="1:26" ht="15.75" customHeight="1">
      <c r="A262" s="207"/>
      <c r="B262" s="207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07"/>
      <c r="O262" s="207"/>
      <c r="P262" s="207"/>
      <c r="Q262" s="207"/>
      <c r="R262" s="207"/>
      <c r="S262" s="207"/>
      <c r="T262" s="207"/>
      <c r="U262" s="207"/>
      <c r="V262" s="207"/>
      <c r="W262" s="207"/>
      <c r="X262" s="207"/>
      <c r="Y262" s="207"/>
      <c r="Z262" s="207"/>
    </row>
    <row r="263" spans="1:26" ht="15.75" customHeight="1">
      <c r="A263" s="207"/>
      <c r="B263" s="207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07"/>
      <c r="O263" s="207"/>
      <c r="P263" s="207"/>
      <c r="Q263" s="207"/>
      <c r="R263" s="207"/>
      <c r="S263" s="207"/>
      <c r="T263" s="207"/>
      <c r="U263" s="207"/>
      <c r="V263" s="207"/>
      <c r="W263" s="207"/>
      <c r="X263" s="207"/>
      <c r="Y263" s="207"/>
      <c r="Z263" s="207"/>
    </row>
    <row r="264" spans="1:26" ht="15.75" customHeight="1">
      <c r="A264" s="207"/>
      <c r="B264" s="207"/>
      <c r="C264" s="207"/>
      <c r="D264" s="207"/>
      <c r="E264" s="207"/>
      <c r="F264" s="207"/>
      <c r="G264" s="207"/>
      <c r="H264" s="207"/>
      <c r="I264" s="207"/>
      <c r="J264" s="207"/>
      <c r="K264" s="207"/>
      <c r="L264" s="207"/>
      <c r="M264" s="207"/>
      <c r="N264" s="207"/>
      <c r="O264" s="207"/>
      <c r="P264" s="207"/>
      <c r="Q264" s="207"/>
      <c r="R264" s="207"/>
      <c r="S264" s="207"/>
      <c r="T264" s="207"/>
      <c r="U264" s="207"/>
      <c r="V264" s="207"/>
      <c r="W264" s="207"/>
      <c r="X264" s="207"/>
      <c r="Y264" s="207"/>
      <c r="Z264" s="207"/>
    </row>
    <row r="265" spans="1:26" ht="15.75" customHeight="1">
      <c r="A265" s="207"/>
      <c r="B265" s="207"/>
      <c r="C265" s="207"/>
      <c r="D265" s="207"/>
      <c r="E265" s="207"/>
      <c r="F265" s="207"/>
      <c r="G265" s="207"/>
      <c r="H265" s="207"/>
      <c r="I265" s="207"/>
      <c r="J265" s="207"/>
      <c r="K265" s="207"/>
      <c r="L265" s="207"/>
      <c r="M265" s="207"/>
      <c r="N265" s="207"/>
      <c r="O265" s="207"/>
      <c r="P265" s="207"/>
      <c r="Q265" s="207"/>
      <c r="R265" s="207"/>
      <c r="S265" s="207"/>
      <c r="T265" s="207"/>
      <c r="U265" s="207"/>
      <c r="V265" s="207"/>
      <c r="W265" s="207"/>
      <c r="X265" s="207"/>
      <c r="Y265" s="207"/>
      <c r="Z265" s="207"/>
    </row>
    <row r="266" spans="1:26" ht="15.75" customHeight="1">
      <c r="A266" s="207"/>
      <c r="B266" s="207"/>
      <c r="C266" s="207"/>
      <c r="D266" s="207"/>
      <c r="E266" s="207"/>
      <c r="F266" s="207"/>
      <c r="G266" s="207"/>
      <c r="H266" s="207"/>
      <c r="I266" s="207"/>
      <c r="J266" s="207"/>
      <c r="K266" s="207"/>
      <c r="L266" s="207"/>
      <c r="M266" s="207"/>
      <c r="N266" s="207"/>
      <c r="O266" s="207"/>
      <c r="P266" s="207"/>
      <c r="Q266" s="207"/>
      <c r="R266" s="207"/>
      <c r="S266" s="207"/>
      <c r="T266" s="207"/>
      <c r="U266" s="207"/>
      <c r="V266" s="207"/>
      <c r="W266" s="207"/>
      <c r="X266" s="207"/>
      <c r="Y266" s="207"/>
      <c r="Z266" s="207"/>
    </row>
    <row r="267" spans="1:26" ht="15.75" customHeight="1">
      <c r="A267" s="207"/>
      <c r="B267" s="207"/>
      <c r="C267" s="207"/>
      <c r="D267" s="207"/>
      <c r="E267" s="207"/>
      <c r="F267" s="207"/>
      <c r="G267" s="207"/>
      <c r="H267" s="207"/>
      <c r="I267" s="207"/>
      <c r="J267" s="207"/>
      <c r="K267" s="207"/>
      <c r="L267" s="207"/>
      <c r="M267" s="207"/>
      <c r="N267" s="207"/>
      <c r="O267" s="207"/>
      <c r="P267" s="207"/>
      <c r="Q267" s="207"/>
      <c r="R267" s="207"/>
      <c r="S267" s="207"/>
      <c r="T267" s="207"/>
      <c r="U267" s="207"/>
      <c r="V267" s="207"/>
      <c r="W267" s="207"/>
      <c r="X267" s="207"/>
      <c r="Y267" s="207"/>
      <c r="Z267" s="207"/>
    </row>
    <row r="268" spans="1:26" ht="15.75" customHeight="1">
      <c r="A268" s="207"/>
      <c r="B268" s="207"/>
      <c r="C268" s="207"/>
      <c r="D268" s="207"/>
      <c r="E268" s="207"/>
      <c r="F268" s="207"/>
      <c r="G268" s="207"/>
      <c r="H268" s="207"/>
      <c r="I268" s="207"/>
      <c r="J268" s="207"/>
      <c r="K268" s="207"/>
      <c r="L268" s="207"/>
      <c r="M268" s="207"/>
      <c r="N268" s="207"/>
      <c r="O268" s="207"/>
      <c r="P268" s="207"/>
      <c r="Q268" s="207"/>
      <c r="R268" s="207"/>
      <c r="S268" s="207"/>
      <c r="T268" s="207"/>
      <c r="U268" s="207"/>
      <c r="V268" s="207"/>
      <c r="W268" s="207"/>
      <c r="X268" s="207"/>
      <c r="Y268" s="207"/>
      <c r="Z268" s="207"/>
    </row>
    <row r="269" spans="1:26" ht="15.75" customHeight="1">
      <c r="A269" s="207"/>
      <c r="B269" s="207"/>
      <c r="C269" s="207"/>
      <c r="D269" s="207"/>
      <c r="E269" s="207"/>
      <c r="F269" s="207"/>
      <c r="G269" s="207"/>
      <c r="H269" s="207"/>
      <c r="I269" s="207"/>
      <c r="J269" s="207"/>
      <c r="K269" s="207"/>
      <c r="L269" s="207"/>
      <c r="M269" s="207"/>
      <c r="N269" s="207"/>
      <c r="O269" s="207"/>
      <c r="P269" s="207"/>
      <c r="Q269" s="207"/>
      <c r="R269" s="207"/>
      <c r="S269" s="207"/>
      <c r="T269" s="207"/>
      <c r="U269" s="207"/>
      <c r="V269" s="207"/>
      <c r="W269" s="207"/>
      <c r="X269" s="207"/>
      <c r="Y269" s="207"/>
      <c r="Z269" s="207"/>
    </row>
    <row r="270" spans="1:26" ht="15.75" customHeight="1">
      <c r="A270" s="207"/>
      <c r="B270" s="207"/>
      <c r="C270" s="207"/>
      <c r="D270" s="207"/>
      <c r="E270" s="207"/>
      <c r="F270" s="207"/>
      <c r="G270" s="207"/>
      <c r="H270" s="207"/>
      <c r="I270" s="207"/>
      <c r="J270" s="207"/>
      <c r="K270" s="207"/>
      <c r="L270" s="207"/>
      <c r="M270" s="207"/>
      <c r="N270" s="207"/>
      <c r="O270" s="207"/>
      <c r="P270" s="207"/>
      <c r="Q270" s="207"/>
      <c r="R270" s="207"/>
      <c r="S270" s="207"/>
      <c r="T270" s="207"/>
      <c r="U270" s="207"/>
      <c r="V270" s="207"/>
      <c r="W270" s="207"/>
      <c r="X270" s="207"/>
      <c r="Y270" s="207"/>
      <c r="Z270" s="207"/>
    </row>
    <row r="271" spans="1:26" ht="15.75" customHeight="1">
      <c r="A271" s="207"/>
      <c r="B271" s="207"/>
      <c r="C271" s="207"/>
      <c r="D271" s="207"/>
      <c r="E271" s="207"/>
      <c r="F271" s="207"/>
      <c r="G271" s="207"/>
      <c r="H271" s="207"/>
      <c r="I271" s="207"/>
      <c r="J271" s="207"/>
      <c r="K271" s="207"/>
      <c r="L271" s="207"/>
      <c r="M271" s="207"/>
      <c r="N271" s="207"/>
      <c r="O271" s="207"/>
      <c r="P271" s="207"/>
      <c r="Q271" s="207"/>
      <c r="R271" s="207"/>
      <c r="S271" s="207"/>
      <c r="T271" s="207"/>
      <c r="U271" s="207"/>
      <c r="V271" s="207"/>
      <c r="W271" s="207"/>
      <c r="X271" s="207"/>
      <c r="Y271" s="207"/>
      <c r="Z271" s="207"/>
    </row>
    <row r="272" spans="1:26" ht="15.75" customHeight="1">
      <c r="A272" s="207"/>
      <c r="B272" s="207"/>
      <c r="C272" s="207"/>
      <c r="D272" s="207"/>
      <c r="E272" s="207"/>
      <c r="F272" s="207"/>
      <c r="G272" s="207"/>
      <c r="H272" s="207"/>
      <c r="I272" s="207"/>
      <c r="J272" s="207"/>
      <c r="K272" s="207"/>
      <c r="L272" s="207"/>
      <c r="M272" s="207"/>
      <c r="N272" s="207"/>
      <c r="O272" s="207"/>
      <c r="P272" s="207"/>
      <c r="Q272" s="207"/>
      <c r="R272" s="207"/>
      <c r="S272" s="207"/>
      <c r="T272" s="207"/>
      <c r="U272" s="207"/>
      <c r="V272" s="207"/>
      <c r="W272" s="207"/>
      <c r="X272" s="207"/>
      <c r="Y272" s="207"/>
      <c r="Z272" s="207"/>
    </row>
    <row r="273" spans="1:26" ht="15.75" customHeight="1">
      <c r="A273" s="207"/>
      <c r="B273" s="207"/>
      <c r="C273" s="207"/>
      <c r="D273" s="207"/>
      <c r="E273" s="207"/>
      <c r="F273" s="207"/>
      <c r="G273" s="207"/>
      <c r="H273" s="207"/>
      <c r="I273" s="207"/>
      <c r="J273" s="207"/>
      <c r="K273" s="207"/>
      <c r="L273" s="207"/>
      <c r="M273" s="207"/>
      <c r="N273" s="207"/>
      <c r="O273" s="207"/>
      <c r="P273" s="207"/>
      <c r="Q273" s="207"/>
      <c r="R273" s="207"/>
      <c r="S273" s="207"/>
      <c r="T273" s="207"/>
      <c r="U273" s="207"/>
      <c r="V273" s="207"/>
      <c r="W273" s="207"/>
      <c r="X273" s="207"/>
      <c r="Y273" s="207"/>
      <c r="Z273" s="207"/>
    </row>
    <row r="274" spans="1:26" ht="15.75" customHeight="1">
      <c r="A274" s="207"/>
      <c r="B274" s="207"/>
      <c r="C274" s="207"/>
      <c r="D274" s="207"/>
      <c r="E274" s="207"/>
      <c r="F274" s="207"/>
      <c r="G274" s="207"/>
      <c r="H274" s="207"/>
      <c r="I274" s="207"/>
      <c r="J274" s="207"/>
      <c r="K274" s="207"/>
      <c r="L274" s="207"/>
      <c r="M274" s="207"/>
      <c r="N274" s="207"/>
      <c r="O274" s="207"/>
      <c r="P274" s="207"/>
      <c r="Q274" s="207"/>
      <c r="R274" s="207"/>
      <c r="S274" s="207"/>
      <c r="T274" s="207"/>
      <c r="U274" s="207"/>
      <c r="V274" s="207"/>
      <c r="W274" s="207"/>
      <c r="X274" s="207"/>
      <c r="Y274" s="207"/>
      <c r="Z274" s="207"/>
    </row>
    <row r="275" spans="1:26" ht="15.75" customHeight="1">
      <c r="A275" s="207"/>
      <c r="B275" s="207"/>
      <c r="C275" s="207"/>
      <c r="D275" s="207"/>
      <c r="E275" s="207"/>
      <c r="F275" s="207"/>
      <c r="G275" s="207"/>
      <c r="H275" s="207"/>
      <c r="I275" s="207"/>
      <c r="J275" s="207"/>
      <c r="K275" s="207"/>
      <c r="L275" s="207"/>
      <c r="M275" s="207"/>
      <c r="N275" s="207"/>
      <c r="O275" s="207"/>
      <c r="P275" s="207"/>
      <c r="Q275" s="207"/>
      <c r="R275" s="207"/>
      <c r="S275" s="207"/>
      <c r="T275" s="207"/>
      <c r="U275" s="207"/>
      <c r="V275" s="207"/>
      <c r="W275" s="207"/>
      <c r="X275" s="207"/>
      <c r="Y275" s="207"/>
      <c r="Z275" s="207"/>
    </row>
    <row r="276" spans="1:26" ht="15.75" customHeight="1">
      <c r="A276" s="207"/>
      <c r="B276" s="207"/>
      <c r="C276" s="207"/>
      <c r="D276" s="207"/>
      <c r="E276" s="207"/>
      <c r="F276" s="207"/>
      <c r="G276" s="207"/>
      <c r="H276" s="207"/>
      <c r="I276" s="207"/>
      <c r="J276" s="207"/>
      <c r="K276" s="207"/>
      <c r="L276" s="207"/>
      <c r="M276" s="207"/>
      <c r="N276" s="207"/>
      <c r="O276" s="207"/>
      <c r="P276" s="207"/>
      <c r="Q276" s="207"/>
      <c r="R276" s="207"/>
      <c r="S276" s="207"/>
      <c r="T276" s="207"/>
      <c r="U276" s="207"/>
      <c r="V276" s="207"/>
      <c r="W276" s="207"/>
      <c r="X276" s="207"/>
      <c r="Y276" s="207"/>
      <c r="Z276" s="207"/>
    </row>
    <row r="277" spans="1:26" ht="15.75" customHeight="1">
      <c r="A277" s="207"/>
      <c r="B277" s="207"/>
      <c r="C277" s="207"/>
      <c r="D277" s="207"/>
      <c r="E277" s="207"/>
      <c r="F277" s="207"/>
      <c r="G277" s="207"/>
      <c r="H277" s="207"/>
      <c r="I277" s="207"/>
      <c r="J277" s="207"/>
      <c r="K277" s="207"/>
      <c r="L277" s="207"/>
      <c r="M277" s="207"/>
      <c r="N277" s="207"/>
      <c r="O277" s="207"/>
      <c r="P277" s="207"/>
      <c r="Q277" s="207"/>
      <c r="R277" s="207"/>
      <c r="S277" s="207"/>
      <c r="T277" s="207"/>
      <c r="U277" s="207"/>
      <c r="V277" s="207"/>
      <c r="W277" s="207"/>
      <c r="X277" s="207"/>
      <c r="Y277" s="207"/>
      <c r="Z277" s="207"/>
    </row>
    <row r="278" spans="1:26" ht="15.75" customHeight="1">
      <c r="A278" s="207"/>
      <c r="B278" s="207"/>
      <c r="C278" s="207"/>
      <c r="D278" s="207"/>
      <c r="E278" s="207"/>
      <c r="F278" s="207"/>
      <c r="G278" s="207"/>
      <c r="H278" s="207"/>
      <c r="I278" s="207"/>
      <c r="J278" s="207"/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7"/>
      <c r="X278" s="207"/>
      <c r="Y278" s="207"/>
      <c r="Z278" s="207"/>
    </row>
    <row r="279" spans="1:26" ht="15.75" customHeight="1">
      <c r="A279" s="207"/>
      <c r="B279" s="207"/>
      <c r="C279" s="207"/>
      <c r="D279" s="207"/>
      <c r="E279" s="207"/>
      <c r="F279" s="207"/>
      <c r="G279" s="207"/>
      <c r="H279" s="207"/>
      <c r="I279" s="207"/>
      <c r="J279" s="207"/>
      <c r="K279" s="207"/>
      <c r="L279" s="207"/>
      <c r="M279" s="207"/>
      <c r="N279" s="207"/>
      <c r="O279" s="207"/>
      <c r="P279" s="207"/>
      <c r="Q279" s="207"/>
      <c r="R279" s="207"/>
      <c r="S279" s="207"/>
      <c r="T279" s="207"/>
      <c r="U279" s="207"/>
      <c r="V279" s="207"/>
      <c r="W279" s="207"/>
      <c r="X279" s="207"/>
      <c r="Y279" s="207"/>
      <c r="Z279" s="207"/>
    </row>
    <row r="280" spans="1:26" ht="15.75" customHeight="1">
      <c r="A280" s="207"/>
      <c r="B280" s="207"/>
      <c r="C280" s="207"/>
      <c r="D280" s="207"/>
      <c r="E280" s="207"/>
      <c r="F280" s="207"/>
      <c r="G280" s="207"/>
      <c r="H280" s="207"/>
      <c r="I280" s="207"/>
      <c r="J280" s="207"/>
      <c r="K280" s="207"/>
      <c r="L280" s="207"/>
      <c r="M280" s="207"/>
      <c r="N280" s="207"/>
      <c r="O280" s="207"/>
      <c r="P280" s="207"/>
      <c r="Q280" s="207"/>
      <c r="R280" s="207"/>
      <c r="S280" s="207"/>
      <c r="T280" s="207"/>
      <c r="U280" s="207"/>
      <c r="V280" s="207"/>
      <c r="W280" s="207"/>
      <c r="X280" s="207"/>
      <c r="Y280" s="207"/>
      <c r="Z280" s="207"/>
    </row>
    <row r="281" spans="1:26" ht="15.75" customHeight="1">
      <c r="A281" s="207"/>
      <c r="B281" s="207"/>
      <c r="C281" s="207"/>
      <c r="D281" s="207"/>
      <c r="E281" s="207"/>
      <c r="F281" s="207"/>
      <c r="G281" s="207"/>
      <c r="H281" s="207"/>
      <c r="I281" s="207"/>
      <c r="J281" s="207"/>
      <c r="K281" s="207"/>
      <c r="L281" s="207"/>
      <c r="M281" s="207"/>
      <c r="N281" s="207"/>
      <c r="O281" s="207"/>
      <c r="P281" s="207"/>
      <c r="Q281" s="207"/>
      <c r="R281" s="207"/>
      <c r="S281" s="207"/>
      <c r="T281" s="207"/>
      <c r="U281" s="207"/>
      <c r="V281" s="207"/>
      <c r="W281" s="207"/>
      <c r="X281" s="207"/>
      <c r="Y281" s="207"/>
      <c r="Z281" s="207"/>
    </row>
    <row r="282" spans="1:26" ht="15.75" customHeight="1">
      <c r="A282" s="207"/>
      <c r="B282" s="207"/>
      <c r="C282" s="207"/>
      <c r="D282" s="207"/>
      <c r="E282" s="207"/>
      <c r="F282" s="207"/>
      <c r="G282" s="207"/>
      <c r="H282" s="207"/>
      <c r="I282" s="207"/>
      <c r="J282" s="207"/>
      <c r="K282" s="207"/>
      <c r="L282" s="207"/>
      <c r="M282" s="207"/>
      <c r="N282" s="207"/>
      <c r="O282" s="207"/>
      <c r="P282" s="207"/>
      <c r="Q282" s="207"/>
      <c r="R282" s="207"/>
      <c r="S282" s="207"/>
      <c r="T282" s="207"/>
      <c r="U282" s="207"/>
      <c r="V282" s="207"/>
      <c r="W282" s="207"/>
      <c r="X282" s="207"/>
      <c r="Y282" s="207"/>
      <c r="Z282" s="207"/>
    </row>
    <row r="283" spans="1:26" ht="15.75" customHeight="1">
      <c r="A283" s="207"/>
      <c r="B283" s="207"/>
      <c r="C283" s="207"/>
      <c r="D283" s="207"/>
      <c r="E283" s="207"/>
      <c r="F283" s="207"/>
      <c r="G283" s="207"/>
      <c r="H283" s="207"/>
      <c r="I283" s="207"/>
      <c r="J283" s="207"/>
      <c r="K283" s="207"/>
      <c r="L283" s="207"/>
      <c r="M283" s="207"/>
      <c r="N283" s="207"/>
      <c r="O283" s="207"/>
      <c r="P283" s="207"/>
      <c r="Q283" s="207"/>
      <c r="R283" s="207"/>
      <c r="S283" s="207"/>
      <c r="T283" s="207"/>
      <c r="U283" s="207"/>
      <c r="V283" s="207"/>
      <c r="W283" s="207"/>
      <c r="X283" s="207"/>
      <c r="Y283" s="207"/>
      <c r="Z283" s="207"/>
    </row>
    <row r="284" spans="1:26" ht="15.75" customHeight="1">
      <c r="A284" s="207"/>
      <c r="B284" s="207"/>
      <c r="C284" s="207"/>
      <c r="D284" s="207"/>
      <c r="E284" s="207"/>
      <c r="F284" s="207"/>
      <c r="G284" s="207"/>
      <c r="H284" s="207"/>
      <c r="I284" s="207"/>
      <c r="J284" s="207"/>
      <c r="K284" s="207"/>
      <c r="L284" s="207"/>
      <c r="M284" s="207"/>
      <c r="N284" s="207"/>
      <c r="O284" s="207"/>
      <c r="P284" s="207"/>
      <c r="Q284" s="207"/>
      <c r="R284" s="207"/>
      <c r="S284" s="207"/>
      <c r="T284" s="207"/>
      <c r="U284" s="207"/>
      <c r="V284" s="207"/>
      <c r="W284" s="207"/>
      <c r="X284" s="207"/>
      <c r="Y284" s="207"/>
      <c r="Z284" s="207"/>
    </row>
    <row r="285" spans="1:26" ht="15.75" customHeight="1">
      <c r="A285" s="207"/>
      <c r="B285" s="207"/>
      <c r="C285" s="207"/>
      <c r="D285" s="207"/>
      <c r="E285" s="207"/>
      <c r="F285" s="207"/>
      <c r="G285" s="207"/>
      <c r="H285" s="207"/>
      <c r="I285" s="207"/>
      <c r="J285" s="207"/>
      <c r="K285" s="207"/>
      <c r="L285" s="207"/>
      <c r="M285" s="207"/>
      <c r="N285" s="207"/>
      <c r="O285" s="207"/>
      <c r="P285" s="207"/>
      <c r="Q285" s="207"/>
      <c r="R285" s="207"/>
      <c r="S285" s="207"/>
      <c r="T285" s="207"/>
      <c r="U285" s="207"/>
      <c r="V285" s="207"/>
      <c r="W285" s="207"/>
      <c r="X285" s="207"/>
      <c r="Y285" s="207"/>
      <c r="Z285" s="207"/>
    </row>
    <row r="286" spans="1:26" ht="15.75" customHeight="1">
      <c r="A286" s="207"/>
      <c r="B286" s="207"/>
      <c r="C286" s="207"/>
      <c r="D286" s="207"/>
      <c r="E286" s="207"/>
      <c r="F286" s="207"/>
      <c r="G286" s="207"/>
      <c r="H286" s="207"/>
      <c r="I286" s="207"/>
      <c r="J286" s="207"/>
      <c r="K286" s="207"/>
      <c r="L286" s="207"/>
      <c r="M286" s="207"/>
      <c r="N286" s="207"/>
      <c r="O286" s="207"/>
      <c r="P286" s="207"/>
      <c r="Q286" s="207"/>
      <c r="R286" s="207"/>
      <c r="S286" s="207"/>
      <c r="T286" s="207"/>
      <c r="U286" s="207"/>
      <c r="V286" s="207"/>
      <c r="W286" s="207"/>
      <c r="X286" s="207"/>
      <c r="Y286" s="207"/>
      <c r="Z286" s="207"/>
    </row>
    <row r="287" spans="1:26" ht="15.75" customHeight="1">
      <c r="A287" s="207"/>
      <c r="B287" s="207"/>
      <c r="C287" s="207"/>
      <c r="D287" s="207"/>
      <c r="E287" s="207"/>
      <c r="F287" s="207"/>
      <c r="G287" s="207"/>
      <c r="H287" s="207"/>
      <c r="I287" s="207"/>
      <c r="J287" s="207"/>
      <c r="K287" s="207"/>
      <c r="L287" s="207"/>
      <c r="M287" s="207"/>
      <c r="N287" s="207"/>
      <c r="O287" s="207"/>
      <c r="P287" s="207"/>
      <c r="Q287" s="207"/>
      <c r="R287" s="207"/>
      <c r="S287" s="207"/>
      <c r="T287" s="207"/>
      <c r="U287" s="207"/>
      <c r="V287" s="207"/>
      <c r="W287" s="207"/>
      <c r="X287" s="207"/>
      <c r="Y287" s="207"/>
      <c r="Z287" s="207"/>
    </row>
    <row r="288" spans="1:26" ht="15.75" customHeight="1">
      <c r="A288" s="207"/>
      <c r="B288" s="207"/>
      <c r="C288" s="207"/>
      <c r="D288" s="207"/>
      <c r="E288" s="207"/>
      <c r="F288" s="207"/>
      <c r="G288" s="207"/>
      <c r="H288" s="207"/>
      <c r="I288" s="207"/>
      <c r="J288" s="207"/>
      <c r="K288" s="207"/>
      <c r="L288" s="207"/>
      <c r="M288" s="207"/>
      <c r="N288" s="207"/>
      <c r="O288" s="207"/>
      <c r="P288" s="207"/>
      <c r="Q288" s="207"/>
      <c r="R288" s="207"/>
      <c r="S288" s="207"/>
      <c r="T288" s="207"/>
      <c r="U288" s="207"/>
      <c r="V288" s="207"/>
      <c r="W288" s="207"/>
      <c r="X288" s="207"/>
      <c r="Y288" s="207"/>
      <c r="Z288" s="207"/>
    </row>
    <row r="289" spans="1:26" ht="15.75" customHeight="1">
      <c r="A289" s="207"/>
      <c r="B289" s="207"/>
      <c r="C289" s="207"/>
      <c r="D289" s="207"/>
      <c r="E289" s="207"/>
      <c r="F289" s="207"/>
      <c r="G289" s="207"/>
      <c r="H289" s="207"/>
      <c r="I289" s="207"/>
      <c r="J289" s="207"/>
      <c r="K289" s="207"/>
      <c r="L289" s="207"/>
      <c r="M289" s="207"/>
      <c r="N289" s="207"/>
      <c r="O289" s="207"/>
      <c r="P289" s="207"/>
      <c r="Q289" s="207"/>
      <c r="R289" s="207"/>
      <c r="S289" s="207"/>
      <c r="T289" s="207"/>
      <c r="U289" s="207"/>
      <c r="V289" s="207"/>
      <c r="W289" s="207"/>
      <c r="X289" s="207"/>
      <c r="Y289" s="207"/>
      <c r="Z289" s="207"/>
    </row>
    <row r="290" spans="1:26" ht="15.75" customHeight="1">
      <c r="A290" s="207"/>
      <c r="B290" s="207"/>
      <c r="C290" s="207"/>
      <c r="D290" s="207"/>
      <c r="E290" s="207"/>
      <c r="F290" s="207"/>
      <c r="G290" s="207"/>
      <c r="H290" s="207"/>
      <c r="I290" s="207"/>
      <c r="J290" s="207"/>
      <c r="K290" s="207"/>
      <c r="L290" s="207"/>
      <c r="M290" s="207"/>
      <c r="N290" s="207"/>
      <c r="O290" s="207"/>
      <c r="P290" s="207"/>
      <c r="Q290" s="207"/>
      <c r="R290" s="207"/>
      <c r="S290" s="207"/>
      <c r="T290" s="207"/>
      <c r="U290" s="207"/>
      <c r="V290" s="207"/>
      <c r="W290" s="207"/>
      <c r="X290" s="207"/>
      <c r="Y290" s="207"/>
      <c r="Z290" s="207"/>
    </row>
    <row r="291" spans="1:26" ht="15.75" customHeight="1">
      <c r="A291" s="207"/>
      <c r="B291" s="207"/>
      <c r="C291" s="207"/>
      <c r="D291" s="207"/>
      <c r="E291" s="207"/>
      <c r="F291" s="207"/>
      <c r="G291" s="207"/>
      <c r="H291" s="207"/>
      <c r="I291" s="207"/>
      <c r="J291" s="207"/>
      <c r="K291" s="207"/>
      <c r="L291" s="207"/>
      <c r="M291" s="207"/>
      <c r="N291" s="207"/>
      <c r="O291" s="207"/>
      <c r="P291" s="207"/>
      <c r="Q291" s="207"/>
      <c r="R291" s="207"/>
      <c r="S291" s="207"/>
      <c r="T291" s="207"/>
      <c r="U291" s="207"/>
      <c r="V291" s="207"/>
      <c r="W291" s="207"/>
      <c r="X291" s="207"/>
      <c r="Y291" s="207"/>
      <c r="Z291" s="207"/>
    </row>
    <row r="292" spans="1:26" ht="15.75" customHeight="1">
      <c r="A292" s="207"/>
      <c r="B292" s="207"/>
      <c r="C292" s="207"/>
      <c r="D292" s="207"/>
      <c r="E292" s="207"/>
      <c r="F292" s="207"/>
      <c r="G292" s="207"/>
      <c r="H292" s="207"/>
      <c r="I292" s="207"/>
      <c r="J292" s="207"/>
      <c r="K292" s="207"/>
      <c r="L292" s="207"/>
      <c r="M292" s="207"/>
      <c r="N292" s="207"/>
      <c r="O292" s="207"/>
      <c r="P292" s="207"/>
      <c r="Q292" s="207"/>
      <c r="R292" s="207"/>
      <c r="S292" s="207"/>
      <c r="T292" s="207"/>
      <c r="U292" s="207"/>
      <c r="V292" s="207"/>
      <c r="W292" s="207"/>
      <c r="X292" s="207"/>
      <c r="Y292" s="207"/>
      <c r="Z292" s="207"/>
    </row>
    <row r="293" spans="1:26" ht="15.75" customHeight="1">
      <c r="A293" s="207"/>
      <c r="B293" s="207"/>
      <c r="C293" s="207"/>
      <c r="D293" s="207"/>
      <c r="E293" s="207"/>
      <c r="F293" s="207"/>
      <c r="G293" s="207"/>
      <c r="H293" s="207"/>
      <c r="I293" s="207"/>
      <c r="J293" s="207"/>
      <c r="K293" s="207"/>
      <c r="L293" s="207"/>
      <c r="M293" s="207"/>
      <c r="N293" s="207"/>
      <c r="O293" s="207"/>
      <c r="P293" s="207"/>
      <c r="Q293" s="207"/>
      <c r="R293" s="207"/>
      <c r="S293" s="207"/>
      <c r="T293" s="207"/>
      <c r="U293" s="207"/>
      <c r="V293" s="207"/>
      <c r="W293" s="207"/>
      <c r="X293" s="207"/>
      <c r="Y293" s="207"/>
      <c r="Z293" s="207"/>
    </row>
    <row r="294" spans="1:26" ht="15.75" customHeight="1">
      <c r="A294" s="207"/>
      <c r="B294" s="207"/>
      <c r="C294" s="207"/>
      <c r="D294" s="207"/>
      <c r="E294" s="207"/>
      <c r="F294" s="207"/>
      <c r="G294" s="207"/>
      <c r="H294" s="207"/>
      <c r="I294" s="207"/>
      <c r="J294" s="207"/>
      <c r="K294" s="207"/>
      <c r="L294" s="207"/>
      <c r="M294" s="207"/>
      <c r="N294" s="207"/>
      <c r="O294" s="207"/>
      <c r="P294" s="207"/>
      <c r="Q294" s="207"/>
      <c r="R294" s="207"/>
      <c r="S294" s="207"/>
      <c r="T294" s="207"/>
      <c r="U294" s="207"/>
      <c r="V294" s="207"/>
      <c r="W294" s="207"/>
      <c r="X294" s="207"/>
      <c r="Y294" s="207"/>
      <c r="Z294" s="207"/>
    </row>
    <row r="295" spans="1:26" ht="15.75" customHeight="1">
      <c r="A295" s="207"/>
      <c r="B295" s="207"/>
      <c r="C295" s="207"/>
      <c r="D295" s="207"/>
      <c r="E295" s="207"/>
      <c r="F295" s="207"/>
      <c r="G295" s="207"/>
      <c r="H295" s="207"/>
      <c r="I295" s="207"/>
      <c r="J295" s="207"/>
      <c r="K295" s="207"/>
      <c r="L295" s="207"/>
      <c r="M295" s="207"/>
      <c r="N295" s="207"/>
      <c r="O295" s="207"/>
      <c r="P295" s="207"/>
      <c r="Q295" s="207"/>
      <c r="R295" s="207"/>
      <c r="S295" s="207"/>
      <c r="T295" s="207"/>
      <c r="U295" s="207"/>
      <c r="V295" s="207"/>
      <c r="W295" s="207"/>
      <c r="X295" s="207"/>
      <c r="Y295" s="207"/>
      <c r="Z295" s="207"/>
    </row>
    <row r="296" spans="1:26" ht="15.75" customHeight="1">
      <c r="A296" s="207"/>
      <c r="B296" s="207"/>
      <c r="C296" s="207"/>
      <c r="D296" s="207"/>
      <c r="E296" s="207"/>
      <c r="F296" s="207"/>
      <c r="G296" s="207"/>
      <c r="H296" s="207"/>
      <c r="I296" s="207"/>
      <c r="J296" s="207"/>
      <c r="K296" s="207"/>
      <c r="L296" s="207"/>
      <c r="M296" s="207"/>
      <c r="N296" s="207"/>
      <c r="O296" s="207"/>
      <c r="P296" s="207"/>
      <c r="Q296" s="207"/>
      <c r="R296" s="207"/>
      <c r="S296" s="207"/>
      <c r="T296" s="207"/>
      <c r="U296" s="207"/>
      <c r="V296" s="207"/>
      <c r="W296" s="207"/>
      <c r="X296" s="207"/>
      <c r="Y296" s="207"/>
      <c r="Z296" s="207"/>
    </row>
    <row r="297" spans="1:26" ht="15.75" customHeight="1">
      <c r="A297" s="207"/>
      <c r="B297" s="207"/>
      <c r="C297" s="207"/>
      <c r="D297" s="207"/>
      <c r="E297" s="207"/>
      <c r="F297" s="207"/>
      <c r="G297" s="207"/>
      <c r="H297" s="207"/>
      <c r="I297" s="207"/>
      <c r="J297" s="207"/>
      <c r="K297" s="207"/>
      <c r="L297" s="207"/>
      <c r="M297" s="207"/>
      <c r="N297" s="207"/>
      <c r="O297" s="207"/>
      <c r="P297" s="207"/>
      <c r="Q297" s="207"/>
      <c r="R297" s="207"/>
      <c r="S297" s="207"/>
      <c r="T297" s="207"/>
      <c r="U297" s="207"/>
      <c r="V297" s="207"/>
      <c r="W297" s="207"/>
      <c r="X297" s="207"/>
      <c r="Y297" s="207"/>
      <c r="Z297" s="207"/>
    </row>
    <row r="298" spans="1:26" ht="15.75" customHeight="1">
      <c r="A298" s="207"/>
      <c r="B298" s="207"/>
      <c r="C298" s="207"/>
      <c r="D298" s="207"/>
      <c r="E298" s="207"/>
      <c r="F298" s="207"/>
      <c r="G298" s="207"/>
      <c r="H298" s="207"/>
      <c r="I298" s="207"/>
      <c r="J298" s="207"/>
      <c r="K298" s="207"/>
      <c r="L298" s="207"/>
      <c r="M298" s="207"/>
      <c r="N298" s="207"/>
      <c r="O298" s="207"/>
      <c r="P298" s="207"/>
      <c r="Q298" s="207"/>
      <c r="R298" s="207"/>
      <c r="S298" s="207"/>
      <c r="T298" s="207"/>
      <c r="U298" s="207"/>
      <c r="V298" s="207"/>
      <c r="W298" s="207"/>
      <c r="X298" s="207"/>
      <c r="Y298" s="207"/>
      <c r="Z298" s="207"/>
    </row>
    <row r="299" spans="1:26" ht="15.75" customHeight="1">
      <c r="A299" s="207"/>
      <c r="B299" s="207"/>
      <c r="C299" s="207"/>
      <c r="D299" s="207"/>
      <c r="E299" s="207"/>
      <c r="F299" s="207"/>
      <c r="G299" s="207"/>
      <c r="H299" s="207"/>
      <c r="I299" s="207"/>
      <c r="J299" s="207"/>
      <c r="K299" s="207"/>
      <c r="L299" s="207"/>
      <c r="M299" s="207"/>
      <c r="N299" s="207"/>
      <c r="O299" s="207"/>
      <c r="P299" s="207"/>
      <c r="Q299" s="207"/>
      <c r="R299" s="207"/>
      <c r="S299" s="207"/>
      <c r="T299" s="207"/>
      <c r="U299" s="207"/>
      <c r="V299" s="207"/>
      <c r="W299" s="207"/>
      <c r="X299" s="207"/>
      <c r="Y299" s="207"/>
      <c r="Z299" s="207"/>
    </row>
    <row r="300" spans="1:26" ht="15.75" customHeight="1">
      <c r="A300" s="207"/>
      <c r="B300" s="207"/>
      <c r="C300" s="207"/>
      <c r="D300" s="207"/>
      <c r="E300" s="207"/>
      <c r="F300" s="207"/>
      <c r="G300" s="207"/>
      <c r="H300" s="207"/>
      <c r="I300" s="207"/>
      <c r="J300" s="207"/>
      <c r="K300" s="207"/>
      <c r="L300" s="207"/>
      <c r="M300" s="207"/>
      <c r="N300" s="207"/>
      <c r="O300" s="207"/>
      <c r="P300" s="207"/>
      <c r="Q300" s="207"/>
      <c r="R300" s="207"/>
      <c r="S300" s="207"/>
      <c r="T300" s="207"/>
      <c r="U300" s="207"/>
      <c r="V300" s="207"/>
      <c r="W300" s="207"/>
      <c r="X300" s="207"/>
      <c r="Y300" s="207"/>
      <c r="Z300" s="207"/>
    </row>
    <row r="301" spans="1:26" ht="15.75" customHeight="1">
      <c r="A301" s="207"/>
      <c r="B301" s="207"/>
      <c r="C301" s="207"/>
      <c r="D301" s="207"/>
      <c r="E301" s="207"/>
      <c r="F301" s="207"/>
      <c r="G301" s="207"/>
      <c r="H301" s="207"/>
      <c r="I301" s="207"/>
      <c r="J301" s="207"/>
      <c r="K301" s="207"/>
      <c r="L301" s="207"/>
      <c r="M301" s="207"/>
      <c r="N301" s="207"/>
      <c r="O301" s="207"/>
      <c r="P301" s="207"/>
      <c r="Q301" s="207"/>
      <c r="R301" s="207"/>
      <c r="S301" s="207"/>
      <c r="T301" s="207"/>
      <c r="U301" s="207"/>
      <c r="V301" s="207"/>
      <c r="W301" s="207"/>
      <c r="X301" s="207"/>
      <c r="Y301" s="207"/>
      <c r="Z301" s="207"/>
    </row>
    <row r="302" spans="1:26" ht="15.75" customHeight="1">
      <c r="A302" s="207"/>
      <c r="B302" s="207"/>
      <c r="C302" s="207"/>
      <c r="D302" s="207"/>
      <c r="E302" s="207"/>
      <c r="F302" s="207"/>
      <c r="G302" s="207"/>
      <c r="H302" s="207"/>
      <c r="I302" s="207"/>
      <c r="J302" s="207"/>
      <c r="K302" s="207"/>
      <c r="L302" s="207"/>
      <c r="M302" s="207"/>
      <c r="N302" s="207"/>
      <c r="O302" s="207"/>
      <c r="P302" s="207"/>
      <c r="Q302" s="207"/>
      <c r="R302" s="207"/>
      <c r="S302" s="207"/>
      <c r="T302" s="207"/>
      <c r="U302" s="207"/>
      <c r="V302" s="207"/>
      <c r="W302" s="207"/>
      <c r="X302" s="207"/>
      <c r="Y302" s="207"/>
      <c r="Z302" s="207"/>
    </row>
    <row r="303" spans="1:26" ht="15.75" customHeight="1">
      <c r="A303" s="207"/>
      <c r="B303" s="207"/>
      <c r="C303" s="207"/>
      <c r="D303" s="207"/>
      <c r="E303" s="207"/>
      <c r="F303" s="207"/>
      <c r="G303" s="207"/>
      <c r="H303" s="207"/>
      <c r="I303" s="207"/>
      <c r="J303" s="207"/>
      <c r="K303" s="207"/>
      <c r="L303" s="207"/>
      <c r="M303" s="207"/>
      <c r="N303" s="207"/>
      <c r="O303" s="207"/>
      <c r="P303" s="207"/>
      <c r="Q303" s="207"/>
      <c r="R303" s="207"/>
      <c r="S303" s="207"/>
      <c r="T303" s="207"/>
      <c r="U303" s="207"/>
      <c r="V303" s="207"/>
      <c r="W303" s="207"/>
      <c r="X303" s="207"/>
      <c r="Y303" s="207"/>
      <c r="Z303" s="207"/>
    </row>
    <row r="304" spans="1:26" ht="15.75" customHeight="1">
      <c r="A304" s="207"/>
      <c r="B304" s="207"/>
      <c r="C304" s="207"/>
      <c r="D304" s="207"/>
      <c r="E304" s="207"/>
      <c r="F304" s="207"/>
      <c r="G304" s="207"/>
      <c r="H304" s="207"/>
      <c r="I304" s="207"/>
      <c r="J304" s="207"/>
      <c r="K304" s="207"/>
      <c r="L304" s="207"/>
      <c r="M304" s="207"/>
      <c r="N304" s="207"/>
      <c r="O304" s="207"/>
      <c r="P304" s="207"/>
      <c r="Q304" s="207"/>
      <c r="R304" s="207"/>
      <c r="S304" s="207"/>
      <c r="T304" s="207"/>
      <c r="U304" s="207"/>
      <c r="V304" s="207"/>
      <c r="W304" s="207"/>
      <c r="X304" s="207"/>
      <c r="Y304" s="207"/>
      <c r="Z304" s="207"/>
    </row>
    <row r="305" spans="1:26" ht="15.75" customHeight="1">
      <c r="A305" s="207"/>
      <c r="B305" s="207"/>
      <c r="C305" s="207"/>
      <c r="D305" s="207"/>
      <c r="E305" s="207"/>
      <c r="F305" s="207"/>
      <c r="G305" s="207"/>
      <c r="H305" s="207"/>
      <c r="I305" s="207"/>
      <c r="J305" s="207"/>
      <c r="K305" s="207"/>
      <c r="L305" s="207"/>
      <c r="M305" s="207"/>
      <c r="N305" s="207"/>
      <c r="O305" s="207"/>
      <c r="P305" s="207"/>
      <c r="Q305" s="207"/>
      <c r="R305" s="207"/>
      <c r="S305" s="207"/>
      <c r="T305" s="207"/>
      <c r="U305" s="207"/>
      <c r="V305" s="207"/>
      <c r="W305" s="207"/>
      <c r="X305" s="207"/>
      <c r="Y305" s="207"/>
      <c r="Z305" s="207"/>
    </row>
    <row r="306" spans="1:26" ht="15.75" customHeight="1">
      <c r="A306" s="207"/>
      <c r="B306" s="207"/>
      <c r="C306" s="207"/>
      <c r="D306" s="207"/>
      <c r="E306" s="207"/>
      <c r="F306" s="207"/>
      <c r="G306" s="207"/>
      <c r="H306" s="207"/>
      <c r="I306" s="207"/>
      <c r="J306" s="207"/>
      <c r="K306" s="207"/>
      <c r="L306" s="207"/>
      <c r="M306" s="207"/>
      <c r="N306" s="207"/>
      <c r="O306" s="207"/>
      <c r="P306" s="207"/>
      <c r="Q306" s="207"/>
      <c r="R306" s="207"/>
      <c r="S306" s="207"/>
      <c r="T306" s="207"/>
      <c r="U306" s="207"/>
      <c r="V306" s="207"/>
      <c r="W306" s="207"/>
      <c r="X306" s="207"/>
      <c r="Y306" s="207"/>
      <c r="Z306" s="207"/>
    </row>
    <row r="307" spans="1:26" ht="15.75" customHeight="1">
      <c r="A307" s="207"/>
      <c r="B307" s="207"/>
      <c r="C307" s="207"/>
      <c r="D307" s="207"/>
      <c r="E307" s="207"/>
      <c r="F307" s="207"/>
      <c r="G307" s="207"/>
      <c r="H307" s="207"/>
      <c r="I307" s="207"/>
      <c r="J307" s="207"/>
      <c r="K307" s="207"/>
      <c r="L307" s="207"/>
      <c r="M307" s="207"/>
      <c r="N307" s="207"/>
      <c r="O307" s="207"/>
      <c r="P307" s="207"/>
      <c r="Q307" s="207"/>
      <c r="R307" s="207"/>
      <c r="S307" s="207"/>
      <c r="T307" s="207"/>
      <c r="U307" s="207"/>
      <c r="V307" s="207"/>
      <c r="W307" s="207"/>
      <c r="X307" s="207"/>
      <c r="Y307" s="207"/>
      <c r="Z307" s="207"/>
    </row>
    <row r="308" spans="1:26" ht="15.75" customHeight="1">
      <c r="A308" s="207"/>
      <c r="B308" s="207"/>
      <c r="C308" s="207"/>
      <c r="D308" s="207"/>
      <c r="E308" s="207"/>
      <c r="F308" s="207"/>
      <c r="G308" s="207"/>
      <c r="H308" s="207"/>
      <c r="I308" s="207"/>
      <c r="J308" s="207"/>
      <c r="K308" s="207"/>
      <c r="L308" s="207"/>
      <c r="M308" s="207"/>
      <c r="N308" s="207"/>
      <c r="O308" s="207"/>
      <c r="P308" s="207"/>
      <c r="Q308" s="207"/>
      <c r="R308" s="207"/>
      <c r="S308" s="207"/>
      <c r="T308" s="207"/>
      <c r="U308" s="207"/>
      <c r="V308" s="207"/>
      <c r="W308" s="207"/>
      <c r="X308" s="207"/>
      <c r="Y308" s="207"/>
      <c r="Z308" s="207"/>
    </row>
    <row r="309" spans="1:26" ht="15.75" customHeight="1">
      <c r="A309" s="207"/>
      <c r="B309" s="207"/>
      <c r="C309" s="207"/>
      <c r="D309" s="207"/>
      <c r="E309" s="207"/>
      <c r="F309" s="207"/>
      <c r="G309" s="207"/>
      <c r="H309" s="207"/>
      <c r="I309" s="207"/>
      <c r="J309" s="207"/>
      <c r="K309" s="207"/>
      <c r="L309" s="207"/>
      <c r="M309" s="207"/>
      <c r="N309" s="207"/>
      <c r="O309" s="207"/>
      <c r="P309" s="207"/>
      <c r="Q309" s="207"/>
      <c r="R309" s="207"/>
      <c r="S309" s="207"/>
      <c r="T309" s="207"/>
      <c r="U309" s="207"/>
      <c r="V309" s="207"/>
      <c r="W309" s="207"/>
      <c r="X309" s="207"/>
      <c r="Y309" s="207"/>
      <c r="Z309" s="207"/>
    </row>
    <row r="310" spans="1:26" ht="15.75" customHeight="1">
      <c r="A310" s="207"/>
      <c r="B310" s="207"/>
      <c r="C310" s="207"/>
      <c r="D310" s="207"/>
      <c r="E310" s="207"/>
      <c r="F310" s="207"/>
      <c r="G310" s="207"/>
      <c r="H310" s="207"/>
      <c r="I310" s="207"/>
      <c r="J310" s="207"/>
      <c r="K310" s="207"/>
      <c r="L310" s="207"/>
      <c r="M310" s="207"/>
      <c r="N310" s="207"/>
      <c r="O310" s="207"/>
      <c r="P310" s="207"/>
      <c r="Q310" s="207"/>
      <c r="R310" s="207"/>
      <c r="S310" s="207"/>
      <c r="T310" s="207"/>
      <c r="U310" s="207"/>
      <c r="V310" s="207"/>
      <c r="W310" s="207"/>
      <c r="X310" s="207"/>
      <c r="Y310" s="207"/>
      <c r="Z310" s="207"/>
    </row>
    <row r="311" spans="1:26" ht="15.75" customHeight="1">
      <c r="A311" s="207"/>
      <c r="B311" s="207"/>
      <c r="C311" s="207"/>
      <c r="D311" s="207"/>
      <c r="E311" s="207"/>
      <c r="F311" s="207"/>
      <c r="G311" s="207"/>
      <c r="H311" s="207"/>
      <c r="I311" s="207"/>
      <c r="J311" s="207"/>
      <c r="K311" s="207"/>
      <c r="L311" s="207"/>
      <c r="M311" s="207"/>
      <c r="N311" s="207"/>
      <c r="O311" s="207"/>
      <c r="P311" s="207"/>
      <c r="Q311" s="207"/>
      <c r="R311" s="207"/>
      <c r="S311" s="207"/>
      <c r="T311" s="207"/>
      <c r="U311" s="207"/>
      <c r="V311" s="207"/>
      <c r="W311" s="207"/>
      <c r="X311" s="207"/>
      <c r="Y311" s="207"/>
      <c r="Z311" s="207"/>
    </row>
    <row r="312" spans="1:26" ht="15.75" customHeight="1">
      <c r="A312" s="207"/>
      <c r="B312" s="207"/>
      <c r="C312" s="207"/>
      <c r="D312" s="207"/>
      <c r="E312" s="207"/>
      <c r="F312" s="207"/>
      <c r="G312" s="207"/>
      <c r="H312" s="207"/>
      <c r="I312" s="207"/>
      <c r="J312" s="207"/>
      <c r="K312" s="207"/>
      <c r="L312" s="207"/>
      <c r="M312" s="207"/>
      <c r="N312" s="207"/>
      <c r="O312" s="207"/>
      <c r="P312" s="207"/>
      <c r="Q312" s="207"/>
      <c r="R312" s="207"/>
      <c r="S312" s="207"/>
      <c r="T312" s="207"/>
      <c r="U312" s="207"/>
      <c r="V312" s="207"/>
      <c r="W312" s="207"/>
      <c r="X312" s="207"/>
      <c r="Y312" s="207"/>
      <c r="Z312" s="207"/>
    </row>
    <row r="313" spans="1:26" ht="15.75" customHeight="1">
      <c r="A313" s="207"/>
      <c r="B313" s="207"/>
      <c r="C313" s="207"/>
      <c r="D313" s="207"/>
      <c r="E313" s="207"/>
      <c r="F313" s="207"/>
      <c r="G313" s="207"/>
      <c r="H313" s="207"/>
      <c r="I313" s="207"/>
      <c r="J313" s="207"/>
      <c r="K313" s="207"/>
      <c r="L313" s="207"/>
      <c r="M313" s="207"/>
      <c r="N313" s="207"/>
      <c r="O313" s="207"/>
      <c r="P313" s="207"/>
      <c r="Q313" s="207"/>
      <c r="R313" s="207"/>
      <c r="S313" s="207"/>
      <c r="T313" s="207"/>
      <c r="U313" s="207"/>
      <c r="V313" s="207"/>
      <c r="W313" s="207"/>
      <c r="X313" s="207"/>
      <c r="Y313" s="207"/>
      <c r="Z313" s="207"/>
    </row>
    <row r="314" spans="1:26" ht="15.75" customHeight="1">
      <c r="A314" s="207"/>
      <c r="B314" s="207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07"/>
      <c r="O314" s="207"/>
      <c r="P314" s="207"/>
      <c r="Q314" s="207"/>
      <c r="R314" s="207"/>
      <c r="S314" s="207"/>
      <c r="T314" s="207"/>
      <c r="U314" s="207"/>
      <c r="V314" s="207"/>
      <c r="W314" s="207"/>
      <c r="X314" s="207"/>
      <c r="Y314" s="207"/>
      <c r="Z314" s="207"/>
    </row>
    <row r="315" spans="1:26" ht="15.75" customHeight="1">
      <c r="A315" s="207"/>
      <c r="B315" s="207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07"/>
      <c r="O315" s="207"/>
      <c r="P315" s="207"/>
      <c r="Q315" s="207"/>
      <c r="R315" s="207"/>
      <c r="S315" s="207"/>
      <c r="T315" s="207"/>
      <c r="U315" s="207"/>
      <c r="V315" s="207"/>
      <c r="W315" s="207"/>
      <c r="X315" s="207"/>
      <c r="Y315" s="207"/>
      <c r="Z315" s="207"/>
    </row>
    <row r="316" spans="1:26" ht="15.75" customHeight="1">
      <c r="A316" s="207"/>
      <c r="B316" s="207"/>
      <c r="C316" s="207"/>
      <c r="D316" s="207"/>
      <c r="E316" s="207"/>
      <c r="F316" s="207"/>
      <c r="G316" s="207"/>
      <c r="H316" s="207"/>
      <c r="I316" s="207"/>
      <c r="J316" s="207"/>
      <c r="K316" s="207"/>
      <c r="L316" s="207"/>
      <c r="M316" s="207"/>
      <c r="N316" s="207"/>
      <c r="O316" s="207"/>
      <c r="P316" s="207"/>
      <c r="Q316" s="207"/>
      <c r="R316" s="207"/>
      <c r="S316" s="207"/>
      <c r="T316" s="207"/>
      <c r="U316" s="207"/>
      <c r="V316" s="207"/>
      <c r="W316" s="207"/>
      <c r="X316" s="207"/>
      <c r="Y316" s="207"/>
      <c r="Z316" s="207"/>
    </row>
    <row r="317" spans="1:26" ht="15.75" customHeight="1">
      <c r="A317" s="207"/>
      <c r="B317" s="207"/>
      <c r="C317" s="207"/>
      <c r="D317" s="207"/>
      <c r="E317" s="207"/>
      <c r="F317" s="207"/>
      <c r="G317" s="207"/>
      <c r="H317" s="207"/>
      <c r="I317" s="207"/>
      <c r="J317" s="207"/>
      <c r="K317" s="207"/>
      <c r="L317" s="207"/>
      <c r="M317" s="207"/>
      <c r="N317" s="207"/>
      <c r="O317" s="207"/>
      <c r="P317" s="207"/>
      <c r="Q317" s="207"/>
      <c r="R317" s="207"/>
      <c r="S317" s="207"/>
      <c r="T317" s="207"/>
      <c r="U317" s="207"/>
      <c r="V317" s="207"/>
      <c r="W317" s="207"/>
      <c r="X317" s="207"/>
      <c r="Y317" s="207"/>
      <c r="Z317" s="207"/>
    </row>
    <row r="318" spans="1:26" ht="15.75" customHeight="1">
      <c r="A318" s="207"/>
      <c r="B318" s="2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207"/>
      <c r="Q318" s="207"/>
      <c r="R318" s="207"/>
      <c r="S318" s="207"/>
      <c r="T318" s="207"/>
      <c r="U318" s="207"/>
      <c r="V318" s="207"/>
      <c r="W318" s="207"/>
      <c r="X318" s="207"/>
      <c r="Y318" s="207"/>
      <c r="Z318" s="207"/>
    </row>
    <row r="319" spans="1:26" ht="15.75" customHeight="1">
      <c r="A319" s="207"/>
      <c r="B319" s="207"/>
      <c r="C319" s="207"/>
      <c r="D319" s="207"/>
      <c r="E319" s="207"/>
      <c r="F319" s="207"/>
      <c r="G319" s="207"/>
      <c r="H319" s="207"/>
      <c r="I319" s="207"/>
      <c r="J319" s="207"/>
      <c r="K319" s="207"/>
      <c r="L319" s="207"/>
      <c r="M319" s="207"/>
      <c r="N319" s="207"/>
      <c r="O319" s="207"/>
      <c r="P319" s="207"/>
      <c r="Q319" s="207"/>
      <c r="R319" s="207"/>
      <c r="S319" s="207"/>
      <c r="T319" s="207"/>
      <c r="U319" s="207"/>
      <c r="V319" s="207"/>
      <c r="W319" s="207"/>
      <c r="X319" s="207"/>
      <c r="Y319" s="207"/>
      <c r="Z319" s="207"/>
    </row>
    <row r="320" spans="1:26" ht="15.75" customHeight="1">
      <c r="A320" s="207"/>
      <c r="B320" s="207"/>
      <c r="C320" s="207"/>
      <c r="D320" s="207"/>
      <c r="E320" s="207"/>
      <c r="F320" s="207"/>
      <c r="G320" s="207"/>
      <c r="H320" s="207"/>
      <c r="I320" s="207"/>
      <c r="J320" s="207"/>
      <c r="K320" s="207"/>
      <c r="L320" s="207"/>
      <c r="M320" s="207"/>
      <c r="N320" s="207"/>
      <c r="O320" s="207"/>
      <c r="P320" s="207"/>
      <c r="Q320" s="207"/>
      <c r="R320" s="207"/>
      <c r="S320" s="207"/>
      <c r="T320" s="207"/>
      <c r="U320" s="207"/>
      <c r="V320" s="207"/>
      <c r="W320" s="207"/>
      <c r="X320" s="207"/>
      <c r="Y320" s="207"/>
      <c r="Z320" s="207"/>
    </row>
    <row r="321" spans="1:26" ht="15.75" customHeight="1">
      <c r="A321" s="207"/>
      <c r="B321" s="207"/>
      <c r="C321" s="207"/>
      <c r="D321" s="207"/>
      <c r="E321" s="207"/>
      <c r="F321" s="207"/>
      <c r="G321" s="207"/>
      <c r="H321" s="207"/>
      <c r="I321" s="207"/>
      <c r="J321" s="207"/>
      <c r="K321" s="207"/>
      <c r="L321" s="207"/>
      <c r="M321" s="207"/>
      <c r="N321" s="207"/>
      <c r="O321" s="207"/>
      <c r="P321" s="207"/>
      <c r="Q321" s="207"/>
      <c r="R321" s="207"/>
      <c r="S321" s="207"/>
      <c r="T321" s="207"/>
      <c r="U321" s="207"/>
      <c r="V321" s="207"/>
      <c r="W321" s="207"/>
      <c r="X321" s="207"/>
      <c r="Y321" s="207"/>
      <c r="Z321" s="207"/>
    </row>
    <row r="322" spans="1:26" ht="15.75" customHeight="1">
      <c r="A322" s="207"/>
      <c r="B322" s="207"/>
      <c r="C322" s="207"/>
      <c r="D322" s="207"/>
      <c r="E322" s="207"/>
      <c r="F322" s="207"/>
      <c r="G322" s="207"/>
      <c r="H322" s="207"/>
      <c r="I322" s="207"/>
      <c r="J322" s="207"/>
      <c r="K322" s="207"/>
      <c r="L322" s="207"/>
      <c r="M322" s="207"/>
      <c r="N322" s="207"/>
      <c r="O322" s="207"/>
      <c r="P322" s="207"/>
      <c r="Q322" s="207"/>
      <c r="R322" s="207"/>
      <c r="S322" s="207"/>
      <c r="T322" s="207"/>
      <c r="U322" s="207"/>
      <c r="V322" s="207"/>
      <c r="W322" s="207"/>
      <c r="X322" s="207"/>
      <c r="Y322" s="207"/>
      <c r="Z322" s="207"/>
    </row>
    <row r="323" spans="1:26" ht="15.75" customHeight="1">
      <c r="A323" s="207"/>
      <c r="B323" s="207"/>
      <c r="C323" s="207"/>
      <c r="D323" s="207"/>
      <c r="E323" s="207"/>
      <c r="F323" s="207"/>
      <c r="G323" s="207"/>
      <c r="H323" s="207"/>
      <c r="I323" s="207"/>
      <c r="J323" s="207"/>
      <c r="K323" s="207"/>
      <c r="L323" s="207"/>
      <c r="M323" s="207"/>
      <c r="N323" s="207"/>
      <c r="O323" s="207"/>
      <c r="P323" s="207"/>
      <c r="Q323" s="207"/>
      <c r="R323" s="207"/>
      <c r="S323" s="207"/>
      <c r="T323" s="207"/>
      <c r="U323" s="207"/>
      <c r="V323" s="207"/>
      <c r="W323" s="207"/>
      <c r="X323" s="207"/>
      <c r="Y323" s="207"/>
      <c r="Z323" s="207"/>
    </row>
    <row r="324" spans="1:26" ht="15.75" customHeight="1">
      <c r="A324" s="207"/>
      <c r="B324" s="207"/>
      <c r="C324" s="207"/>
      <c r="D324" s="207"/>
      <c r="E324" s="207"/>
      <c r="F324" s="207"/>
      <c r="G324" s="207"/>
      <c r="H324" s="207"/>
      <c r="I324" s="207"/>
      <c r="J324" s="207"/>
      <c r="K324" s="207"/>
      <c r="L324" s="207"/>
      <c r="M324" s="207"/>
      <c r="N324" s="207"/>
      <c r="O324" s="207"/>
      <c r="P324" s="207"/>
      <c r="Q324" s="207"/>
      <c r="R324" s="207"/>
      <c r="S324" s="207"/>
      <c r="T324" s="207"/>
      <c r="U324" s="207"/>
      <c r="V324" s="207"/>
      <c r="W324" s="207"/>
      <c r="X324" s="207"/>
      <c r="Y324" s="207"/>
      <c r="Z324" s="207"/>
    </row>
    <row r="325" spans="1:26" ht="15.75" customHeight="1">
      <c r="A325" s="207"/>
      <c r="B325" s="207"/>
      <c r="C325" s="207"/>
      <c r="D325" s="207"/>
      <c r="E325" s="207"/>
      <c r="F325" s="207"/>
      <c r="G325" s="207"/>
      <c r="H325" s="207"/>
      <c r="I325" s="207"/>
      <c r="J325" s="207"/>
      <c r="K325" s="207"/>
      <c r="L325" s="207"/>
      <c r="M325" s="207"/>
      <c r="N325" s="207"/>
      <c r="O325" s="207"/>
      <c r="P325" s="207"/>
      <c r="Q325" s="207"/>
      <c r="R325" s="207"/>
      <c r="S325" s="207"/>
      <c r="T325" s="207"/>
      <c r="U325" s="207"/>
      <c r="V325" s="207"/>
      <c r="W325" s="207"/>
      <c r="X325" s="207"/>
      <c r="Y325" s="207"/>
      <c r="Z325" s="207"/>
    </row>
    <row r="326" spans="1:26" ht="15.75" customHeight="1">
      <c r="A326" s="207"/>
      <c r="B326" s="207"/>
      <c r="C326" s="207"/>
      <c r="D326" s="207"/>
      <c r="E326" s="207"/>
      <c r="F326" s="207"/>
      <c r="G326" s="207"/>
      <c r="H326" s="207"/>
      <c r="I326" s="207"/>
      <c r="J326" s="207"/>
      <c r="K326" s="207"/>
      <c r="L326" s="207"/>
      <c r="M326" s="207"/>
      <c r="N326" s="207"/>
      <c r="O326" s="207"/>
      <c r="P326" s="207"/>
      <c r="Q326" s="207"/>
      <c r="R326" s="207"/>
      <c r="S326" s="207"/>
      <c r="T326" s="207"/>
      <c r="U326" s="207"/>
      <c r="V326" s="207"/>
      <c r="W326" s="207"/>
      <c r="X326" s="207"/>
      <c r="Y326" s="207"/>
      <c r="Z326" s="207"/>
    </row>
    <row r="327" spans="1:26" ht="15.75" customHeight="1">
      <c r="A327" s="207"/>
      <c r="B327" s="207"/>
      <c r="C327" s="207"/>
      <c r="D327" s="207"/>
      <c r="E327" s="207"/>
      <c r="F327" s="207"/>
      <c r="G327" s="207"/>
      <c r="H327" s="207"/>
      <c r="I327" s="207"/>
      <c r="J327" s="207"/>
      <c r="K327" s="207"/>
      <c r="L327" s="207"/>
      <c r="M327" s="207"/>
      <c r="N327" s="207"/>
      <c r="O327" s="207"/>
      <c r="P327" s="207"/>
      <c r="Q327" s="207"/>
      <c r="R327" s="207"/>
      <c r="S327" s="207"/>
      <c r="T327" s="207"/>
      <c r="U327" s="207"/>
      <c r="V327" s="207"/>
      <c r="W327" s="207"/>
      <c r="X327" s="207"/>
      <c r="Y327" s="207"/>
      <c r="Z327" s="207"/>
    </row>
    <row r="328" spans="1:26" ht="15.75" customHeight="1">
      <c r="A328" s="207"/>
      <c r="B328" s="207"/>
      <c r="C328" s="207"/>
      <c r="D328" s="207"/>
      <c r="E328" s="207"/>
      <c r="F328" s="207"/>
      <c r="G328" s="207"/>
      <c r="H328" s="207"/>
      <c r="I328" s="207"/>
      <c r="J328" s="207"/>
      <c r="K328" s="207"/>
      <c r="L328" s="207"/>
      <c r="M328" s="207"/>
      <c r="N328" s="207"/>
      <c r="O328" s="207"/>
      <c r="P328" s="207"/>
      <c r="Q328" s="207"/>
      <c r="R328" s="207"/>
      <c r="S328" s="207"/>
      <c r="T328" s="207"/>
      <c r="U328" s="207"/>
      <c r="V328" s="207"/>
      <c r="W328" s="207"/>
      <c r="X328" s="207"/>
      <c r="Y328" s="207"/>
      <c r="Z328" s="207"/>
    </row>
    <row r="329" spans="1:26" ht="15.75" customHeight="1">
      <c r="A329" s="207"/>
      <c r="B329" s="207"/>
      <c r="C329" s="207"/>
      <c r="D329" s="207"/>
      <c r="E329" s="207"/>
      <c r="F329" s="207"/>
      <c r="G329" s="207"/>
      <c r="H329" s="207"/>
      <c r="I329" s="207"/>
      <c r="J329" s="207"/>
      <c r="K329" s="207"/>
      <c r="L329" s="207"/>
      <c r="M329" s="207"/>
      <c r="N329" s="207"/>
      <c r="O329" s="207"/>
      <c r="P329" s="207"/>
      <c r="Q329" s="207"/>
      <c r="R329" s="207"/>
      <c r="S329" s="207"/>
      <c r="T329" s="207"/>
      <c r="U329" s="207"/>
      <c r="V329" s="207"/>
      <c r="W329" s="207"/>
      <c r="X329" s="207"/>
      <c r="Y329" s="207"/>
      <c r="Z329" s="207"/>
    </row>
    <row r="330" spans="1:26" ht="15.75" customHeight="1">
      <c r="A330" s="207"/>
      <c r="B330" s="207"/>
      <c r="C330" s="207"/>
      <c r="D330" s="207"/>
      <c r="E330" s="207"/>
      <c r="F330" s="207"/>
      <c r="G330" s="207"/>
      <c r="H330" s="207"/>
      <c r="I330" s="207"/>
      <c r="J330" s="207"/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7"/>
      <c r="X330" s="207"/>
      <c r="Y330" s="207"/>
      <c r="Z330" s="207"/>
    </row>
    <row r="331" spans="1:26" ht="15.75" customHeight="1">
      <c r="A331" s="207"/>
      <c r="B331" s="207"/>
      <c r="C331" s="207"/>
      <c r="D331" s="207"/>
      <c r="E331" s="207"/>
      <c r="F331" s="207"/>
      <c r="G331" s="207"/>
      <c r="H331" s="207"/>
      <c r="I331" s="207"/>
      <c r="J331" s="207"/>
      <c r="K331" s="207"/>
      <c r="L331" s="207"/>
      <c r="M331" s="207"/>
      <c r="N331" s="207"/>
      <c r="O331" s="207"/>
      <c r="P331" s="207"/>
      <c r="Q331" s="207"/>
      <c r="R331" s="207"/>
      <c r="S331" s="207"/>
      <c r="T331" s="207"/>
      <c r="U331" s="207"/>
      <c r="V331" s="207"/>
      <c r="W331" s="207"/>
      <c r="X331" s="207"/>
      <c r="Y331" s="207"/>
      <c r="Z331" s="207"/>
    </row>
    <row r="332" spans="1:26" ht="15.75" customHeight="1">
      <c r="A332" s="207"/>
      <c r="B332" s="207"/>
      <c r="C332" s="207"/>
      <c r="D332" s="207"/>
      <c r="E332" s="207"/>
      <c r="F332" s="207"/>
      <c r="G332" s="207"/>
      <c r="H332" s="207"/>
      <c r="I332" s="207"/>
      <c r="J332" s="207"/>
      <c r="K332" s="207"/>
      <c r="L332" s="207"/>
      <c r="M332" s="207"/>
      <c r="N332" s="207"/>
      <c r="O332" s="207"/>
      <c r="P332" s="207"/>
      <c r="Q332" s="207"/>
      <c r="R332" s="207"/>
      <c r="S332" s="207"/>
      <c r="T332" s="207"/>
      <c r="U332" s="207"/>
      <c r="V332" s="207"/>
      <c r="W332" s="207"/>
      <c r="X332" s="207"/>
      <c r="Y332" s="207"/>
      <c r="Z332" s="207"/>
    </row>
    <row r="333" spans="1:26" ht="15.75" customHeight="1">
      <c r="A333" s="207"/>
      <c r="B333" s="207"/>
      <c r="C333" s="207"/>
      <c r="D333" s="207"/>
      <c r="E333" s="207"/>
      <c r="F333" s="207"/>
      <c r="G333" s="207"/>
      <c r="H333" s="207"/>
      <c r="I333" s="207"/>
      <c r="J333" s="207"/>
      <c r="K333" s="207"/>
      <c r="L333" s="207"/>
      <c r="M333" s="207"/>
      <c r="N333" s="207"/>
      <c r="O333" s="207"/>
      <c r="P333" s="207"/>
      <c r="Q333" s="207"/>
      <c r="R333" s="207"/>
      <c r="S333" s="207"/>
      <c r="T333" s="207"/>
      <c r="U333" s="207"/>
      <c r="V333" s="207"/>
      <c r="W333" s="207"/>
      <c r="X333" s="207"/>
      <c r="Y333" s="207"/>
      <c r="Z333" s="207"/>
    </row>
    <row r="334" spans="1:26" ht="15.75" customHeight="1">
      <c r="A334" s="207"/>
      <c r="B334" s="207"/>
      <c r="C334" s="207"/>
      <c r="D334" s="207"/>
      <c r="E334" s="207"/>
      <c r="F334" s="207"/>
      <c r="G334" s="207"/>
      <c r="H334" s="207"/>
      <c r="I334" s="207"/>
      <c r="J334" s="207"/>
      <c r="K334" s="207"/>
      <c r="L334" s="207"/>
      <c r="M334" s="207"/>
      <c r="N334" s="207"/>
      <c r="O334" s="207"/>
      <c r="P334" s="207"/>
      <c r="Q334" s="207"/>
      <c r="R334" s="207"/>
      <c r="S334" s="207"/>
      <c r="T334" s="207"/>
      <c r="U334" s="207"/>
      <c r="V334" s="207"/>
      <c r="W334" s="207"/>
      <c r="X334" s="207"/>
      <c r="Y334" s="207"/>
      <c r="Z334" s="207"/>
    </row>
    <row r="335" spans="1:26" ht="15.75" customHeight="1">
      <c r="A335" s="207"/>
      <c r="B335" s="207"/>
      <c r="C335" s="207"/>
      <c r="D335" s="207"/>
      <c r="E335" s="207"/>
      <c r="F335" s="207"/>
      <c r="G335" s="207"/>
      <c r="H335" s="207"/>
      <c r="I335" s="207"/>
      <c r="J335" s="207"/>
      <c r="K335" s="207"/>
      <c r="L335" s="207"/>
      <c r="M335" s="207"/>
      <c r="N335" s="207"/>
      <c r="O335" s="207"/>
      <c r="P335" s="207"/>
      <c r="Q335" s="207"/>
      <c r="R335" s="207"/>
      <c r="S335" s="207"/>
      <c r="T335" s="207"/>
      <c r="U335" s="207"/>
      <c r="V335" s="207"/>
      <c r="W335" s="207"/>
      <c r="X335" s="207"/>
      <c r="Y335" s="207"/>
      <c r="Z335" s="207"/>
    </row>
    <row r="336" spans="1:26" ht="15.75" customHeight="1">
      <c r="A336" s="207"/>
      <c r="B336" s="207"/>
      <c r="C336" s="207"/>
      <c r="D336" s="207"/>
      <c r="E336" s="207"/>
      <c r="F336" s="207"/>
      <c r="G336" s="207"/>
      <c r="H336" s="207"/>
      <c r="I336" s="207"/>
      <c r="J336" s="207"/>
      <c r="K336" s="207"/>
      <c r="L336" s="207"/>
      <c r="M336" s="207"/>
      <c r="N336" s="207"/>
      <c r="O336" s="207"/>
      <c r="P336" s="207"/>
      <c r="Q336" s="207"/>
      <c r="R336" s="207"/>
      <c r="S336" s="207"/>
      <c r="T336" s="207"/>
      <c r="U336" s="207"/>
      <c r="V336" s="207"/>
      <c r="W336" s="207"/>
      <c r="X336" s="207"/>
      <c r="Y336" s="207"/>
      <c r="Z336" s="207"/>
    </row>
    <row r="337" spans="1:26" ht="15.75" customHeight="1">
      <c r="A337" s="207"/>
      <c r="B337" s="207"/>
      <c r="C337" s="207"/>
      <c r="D337" s="207"/>
      <c r="E337" s="207"/>
      <c r="F337" s="207"/>
      <c r="G337" s="207"/>
      <c r="H337" s="207"/>
      <c r="I337" s="207"/>
      <c r="J337" s="207"/>
      <c r="K337" s="207"/>
      <c r="L337" s="207"/>
      <c r="M337" s="207"/>
      <c r="N337" s="207"/>
      <c r="O337" s="207"/>
      <c r="P337" s="207"/>
      <c r="Q337" s="207"/>
      <c r="R337" s="207"/>
      <c r="S337" s="207"/>
      <c r="T337" s="207"/>
      <c r="U337" s="207"/>
      <c r="V337" s="207"/>
      <c r="W337" s="207"/>
      <c r="X337" s="207"/>
      <c r="Y337" s="207"/>
      <c r="Z337" s="207"/>
    </row>
    <row r="338" spans="1:26" ht="15.75" customHeight="1">
      <c r="A338" s="207"/>
      <c r="B338" s="207"/>
      <c r="C338" s="207"/>
      <c r="D338" s="207"/>
      <c r="E338" s="207"/>
      <c r="F338" s="207"/>
      <c r="G338" s="207"/>
      <c r="H338" s="207"/>
      <c r="I338" s="207"/>
      <c r="J338" s="207"/>
      <c r="K338" s="207"/>
      <c r="L338" s="207"/>
      <c r="M338" s="207"/>
      <c r="N338" s="207"/>
      <c r="O338" s="207"/>
      <c r="P338" s="207"/>
      <c r="Q338" s="207"/>
      <c r="R338" s="207"/>
      <c r="S338" s="207"/>
      <c r="T338" s="207"/>
      <c r="U338" s="207"/>
      <c r="V338" s="207"/>
      <c r="W338" s="207"/>
      <c r="X338" s="207"/>
      <c r="Y338" s="207"/>
      <c r="Z338" s="207"/>
    </row>
    <row r="339" spans="1:26" ht="15.75" customHeight="1">
      <c r="A339" s="207"/>
      <c r="B339" s="207"/>
      <c r="C339" s="207"/>
      <c r="D339" s="207"/>
      <c r="E339" s="207"/>
      <c r="F339" s="207"/>
      <c r="G339" s="207"/>
      <c r="H339" s="207"/>
      <c r="I339" s="207"/>
      <c r="J339" s="207"/>
      <c r="K339" s="207"/>
      <c r="L339" s="207"/>
      <c r="M339" s="207"/>
      <c r="N339" s="207"/>
      <c r="O339" s="207"/>
      <c r="P339" s="207"/>
      <c r="Q339" s="207"/>
      <c r="R339" s="207"/>
      <c r="S339" s="207"/>
      <c r="T339" s="207"/>
      <c r="U339" s="207"/>
      <c r="V339" s="207"/>
      <c r="W339" s="207"/>
      <c r="X339" s="207"/>
      <c r="Y339" s="207"/>
      <c r="Z339" s="207"/>
    </row>
    <row r="340" spans="1:26" ht="15.75" customHeight="1">
      <c r="A340" s="207"/>
      <c r="B340" s="207"/>
      <c r="C340" s="207"/>
      <c r="D340" s="207"/>
      <c r="E340" s="207"/>
      <c r="F340" s="207"/>
      <c r="G340" s="207"/>
      <c r="H340" s="207"/>
      <c r="I340" s="207"/>
      <c r="J340" s="207"/>
      <c r="K340" s="207"/>
      <c r="L340" s="207"/>
      <c r="M340" s="207"/>
      <c r="N340" s="207"/>
      <c r="O340" s="207"/>
      <c r="P340" s="207"/>
      <c r="Q340" s="207"/>
      <c r="R340" s="207"/>
      <c r="S340" s="207"/>
      <c r="T340" s="207"/>
      <c r="U340" s="207"/>
      <c r="V340" s="207"/>
      <c r="W340" s="207"/>
      <c r="X340" s="207"/>
      <c r="Y340" s="207"/>
      <c r="Z340" s="207"/>
    </row>
    <row r="341" spans="1:26" ht="15.75" customHeight="1">
      <c r="A341" s="207"/>
      <c r="B341" s="207"/>
      <c r="C341" s="207"/>
      <c r="D341" s="207"/>
      <c r="E341" s="207"/>
      <c r="F341" s="207"/>
      <c r="G341" s="207"/>
      <c r="H341" s="207"/>
      <c r="I341" s="207"/>
      <c r="J341" s="207"/>
      <c r="K341" s="207"/>
      <c r="L341" s="207"/>
      <c r="M341" s="207"/>
      <c r="N341" s="207"/>
      <c r="O341" s="207"/>
      <c r="P341" s="207"/>
      <c r="Q341" s="207"/>
      <c r="R341" s="207"/>
      <c r="S341" s="207"/>
      <c r="T341" s="207"/>
      <c r="U341" s="207"/>
      <c r="V341" s="207"/>
      <c r="W341" s="207"/>
      <c r="X341" s="207"/>
      <c r="Y341" s="207"/>
      <c r="Z341" s="207"/>
    </row>
    <row r="342" spans="1:26" ht="15.75" customHeight="1">
      <c r="A342" s="207"/>
      <c r="B342" s="207"/>
      <c r="C342" s="207"/>
      <c r="D342" s="207"/>
      <c r="E342" s="207"/>
      <c r="F342" s="207"/>
      <c r="G342" s="207"/>
      <c r="H342" s="207"/>
      <c r="I342" s="207"/>
      <c r="J342" s="207"/>
      <c r="K342" s="207"/>
      <c r="L342" s="207"/>
      <c r="M342" s="207"/>
      <c r="N342" s="207"/>
      <c r="O342" s="207"/>
      <c r="P342" s="207"/>
      <c r="Q342" s="207"/>
      <c r="R342" s="207"/>
      <c r="S342" s="207"/>
      <c r="T342" s="207"/>
      <c r="U342" s="207"/>
      <c r="V342" s="207"/>
      <c r="W342" s="207"/>
      <c r="X342" s="207"/>
      <c r="Y342" s="207"/>
      <c r="Z342" s="207"/>
    </row>
    <row r="343" spans="1:26" ht="15.75" customHeight="1">
      <c r="A343" s="207"/>
      <c r="B343" s="207"/>
      <c r="C343" s="207"/>
      <c r="D343" s="207"/>
      <c r="E343" s="207"/>
      <c r="F343" s="207"/>
      <c r="G343" s="207"/>
      <c r="H343" s="207"/>
      <c r="I343" s="207"/>
      <c r="J343" s="207"/>
      <c r="K343" s="207"/>
      <c r="L343" s="207"/>
      <c r="M343" s="207"/>
      <c r="N343" s="207"/>
      <c r="O343" s="207"/>
      <c r="P343" s="207"/>
      <c r="Q343" s="207"/>
      <c r="R343" s="207"/>
      <c r="S343" s="207"/>
      <c r="T343" s="207"/>
      <c r="U343" s="207"/>
      <c r="V343" s="207"/>
      <c r="W343" s="207"/>
      <c r="X343" s="207"/>
      <c r="Y343" s="207"/>
      <c r="Z343" s="207"/>
    </row>
    <row r="344" spans="1:26" ht="15.75" customHeight="1">
      <c r="A344" s="207"/>
      <c r="B344" s="207"/>
      <c r="C344" s="207"/>
      <c r="D344" s="207"/>
      <c r="E344" s="207"/>
      <c r="F344" s="207"/>
      <c r="G344" s="207"/>
      <c r="H344" s="207"/>
      <c r="I344" s="207"/>
      <c r="J344" s="207"/>
      <c r="K344" s="207"/>
      <c r="L344" s="207"/>
      <c r="M344" s="207"/>
      <c r="N344" s="207"/>
      <c r="O344" s="207"/>
      <c r="P344" s="207"/>
      <c r="Q344" s="207"/>
      <c r="R344" s="207"/>
      <c r="S344" s="207"/>
      <c r="T344" s="207"/>
      <c r="U344" s="207"/>
      <c r="V344" s="207"/>
      <c r="W344" s="207"/>
      <c r="X344" s="207"/>
      <c r="Y344" s="207"/>
      <c r="Z344" s="207"/>
    </row>
    <row r="345" spans="1:26" ht="15.75" customHeight="1">
      <c r="A345" s="207"/>
      <c r="B345" s="207"/>
      <c r="C345" s="207"/>
      <c r="D345" s="207"/>
      <c r="E345" s="207"/>
      <c r="F345" s="207"/>
      <c r="G345" s="207"/>
      <c r="H345" s="207"/>
      <c r="I345" s="207"/>
      <c r="J345" s="207"/>
      <c r="K345" s="207"/>
      <c r="L345" s="207"/>
      <c r="M345" s="207"/>
      <c r="N345" s="207"/>
      <c r="O345" s="207"/>
      <c r="P345" s="207"/>
      <c r="Q345" s="207"/>
      <c r="R345" s="207"/>
      <c r="S345" s="207"/>
      <c r="T345" s="207"/>
      <c r="U345" s="207"/>
      <c r="V345" s="207"/>
      <c r="W345" s="207"/>
      <c r="X345" s="207"/>
      <c r="Y345" s="207"/>
      <c r="Z345" s="207"/>
    </row>
    <row r="346" spans="1:26" ht="15.75" customHeight="1">
      <c r="A346" s="207"/>
      <c r="B346" s="207"/>
      <c r="C346" s="207"/>
      <c r="D346" s="207"/>
      <c r="E346" s="207"/>
      <c r="F346" s="207"/>
      <c r="G346" s="207"/>
      <c r="H346" s="207"/>
      <c r="I346" s="207"/>
      <c r="J346" s="207"/>
      <c r="K346" s="207"/>
      <c r="L346" s="207"/>
      <c r="M346" s="207"/>
      <c r="N346" s="207"/>
      <c r="O346" s="207"/>
      <c r="P346" s="207"/>
      <c r="Q346" s="207"/>
      <c r="R346" s="207"/>
      <c r="S346" s="207"/>
      <c r="T346" s="207"/>
      <c r="U346" s="207"/>
      <c r="V346" s="207"/>
      <c r="W346" s="207"/>
      <c r="X346" s="207"/>
      <c r="Y346" s="207"/>
      <c r="Z346" s="207"/>
    </row>
    <row r="347" spans="1:26" ht="15.75" customHeight="1">
      <c r="A347" s="207"/>
      <c r="B347" s="207"/>
      <c r="C347" s="207"/>
      <c r="D347" s="207"/>
      <c r="E347" s="207"/>
      <c r="F347" s="207"/>
      <c r="G347" s="207"/>
      <c r="H347" s="207"/>
      <c r="I347" s="207"/>
      <c r="J347" s="207"/>
      <c r="K347" s="207"/>
      <c r="L347" s="207"/>
      <c r="M347" s="207"/>
      <c r="N347" s="207"/>
      <c r="O347" s="207"/>
      <c r="P347" s="207"/>
      <c r="Q347" s="207"/>
      <c r="R347" s="207"/>
      <c r="S347" s="207"/>
      <c r="T347" s="207"/>
      <c r="U347" s="207"/>
      <c r="V347" s="207"/>
      <c r="W347" s="207"/>
      <c r="X347" s="207"/>
      <c r="Y347" s="207"/>
      <c r="Z347" s="207"/>
    </row>
    <row r="348" spans="1:26" ht="15.75" customHeight="1">
      <c r="A348" s="207"/>
      <c r="B348" s="207"/>
      <c r="C348" s="207"/>
      <c r="D348" s="207"/>
      <c r="E348" s="207"/>
      <c r="F348" s="207"/>
      <c r="G348" s="207"/>
      <c r="H348" s="207"/>
      <c r="I348" s="207"/>
      <c r="J348" s="207"/>
      <c r="K348" s="207"/>
      <c r="L348" s="207"/>
      <c r="M348" s="207"/>
      <c r="N348" s="207"/>
      <c r="O348" s="207"/>
      <c r="P348" s="207"/>
      <c r="Q348" s="207"/>
      <c r="R348" s="207"/>
      <c r="S348" s="207"/>
      <c r="T348" s="207"/>
      <c r="U348" s="207"/>
      <c r="V348" s="207"/>
      <c r="W348" s="207"/>
      <c r="X348" s="207"/>
      <c r="Y348" s="207"/>
      <c r="Z348" s="207"/>
    </row>
    <row r="349" spans="1:26" ht="15.75" customHeight="1">
      <c r="A349" s="207"/>
      <c r="B349" s="207"/>
      <c r="C349" s="207"/>
      <c r="D349" s="207"/>
      <c r="E349" s="207"/>
      <c r="F349" s="207"/>
      <c r="G349" s="207"/>
      <c r="H349" s="207"/>
      <c r="I349" s="207"/>
      <c r="J349" s="207"/>
      <c r="K349" s="207"/>
      <c r="L349" s="207"/>
      <c r="M349" s="207"/>
      <c r="N349" s="207"/>
      <c r="O349" s="207"/>
      <c r="P349" s="207"/>
      <c r="Q349" s="207"/>
      <c r="R349" s="207"/>
      <c r="S349" s="207"/>
      <c r="T349" s="207"/>
      <c r="U349" s="207"/>
      <c r="V349" s="207"/>
      <c r="W349" s="207"/>
      <c r="X349" s="207"/>
      <c r="Y349" s="207"/>
      <c r="Z349" s="207"/>
    </row>
    <row r="350" spans="1:26" ht="15.75" customHeight="1">
      <c r="A350" s="207"/>
      <c r="B350" s="207"/>
      <c r="C350" s="207"/>
      <c r="D350" s="207"/>
      <c r="E350" s="207"/>
      <c r="F350" s="207"/>
      <c r="G350" s="207"/>
      <c r="H350" s="207"/>
      <c r="I350" s="207"/>
      <c r="J350" s="207"/>
      <c r="K350" s="207"/>
      <c r="L350" s="207"/>
      <c r="M350" s="207"/>
      <c r="N350" s="207"/>
      <c r="O350" s="207"/>
      <c r="P350" s="207"/>
      <c r="Q350" s="207"/>
      <c r="R350" s="207"/>
      <c r="S350" s="207"/>
      <c r="T350" s="207"/>
      <c r="U350" s="207"/>
      <c r="V350" s="207"/>
      <c r="W350" s="207"/>
      <c r="X350" s="207"/>
      <c r="Y350" s="207"/>
      <c r="Z350" s="207"/>
    </row>
    <row r="351" spans="1:26" ht="15.75" customHeight="1">
      <c r="A351" s="207"/>
      <c r="B351" s="207"/>
      <c r="C351" s="207"/>
      <c r="D351" s="207"/>
      <c r="E351" s="207"/>
      <c r="F351" s="207"/>
      <c r="G351" s="207"/>
      <c r="H351" s="207"/>
      <c r="I351" s="207"/>
      <c r="J351" s="207"/>
      <c r="K351" s="207"/>
      <c r="L351" s="207"/>
      <c r="M351" s="207"/>
      <c r="N351" s="207"/>
      <c r="O351" s="207"/>
      <c r="P351" s="207"/>
      <c r="Q351" s="207"/>
      <c r="R351" s="207"/>
      <c r="S351" s="207"/>
      <c r="T351" s="207"/>
      <c r="U351" s="207"/>
      <c r="V351" s="207"/>
      <c r="W351" s="207"/>
      <c r="X351" s="207"/>
      <c r="Y351" s="207"/>
      <c r="Z351" s="207"/>
    </row>
    <row r="352" spans="1:26" ht="15.75" customHeight="1">
      <c r="A352" s="207"/>
      <c r="B352" s="207"/>
      <c r="C352" s="207"/>
      <c r="D352" s="207"/>
      <c r="E352" s="207"/>
      <c r="F352" s="207"/>
      <c r="G352" s="207"/>
      <c r="H352" s="207"/>
      <c r="I352" s="207"/>
      <c r="J352" s="207"/>
      <c r="K352" s="207"/>
      <c r="L352" s="207"/>
      <c r="M352" s="207"/>
      <c r="N352" s="207"/>
      <c r="O352" s="207"/>
      <c r="P352" s="207"/>
      <c r="Q352" s="207"/>
      <c r="R352" s="207"/>
      <c r="S352" s="207"/>
      <c r="T352" s="207"/>
      <c r="U352" s="207"/>
      <c r="V352" s="207"/>
      <c r="W352" s="207"/>
      <c r="X352" s="207"/>
      <c r="Y352" s="207"/>
      <c r="Z352" s="207"/>
    </row>
    <row r="353" spans="1:26" ht="15.75" customHeight="1">
      <c r="A353" s="207"/>
      <c r="B353" s="207"/>
      <c r="C353" s="207"/>
      <c r="D353" s="207"/>
      <c r="E353" s="207"/>
      <c r="F353" s="207"/>
      <c r="G353" s="207"/>
      <c r="H353" s="207"/>
      <c r="I353" s="207"/>
      <c r="J353" s="207"/>
      <c r="K353" s="207"/>
      <c r="L353" s="207"/>
      <c r="M353" s="207"/>
      <c r="N353" s="207"/>
      <c r="O353" s="207"/>
      <c r="P353" s="207"/>
      <c r="Q353" s="207"/>
      <c r="R353" s="207"/>
      <c r="S353" s="207"/>
      <c r="T353" s="207"/>
      <c r="U353" s="207"/>
      <c r="V353" s="207"/>
      <c r="W353" s="207"/>
      <c r="X353" s="207"/>
      <c r="Y353" s="207"/>
      <c r="Z353" s="207"/>
    </row>
    <row r="354" spans="1:26" ht="15.75" customHeight="1">
      <c r="A354" s="207"/>
      <c r="B354" s="207"/>
      <c r="C354" s="207"/>
      <c r="D354" s="207"/>
      <c r="E354" s="207"/>
      <c r="F354" s="207"/>
      <c r="G354" s="207"/>
      <c r="H354" s="207"/>
      <c r="I354" s="207"/>
      <c r="J354" s="207"/>
      <c r="K354" s="207"/>
      <c r="L354" s="207"/>
      <c r="M354" s="207"/>
      <c r="N354" s="207"/>
      <c r="O354" s="207"/>
      <c r="P354" s="207"/>
      <c r="Q354" s="207"/>
      <c r="R354" s="207"/>
      <c r="S354" s="207"/>
      <c r="T354" s="207"/>
      <c r="U354" s="207"/>
      <c r="V354" s="207"/>
      <c r="W354" s="207"/>
      <c r="X354" s="207"/>
      <c r="Y354" s="207"/>
      <c r="Z354" s="207"/>
    </row>
    <row r="355" spans="1:26" ht="15.75" customHeight="1">
      <c r="A355" s="207"/>
      <c r="B355" s="207"/>
      <c r="C355" s="207"/>
      <c r="D355" s="207"/>
      <c r="E355" s="207"/>
      <c r="F355" s="207"/>
      <c r="G355" s="207"/>
      <c r="H355" s="207"/>
      <c r="I355" s="207"/>
      <c r="J355" s="207"/>
      <c r="K355" s="207"/>
      <c r="L355" s="207"/>
      <c r="M355" s="207"/>
      <c r="N355" s="207"/>
      <c r="O355" s="207"/>
      <c r="P355" s="207"/>
      <c r="Q355" s="207"/>
      <c r="R355" s="207"/>
      <c r="S355" s="207"/>
      <c r="T355" s="207"/>
      <c r="U355" s="207"/>
      <c r="V355" s="207"/>
      <c r="W355" s="207"/>
      <c r="X355" s="207"/>
      <c r="Y355" s="207"/>
      <c r="Z355" s="207"/>
    </row>
    <row r="356" spans="1:26" ht="15.75" customHeight="1">
      <c r="A356" s="207"/>
      <c r="B356" s="207"/>
      <c r="C356" s="207"/>
      <c r="D356" s="207"/>
      <c r="E356" s="207"/>
      <c r="F356" s="207"/>
      <c r="G356" s="207"/>
      <c r="H356" s="207"/>
      <c r="I356" s="207"/>
      <c r="J356" s="207"/>
      <c r="K356" s="207"/>
      <c r="L356" s="207"/>
      <c r="M356" s="207"/>
      <c r="N356" s="207"/>
      <c r="O356" s="207"/>
      <c r="P356" s="207"/>
      <c r="Q356" s="207"/>
      <c r="R356" s="207"/>
      <c r="S356" s="207"/>
      <c r="T356" s="207"/>
      <c r="U356" s="207"/>
      <c r="V356" s="207"/>
      <c r="W356" s="207"/>
      <c r="X356" s="207"/>
      <c r="Y356" s="207"/>
      <c r="Z356" s="207"/>
    </row>
    <row r="357" spans="1:26" ht="15.75" customHeight="1">
      <c r="A357" s="207"/>
      <c r="B357" s="207"/>
      <c r="C357" s="207"/>
      <c r="D357" s="207"/>
      <c r="E357" s="207"/>
      <c r="F357" s="207"/>
      <c r="G357" s="207"/>
      <c r="H357" s="207"/>
      <c r="I357" s="207"/>
      <c r="J357" s="207"/>
      <c r="K357" s="207"/>
      <c r="L357" s="207"/>
      <c r="M357" s="207"/>
      <c r="N357" s="207"/>
      <c r="O357" s="207"/>
      <c r="P357" s="207"/>
      <c r="Q357" s="207"/>
      <c r="R357" s="207"/>
      <c r="S357" s="207"/>
      <c r="T357" s="207"/>
      <c r="U357" s="207"/>
      <c r="V357" s="207"/>
      <c r="W357" s="207"/>
      <c r="X357" s="207"/>
      <c r="Y357" s="207"/>
      <c r="Z357" s="207"/>
    </row>
    <row r="358" spans="1:26" ht="15.75" customHeight="1">
      <c r="A358" s="207"/>
      <c r="B358" s="207"/>
      <c r="C358" s="207"/>
      <c r="D358" s="207"/>
      <c r="E358" s="207"/>
      <c r="F358" s="207"/>
      <c r="G358" s="207"/>
      <c r="H358" s="207"/>
      <c r="I358" s="207"/>
      <c r="J358" s="207"/>
      <c r="K358" s="207"/>
      <c r="L358" s="207"/>
      <c r="M358" s="207"/>
      <c r="N358" s="207"/>
      <c r="O358" s="207"/>
      <c r="P358" s="207"/>
      <c r="Q358" s="207"/>
      <c r="R358" s="207"/>
      <c r="S358" s="207"/>
      <c r="T358" s="207"/>
      <c r="U358" s="207"/>
      <c r="V358" s="207"/>
      <c r="W358" s="207"/>
      <c r="X358" s="207"/>
      <c r="Y358" s="207"/>
      <c r="Z358" s="207"/>
    </row>
    <row r="359" spans="1:26" ht="15.75" customHeight="1">
      <c r="A359" s="207"/>
      <c r="B359" s="207"/>
      <c r="C359" s="207"/>
      <c r="D359" s="207"/>
      <c r="E359" s="207"/>
      <c r="F359" s="207"/>
      <c r="G359" s="207"/>
      <c r="H359" s="207"/>
      <c r="I359" s="207"/>
      <c r="J359" s="207"/>
      <c r="K359" s="207"/>
      <c r="L359" s="207"/>
      <c r="M359" s="207"/>
      <c r="N359" s="207"/>
      <c r="O359" s="207"/>
      <c r="P359" s="207"/>
      <c r="Q359" s="207"/>
      <c r="R359" s="207"/>
      <c r="S359" s="207"/>
      <c r="T359" s="207"/>
      <c r="U359" s="207"/>
      <c r="V359" s="207"/>
      <c r="W359" s="207"/>
      <c r="X359" s="207"/>
      <c r="Y359" s="207"/>
      <c r="Z359" s="207"/>
    </row>
    <row r="360" spans="1:26" ht="15.75" customHeight="1">
      <c r="A360" s="207"/>
      <c r="B360" s="207"/>
      <c r="C360" s="207"/>
      <c r="D360" s="207"/>
      <c r="E360" s="207"/>
      <c r="F360" s="207"/>
      <c r="G360" s="207"/>
      <c r="H360" s="207"/>
      <c r="I360" s="207"/>
      <c r="J360" s="207"/>
      <c r="K360" s="207"/>
      <c r="L360" s="207"/>
      <c r="M360" s="207"/>
      <c r="N360" s="207"/>
      <c r="O360" s="207"/>
      <c r="P360" s="207"/>
      <c r="Q360" s="207"/>
      <c r="R360" s="207"/>
      <c r="S360" s="207"/>
      <c r="T360" s="207"/>
      <c r="U360" s="207"/>
      <c r="V360" s="207"/>
      <c r="W360" s="207"/>
      <c r="X360" s="207"/>
      <c r="Y360" s="207"/>
      <c r="Z360" s="207"/>
    </row>
    <row r="361" spans="1:26" ht="15.75" customHeight="1">
      <c r="A361" s="207"/>
      <c r="B361" s="207"/>
      <c r="C361" s="207"/>
      <c r="D361" s="207"/>
      <c r="E361" s="207"/>
      <c r="F361" s="207"/>
      <c r="G361" s="207"/>
      <c r="H361" s="207"/>
      <c r="I361" s="207"/>
      <c r="J361" s="207"/>
      <c r="K361" s="207"/>
      <c r="L361" s="207"/>
      <c r="M361" s="207"/>
      <c r="N361" s="207"/>
      <c r="O361" s="207"/>
      <c r="P361" s="207"/>
      <c r="Q361" s="207"/>
      <c r="R361" s="207"/>
      <c r="S361" s="207"/>
      <c r="T361" s="207"/>
      <c r="U361" s="207"/>
      <c r="V361" s="207"/>
      <c r="W361" s="207"/>
      <c r="X361" s="207"/>
      <c r="Y361" s="207"/>
      <c r="Z361" s="207"/>
    </row>
    <row r="362" spans="1:26" ht="15.75" customHeight="1">
      <c r="A362" s="207"/>
      <c r="B362" s="207"/>
      <c r="C362" s="207"/>
      <c r="D362" s="207"/>
      <c r="E362" s="207"/>
      <c r="F362" s="207"/>
      <c r="G362" s="207"/>
      <c r="H362" s="207"/>
      <c r="I362" s="207"/>
      <c r="J362" s="207"/>
      <c r="K362" s="207"/>
      <c r="L362" s="207"/>
      <c r="M362" s="207"/>
      <c r="N362" s="207"/>
      <c r="O362" s="207"/>
      <c r="P362" s="207"/>
      <c r="Q362" s="207"/>
      <c r="R362" s="207"/>
      <c r="S362" s="207"/>
      <c r="T362" s="207"/>
      <c r="U362" s="207"/>
      <c r="V362" s="207"/>
      <c r="W362" s="207"/>
      <c r="X362" s="207"/>
      <c r="Y362" s="207"/>
      <c r="Z362" s="207"/>
    </row>
    <row r="363" spans="1:26" ht="15.75" customHeight="1">
      <c r="A363" s="207"/>
      <c r="B363" s="207"/>
      <c r="C363" s="207"/>
      <c r="D363" s="207"/>
      <c r="E363" s="207"/>
      <c r="F363" s="207"/>
      <c r="G363" s="207"/>
      <c r="H363" s="207"/>
      <c r="I363" s="207"/>
      <c r="J363" s="207"/>
      <c r="K363" s="207"/>
      <c r="L363" s="207"/>
      <c r="M363" s="207"/>
      <c r="N363" s="207"/>
      <c r="O363" s="207"/>
      <c r="P363" s="207"/>
      <c r="Q363" s="207"/>
      <c r="R363" s="207"/>
      <c r="S363" s="207"/>
      <c r="T363" s="207"/>
      <c r="U363" s="207"/>
      <c r="V363" s="207"/>
      <c r="W363" s="207"/>
      <c r="X363" s="207"/>
      <c r="Y363" s="207"/>
      <c r="Z363" s="207"/>
    </row>
    <row r="364" spans="1:26" ht="15.75" customHeight="1">
      <c r="A364" s="207"/>
      <c r="B364" s="207"/>
      <c r="C364" s="207"/>
      <c r="D364" s="207"/>
      <c r="E364" s="207"/>
      <c r="F364" s="207"/>
      <c r="G364" s="207"/>
      <c r="H364" s="207"/>
      <c r="I364" s="207"/>
      <c r="J364" s="207"/>
      <c r="K364" s="207"/>
      <c r="L364" s="207"/>
      <c r="M364" s="207"/>
      <c r="N364" s="207"/>
      <c r="O364" s="207"/>
      <c r="P364" s="207"/>
      <c r="Q364" s="207"/>
      <c r="R364" s="207"/>
      <c r="S364" s="207"/>
      <c r="T364" s="207"/>
      <c r="U364" s="207"/>
      <c r="V364" s="207"/>
      <c r="W364" s="207"/>
      <c r="X364" s="207"/>
      <c r="Y364" s="207"/>
      <c r="Z364" s="207"/>
    </row>
    <row r="365" spans="1:26" ht="15.75" customHeight="1">
      <c r="A365" s="207"/>
      <c r="B365" s="207"/>
      <c r="C365" s="207"/>
      <c r="D365" s="207"/>
      <c r="E365" s="207"/>
      <c r="F365" s="207"/>
      <c r="G365" s="207"/>
      <c r="H365" s="207"/>
      <c r="I365" s="207"/>
      <c r="J365" s="207"/>
      <c r="K365" s="207"/>
      <c r="L365" s="207"/>
      <c r="M365" s="207"/>
      <c r="N365" s="207"/>
      <c r="O365" s="207"/>
      <c r="P365" s="207"/>
      <c r="Q365" s="207"/>
      <c r="R365" s="207"/>
      <c r="S365" s="207"/>
      <c r="T365" s="207"/>
      <c r="U365" s="207"/>
      <c r="V365" s="207"/>
      <c r="W365" s="207"/>
      <c r="X365" s="207"/>
      <c r="Y365" s="207"/>
      <c r="Z365" s="207"/>
    </row>
    <row r="366" spans="1:26" ht="15.75" customHeight="1">
      <c r="A366" s="207"/>
      <c r="B366" s="207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07"/>
      <c r="O366" s="207"/>
      <c r="P366" s="207"/>
      <c r="Q366" s="207"/>
      <c r="R366" s="207"/>
      <c r="S366" s="207"/>
      <c r="T366" s="207"/>
      <c r="U366" s="207"/>
      <c r="V366" s="207"/>
      <c r="W366" s="207"/>
      <c r="X366" s="207"/>
      <c r="Y366" s="207"/>
      <c r="Z366" s="207"/>
    </row>
    <row r="367" spans="1:26" ht="15.75" customHeight="1">
      <c r="A367" s="207"/>
      <c r="B367" s="207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07"/>
      <c r="O367" s="207"/>
      <c r="P367" s="207"/>
      <c r="Q367" s="207"/>
      <c r="R367" s="207"/>
      <c r="S367" s="207"/>
      <c r="T367" s="207"/>
      <c r="U367" s="207"/>
      <c r="V367" s="207"/>
      <c r="W367" s="207"/>
      <c r="X367" s="207"/>
      <c r="Y367" s="207"/>
      <c r="Z367" s="207"/>
    </row>
    <row r="368" spans="1:26" ht="15.75" customHeight="1">
      <c r="A368" s="207"/>
      <c r="B368" s="207"/>
      <c r="C368" s="207"/>
      <c r="D368" s="207"/>
      <c r="E368" s="207"/>
      <c r="F368" s="207"/>
      <c r="G368" s="207"/>
      <c r="H368" s="207"/>
      <c r="I368" s="207"/>
      <c r="J368" s="207"/>
      <c r="K368" s="207"/>
      <c r="L368" s="207"/>
      <c r="M368" s="207"/>
      <c r="N368" s="207"/>
      <c r="O368" s="207"/>
      <c r="P368" s="207"/>
      <c r="Q368" s="207"/>
      <c r="R368" s="207"/>
      <c r="S368" s="207"/>
      <c r="T368" s="207"/>
      <c r="U368" s="207"/>
      <c r="V368" s="207"/>
      <c r="W368" s="207"/>
      <c r="X368" s="207"/>
      <c r="Y368" s="207"/>
      <c r="Z368" s="207"/>
    </row>
    <row r="369" spans="1:26" ht="15.75" customHeight="1">
      <c r="A369" s="207"/>
      <c r="B369" s="207"/>
      <c r="C369" s="207"/>
      <c r="D369" s="207"/>
      <c r="E369" s="207"/>
      <c r="F369" s="207"/>
      <c r="G369" s="207"/>
      <c r="H369" s="207"/>
      <c r="I369" s="207"/>
      <c r="J369" s="207"/>
      <c r="K369" s="207"/>
      <c r="L369" s="207"/>
      <c r="M369" s="207"/>
      <c r="N369" s="207"/>
      <c r="O369" s="207"/>
      <c r="P369" s="207"/>
      <c r="Q369" s="207"/>
      <c r="R369" s="207"/>
      <c r="S369" s="207"/>
      <c r="T369" s="207"/>
      <c r="U369" s="207"/>
      <c r="V369" s="207"/>
      <c r="W369" s="207"/>
      <c r="X369" s="207"/>
      <c r="Y369" s="207"/>
      <c r="Z369" s="207"/>
    </row>
    <row r="370" spans="1:26" ht="15.75" customHeight="1">
      <c r="A370" s="207"/>
      <c r="B370" s="207"/>
      <c r="C370" s="207"/>
      <c r="D370" s="207"/>
      <c r="E370" s="207"/>
      <c r="F370" s="207"/>
      <c r="G370" s="207"/>
      <c r="H370" s="207"/>
      <c r="I370" s="207"/>
      <c r="J370" s="207"/>
      <c r="K370" s="207"/>
      <c r="L370" s="207"/>
      <c r="M370" s="207"/>
      <c r="N370" s="207"/>
      <c r="O370" s="207"/>
      <c r="P370" s="207"/>
      <c r="Q370" s="207"/>
      <c r="R370" s="207"/>
      <c r="S370" s="207"/>
      <c r="T370" s="207"/>
      <c r="U370" s="207"/>
      <c r="V370" s="207"/>
      <c r="W370" s="207"/>
      <c r="X370" s="207"/>
      <c r="Y370" s="207"/>
      <c r="Z370" s="207"/>
    </row>
    <row r="371" spans="1:26" ht="15.75" customHeight="1">
      <c r="A371" s="207"/>
      <c r="B371" s="207"/>
      <c r="C371" s="207"/>
      <c r="D371" s="207"/>
      <c r="E371" s="207"/>
      <c r="F371" s="207"/>
      <c r="G371" s="207"/>
      <c r="H371" s="207"/>
      <c r="I371" s="207"/>
      <c r="J371" s="207"/>
      <c r="K371" s="207"/>
      <c r="L371" s="207"/>
      <c r="M371" s="207"/>
      <c r="N371" s="207"/>
      <c r="O371" s="207"/>
      <c r="P371" s="207"/>
      <c r="Q371" s="207"/>
      <c r="R371" s="207"/>
      <c r="S371" s="207"/>
      <c r="T371" s="207"/>
      <c r="U371" s="207"/>
      <c r="V371" s="207"/>
      <c r="W371" s="207"/>
      <c r="X371" s="207"/>
      <c r="Y371" s="207"/>
      <c r="Z371" s="207"/>
    </row>
    <row r="372" spans="1:26" ht="15.75" customHeight="1">
      <c r="A372" s="207"/>
      <c r="B372" s="207"/>
      <c r="C372" s="207"/>
      <c r="D372" s="207"/>
      <c r="E372" s="207"/>
      <c r="F372" s="207"/>
      <c r="G372" s="207"/>
      <c r="H372" s="207"/>
      <c r="I372" s="207"/>
      <c r="J372" s="207"/>
      <c r="K372" s="207"/>
      <c r="L372" s="207"/>
      <c r="M372" s="207"/>
      <c r="N372" s="207"/>
      <c r="O372" s="207"/>
      <c r="P372" s="207"/>
      <c r="Q372" s="207"/>
      <c r="R372" s="207"/>
      <c r="S372" s="207"/>
      <c r="T372" s="207"/>
      <c r="U372" s="207"/>
      <c r="V372" s="207"/>
      <c r="W372" s="207"/>
      <c r="X372" s="207"/>
      <c r="Y372" s="207"/>
      <c r="Z372" s="207"/>
    </row>
    <row r="373" spans="1:26" ht="15.75" customHeight="1">
      <c r="A373" s="207"/>
      <c r="B373" s="207"/>
      <c r="C373" s="207"/>
      <c r="D373" s="207"/>
      <c r="E373" s="207"/>
      <c r="F373" s="207"/>
      <c r="G373" s="207"/>
      <c r="H373" s="207"/>
      <c r="I373" s="207"/>
      <c r="J373" s="207"/>
      <c r="K373" s="207"/>
      <c r="L373" s="207"/>
      <c r="M373" s="207"/>
      <c r="N373" s="207"/>
      <c r="O373" s="207"/>
      <c r="P373" s="207"/>
      <c r="Q373" s="207"/>
      <c r="R373" s="207"/>
      <c r="S373" s="207"/>
      <c r="T373" s="207"/>
      <c r="U373" s="207"/>
      <c r="V373" s="207"/>
      <c r="W373" s="207"/>
      <c r="X373" s="207"/>
      <c r="Y373" s="207"/>
      <c r="Z373" s="207"/>
    </row>
    <row r="374" spans="1:26" ht="15.75" customHeight="1">
      <c r="A374" s="207"/>
      <c r="B374" s="207"/>
      <c r="C374" s="207"/>
      <c r="D374" s="207"/>
      <c r="E374" s="207"/>
      <c r="F374" s="207"/>
      <c r="G374" s="207"/>
      <c r="H374" s="207"/>
      <c r="I374" s="207"/>
      <c r="J374" s="207"/>
      <c r="K374" s="207"/>
      <c r="L374" s="207"/>
      <c r="M374" s="207"/>
      <c r="N374" s="207"/>
      <c r="O374" s="207"/>
      <c r="P374" s="207"/>
      <c r="Q374" s="207"/>
      <c r="R374" s="207"/>
      <c r="S374" s="207"/>
      <c r="T374" s="207"/>
      <c r="U374" s="207"/>
      <c r="V374" s="207"/>
      <c r="W374" s="207"/>
      <c r="X374" s="207"/>
      <c r="Y374" s="207"/>
      <c r="Z374" s="207"/>
    </row>
    <row r="375" spans="1:26" ht="15.75" customHeight="1">
      <c r="A375" s="207"/>
      <c r="B375" s="207"/>
      <c r="C375" s="207"/>
      <c r="D375" s="207"/>
      <c r="E375" s="207"/>
      <c r="F375" s="207"/>
      <c r="G375" s="207"/>
      <c r="H375" s="207"/>
      <c r="I375" s="207"/>
      <c r="J375" s="207"/>
      <c r="K375" s="207"/>
      <c r="L375" s="207"/>
      <c r="M375" s="207"/>
      <c r="N375" s="207"/>
      <c r="O375" s="207"/>
      <c r="P375" s="207"/>
      <c r="Q375" s="207"/>
      <c r="R375" s="207"/>
      <c r="S375" s="207"/>
      <c r="T375" s="207"/>
      <c r="U375" s="207"/>
      <c r="V375" s="207"/>
      <c r="W375" s="207"/>
      <c r="X375" s="207"/>
      <c r="Y375" s="207"/>
      <c r="Z375" s="207"/>
    </row>
    <row r="376" spans="1:26" ht="15.75" customHeight="1">
      <c r="A376" s="207"/>
      <c r="B376" s="207"/>
      <c r="C376" s="207"/>
      <c r="D376" s="207"/>
      <c r="E376" s="207"/>
      <c r="F376" s="207"/>
      <c r="G376" s="207"/>
      <c r="H376" s="207"/>
      <c r="I376" s="207"/>
      <c r="J376" s="207"/>
      <c r="K376" s="207"/>
      <c r="L376" s="207"/>
      <c r="M376" s="207"/>
      <c r="N376" s="207"/>
      <c r="O376" s="207"/>
      <c r="P376" s="207"/>
      <c r="Q376" s="207"/>
      <c r="R376" s="207"/>
      <c r="S376" s="207"/>
      <c r="T376" s="207"/>
      <c r="U376" s="207"/>
      <c r="V376" s="207"/>
      <c r="W376" s="207"/>
      <c r="X376" s="207"/>
      <c r="Y376" s="207"/>
      <c r="Z376" s="207"/>
    </row>
    <row r="377" spans="1:26" ht="15.75" customHeight="1">
      <c r="A377" s="207"/>
      <c r="B377" s="207"/>
      <c r="C377" s="207"/>
      <c r="D377" s="207"/>
      <c r="E377" s="207"/>
      <c r="F377" s="207"/>
      <c r="G377" s="207"/>
      <c r="H377" s="207"/>
      <c r="I377" s="207"/>
      <c r="J377" s="207"/>
      <c r="K377" s="207"/>
      <c r="L377" s="207"/>
      <c r="M377" s="207"/>
      <c r="N377" s="207"/>
      <c r="O377" s="207"/>
      <c r="P377" s="207"/>
      <c r="Q377" s="207"/>
      <c r="R377" s="207"/>
      <c r="S377" s="207"/>
      <c r="T377" s="207"/>
      <c r="U377" s="207"/>
      <c r="V377" s="207"/>
      <c r="W377" s="207"/>
      <c r="X377" s="207"/>
      <c r="Y377" s="207"/>
      <c r="Z377" s="207"/>
    </row>
    <row r="378" spans="1:26" ht="15.75" customHeight="1">
      <c r="A378" s="207"/>
      <c r="B378" s="207"/>
      <c r="C378" s="207"/>
      <c r="D378" s="207"/>
      <c r="E378" s="207"/>
      <c r="F378" s="207"/>
      <c r="G378" s="207"/>
      <c r="H378" s="207"/>
      <c r="I378" s="207"/>
      <c r="J378" s="207"/>
      <c r="K378" s="207"/>
      <c r="L378" s="207"/>
      <c r="M378" s="207"/>
      <c r="N378" s="207"/>
      <c r="O378" s="207"/>
      <c r="P378" s="207"/>
      <c r="Q378" s="207"/>
      <c r="R378" s="207"/>
      <c r="S378" s="207"/>
      <c r="T378" s="207"/>
      <c r="U378" s="207"/>
      <c r="V378" s="207"/>
      <c r="W378" s="207"/>
      <c r="X378" s="207"/>
      <c r="Y378" s="207"/>
      <c r="Z378" s="207"/>
    </row>
    <row r="379" spans="1:26" ht="15.75" customHeight="1">
      <c r="A379" s="207"/>
      <c r="B379" s="207"/>
      <c r="C379" s="207"/>
      <c r="D379" s="207"/>
      <c r="E379" s="207"/>
      <c r="F379" s="207"/>
      <c r="G379" s="207"/>
      <c r="H379" s="207"/>
      <c r="I379" s="207"/>
      <c r="J379" s="207"/>
      <c r="K379" s="207"/>
      <c r="L379" s="207"/>
      <c r="M379" s="207"/>
      <c r="N379" s="207"/>
      <c r="O379" s="207"/>
      <c r="P379" s="207"/>
      <c r="Q379" s="207"/>
      <c r="R379" s="207"/>
      <c r="S379" s="207"/>
      <c r="T379" s="207"/>
      <c r="U379" s="207"/>
      <c r="V379" s="207"/>
      <c r="W379" s="207"/>
      <c r="X379" s="207"/>
      <c r="Y379" s="207"/>
      <c r="Z379" s="207"/>
    </row>
    <row r="380" spans="1:26" ht="15.75" customHeight="1">
      <c r="A380" s="207"/>
      <c r="B380" s="207"/>
      <c r="C380" s="207"/>
      <c r="D380" s="207"/>
      <c r="E380" s="207"/>
      <c r="F380" s="207"/>
      <c r="G380" s="207"/>
      <c r="H380" s="207"/>
      <c r="I380" s="207"/>
      <c r="J380" s="207"/>
      <c r="K380" s="207"/>
      <c r="L380" s="207"/>
      <c r="M380" s="207"/>
      <c r="N380" s="207"/>
      <c r="O380" s="207"/>
      <c r="P380" s="207"/>
      <c r="Q380" s="207"/>
      <c r="R380" s="207"/>
      <c r="S380" s="207"/>
      <c r="T380" s="207"/>
      <c r="U380" s="207"/>
      <c r="V380" s="207"/>
      <c r="W380" s="207"/>
      <c r="X380" s="207"/>
      <c r="Y380" s="207"/>
      <c r="Z380" s="207"/>
    </row>
    <row r="381" spans="1:26" ht="15.75" customHeight="1">
      <c r="A381" s="207"/>
      <c r="B381" s="207"/>
      <c r="C381" s="207"/>
      <c r="D381" s="207"/>
      <c r="E381" s="207"/>
      <c r="F381" s="207"/>
      <c r="G381" s="207"/>
      <c r="H381" s="207"/>
      <c r="I381" s="207"/>
      <c r="J381" s="207"/>
      <c r="K381" s="207"/>
      <c r="L381" s="207"/>
      <c r="M381" s="207"/>
      <c r="N381" s="207"/>
      <c r="O381" s="207"/>
      <c r="P381" s="207"/>
      <c r="Q381" s="207"/>
      <c r="R381" s="207"/>
      <c r="S381" s="207"/>
      <c r="T381" s="207"/>
      <c r="U381" s="207"/>
      <c r="V381" s="207"/>
      <c r="W381" s="207"/>
      <c r="X381" s="207"/>
      <c r="Y381" s="207"/>
      <c r="Z381" s="207"/>
    </row>
    <row r="382" spans="1:26" ht="15.75" customHeight="1">
      <c r="A382" s="207"/>
      <c r="B382" s="207"/>
      <c r="C382" s="207"/>
      <c r="D382" s="207"/>
      <c r="E382" s="207"/>
      <c r="F382" s="207"/>
      <c r="G382" s="207"/>
      <c r="H382" s="207"/>
      <c r="I382" s="207"/>
      <c r="J382" s="207"/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7"/>
      <c r="X382" s="207"/>
      <c r="Y382" s="207"/>
      <c r="Z382" s="207"/>
    </row>
    <row r="383" spans="1:26" ht="15.75" customHeight="1">
      <c r="A383" s="207"/>
      <c r="B383" s="207"/>
      <c r="C383" s="207"/>
      <c r="D383" s="207"/>
      <c r="E383" s="207"/>
      <c r="F383" s="207"/>
      <c r="G383" s="207"/>
      <c r="H383" s="207"/>
      <c r="I383" s="207"/>
      <c r="J383" s="207"/>
      <c r="K383" s="207"/>
      <c r="L383" s="207"/>
      <c r="M383" s="207"/>
      <c r="N383" s="207"/>
      <c r="O383" s="207"/>
      <c r="P383" s="207"/>
      <c r="Q383" s="207"/>
      <c r="R383" s="207"/>
      <c r="S383" s="207"/>
      <c r="T383" s="207"/>
      <c r="U383" s="207"/>
      <c r="V383" s="207"/>
      <c r="W383" s="207"/>
      <c r="X383" s="207"/>
      <c r="Y383" s="207"/>
      <c r="Z383" s="207"/>
    </row>
    <row r="384" spans="1:26" ht="15.75" customHeight="1">
      <c r="A384" s="207"/>
      <c r="B384" s="207"/>
      <c r="C384" s="207"/>
      <c r="D384" s="207"/>
      <c r="E384" s="207"/>
      <c r="F384" s="207"/>
      <c r="G384" s="207"/>
      <c r="H384" s="207"/>
      <c r="I384" s="207"/>
      <c r="J384" s="207"/>
      <c r="K384" s="207"/>
      <c r="L384" s="207"/>
      <c r="M384" s="207"/>
      <c r="N384" s="207"/>
      <c r="O384" s="207"/>
      <c r="P384" s="207"/>
      <c r="Q384" s="207"/>
      <c r="R384" s="207"/>
      <c r="S384" s="207"/>
      <c r="T384" s="207"/>
      <c r="U384" s="207"/>
      <c r="V384" s="207"/>
      <c r="W384" s="207"/>
      <c r="X384" s="207"/>
      <c r="Y384" s="207"/>
      <c r="Z384" s="207"/>
    </row>
    <row r="385" spans="1:26" ht="15.75" customHeight="1">
      <c r="A385" s="207"/>
      <c r="B385" s="207"/>
      <c r="C385" s="207"/>
      <c r="D385" s="207"/>
      <c r="E385" s="207"/>
      <c r="F385" s="207"/>
      <c r="G385" s="207"/>
      <c r="H385" s="207"/>
      <c r="I385" s="207"/>
      <c r="J385" s="207"/>
      <c r="K385" s="207"/>
      <c r="L385" s="207"/>
      <c r="M385" s="207"/>
      <c r="N385" s="207"/>
      <c r="O385" s="207"/>
      <c r="P385" s="207"/>
      <c r="Q385" s="207"/>
      <c r="R385" s="207"/>
      <c r="S385" s="207"/>
      <c r="T385" s="207"/>
      <c r="U385" s="207"/>
      <c r="V385" s="207"/>
      <c r="W385" s="207"/>
      <c r="X385" s="207"/>
      <c r="Y385" s="207"/>
      <c r="Z385" s="207"/>
    </row>
    <row r="386" spans="1:26" ht="15.75" customHeight="1">
      <c r="A386" s="207"/>
      <c r="B386" s="207"/>
      <c r="C386" s="207"/>
      <c r="D386" s="207"/>
      <c r="E386" s="207"/>
      <c r="F386" s="207"/>
      <c r="G386" s="207"/>
      <c r="H386" s="207"/>
      <c r="I386" s="207"/>
      <c r="J386" s="207"/>
      <c r="K386" s="207"/>
      <c r="L386" s="207"/>
      <c r="M386" s="207"/>
      <c r="N386" s="207"/>
      <c r="O386" s="207"/>
      <c r="P386" s="207"/>
      <c r="Q386" s="207"/>
      <c r="R386" s="207"/>
      <c r="S386" s="207"/>
      <c r="T386" s="207"/>
      <c r="U386" s="207"/>
      <c r="V386" s="207"/>
      <c r="W386" s="207"/>
      <c r="X386" s="207"/>
      <c r="Y386" s="207"/>
      <c r="Z386" s="207"/>
    </row>
    <row r="387" spans="1:26" ht="15.75" customHeight="1">
      <c r="A387" s="207"/>
      <c r="B387" s="207"/>
      <c r="C387" s="207"/>
      <c r="D387" s="207"/>
      <c r="E387" s="207"/>
      <c r="F387" s="207"/>
      <c r="G387" s="207"/>
      <c r="H387" s="207"/>
      <c r="I387" s="207"/>
      <c r="J387" s="207"/>
      <c r="K387" s="207"/>
      <c r="L387" s="207"/>
      <c r="M387" s="207"/>
      <c r="N387" s="207"/>
      <c r="O387" s="207"/>
      <c r="P387" s="207"/>
      <c r="Q387" s="207"/>
      <c r="R387" s="207"/>
      <c r="S387" s="207"/>
      <c r="T387" s="207"/>
      <c r="U387" s="207"/>
      <c r="V387" s="207"/>
      <c r="W387" s="207"/>
      <c r="X387" s="207"/>
      <c r="Y387" s="207"/>
      <c r="Z387" s="207"/>
    </row>
    <row r="388" spans="1:26" ht="15.75" customHeight="1">
      <c r="A388" s="207"/>
      <c r="B388" s="207"/>
      <c r="C388" s="207"/>
      <c r="D388" s="207"/>
      <c r="E388" s="207"/>
      <c r="F388" s="207"/>
      <c r="G388" s="207"/>
      <c r="H388" s="207"/>
      <c r="I388" s="207"/>
      <c r="J388" s="207"/>
      <c r="K388" s="207"/>
      <c r="L388" s="207"/>
      <c r="M388" s="207"/>
      <c r="N388" s="207"/>
      <c r="O388" s="207"/>
      <c r="P388" s="207"/>
      <c r="Q388" s="207"/>
      <c r="R388" s="207"/>
      <c r="S388" s="207"/>
      <c r="T388" s="207"/>
      <c r="U388" s="207"/>
      <c r="V388" s="207"/>
      <c r="W388" s="207"/>
      <c r="X388" s="207"/>
      <c r="Y388" s="207"/>
      <c r="Z388" s="207"/>
    </row>
    <row r="389" spans="1:26" ht="15.75" customHeight="1">
      <c r="A389" s="207"/>
      <c r="B389" s="207"/>
      <c r="C389" s="207"/>
      <c r="D389" s="207"/>
      <c r="E389" s="207"/>
      <c r="F389" s="207"/>
      <c r="G389" s="207"/>
      <c r="H389" s="207"/>
      <c r="I389" s="207"/>
      <c r="J389" s="207"/>
      <c r="K389" s="207"/>
      <c r="L389" s="207"/>
      <c r="M389" s="207"/>
      <c r="N389" s="207"/>
      <c r="O389" s="207"/>
      <c r="P389" s="207"/>
      <c r="Q389" s="207"/>
      <c r="R389" s="207"/>
      <c r="S389" s="207"/>
      <c r="T389" s="207"/>
      <c r="U389" s="207"/>
      <c r="V389" s="207"/>
      <c r="W389" s="207"/>
      <c r="X389" s="207"/>
      <c r="Y389" s="207"/>
      <c r="Z389" s="207"/>
    </row>
    <row r="390" spans="1:26" ht="15.75" customHeight="1">
      <c r="A390" s="207"/>
      <c r="B390" s="207"/>
      <c r="C390" s="207"/>
      <c r="D390" s="207"/>
      <c r="E390" s="207"/>
      <c r="F390" s="207"/>
      <c r="G390" s="207"/>
      <c r="H390" s="207"/>
      <c r="I390" s="207"/>
      <c r="J390" s="207"/>
      <c r="K390" s="207"/>
      <c r="L390" s="207"/>
      <c r="M390" s="207"/>
      <c r="N390" s="207"/>
      <c r="O390" s="207"/>
      <c r="P390" s="207"/>
      <c r="Q390" s="207"/>
      <c r="R390" s="207"/>
      <c r="S390" s="207"/>
      <c r="T390" s="207"/>
      <c r="U390" s="207"/>
      <c r="V390" s="207"/>
      <c r="W390" s="207"/>
      <c r="X390" s="207"/>
      <c r="Y390" s="207"/>
      <c r="Z390" s="207"/>
    </row>
    <row r="391" spans="1:26" ht="15.75" customHeight="1">
      <c r="A391" s="207"/>
      <c r="B391" s="207"/>
      <c r="C391" s="207"/>
      <c r="D391" s="207"/>
      <c r="E391" s="207"/>
      <c r="F391" s="207"/>
      <c r="G391" s="207"/>
      <c r="H391" s="207"/>
      <c r="I391" s="207"/>
      <c r="J391" s="207"/>
      <c r="K391" s="207"/>
      <c r="L391" s="207"/>
      <c r="M391" s="207"/>
      <c r="N391" s="207"/>
      <c r="O391" s="207"/>
      <c r="P391" s="207"/>
      <c r="Q391" s="207"/>
      <c r="R391" s="207"/>
      <c r="S391" s="207"/>
      <c r="T391" s="207"/>
      <c r="U391" s="207"/>
      <c r="V391" s="207"/>
      <c r="W391" s="207"/>
      <c r="X391" s="207"/>
      <c r="Y391" s="207"/>
      <c r="Z391" s="207"/>
    </row>
    <row r="392" spans="1:26" ht="15.75" customHeight="1">
      <c r="A392" s="207"/>
      <c r="B392" s="207"/>
      <c r="C392" s="207"/>
      <c r="D392" s="207"/>
      <c r="E392" s="207"/>
      <c r="F392" s="207"/>
      <c r="G392" s="207"/>
      <c r="H392" s="207"/>
      <c r="I392" s="207"/>
      <c r="J392" s="207"/>
      <c r="K392" s="207"/>
      <c r="L392" s="207"/>
      <c r="M392" s="207"/>
      <c r="N392" s="207"/>
      <c r="O392" s="207"/>
      <c r="P392" s="207"/>
      <c r="Q392" s="207"/>
      <c r="R392" s="207"/>
      <c r="S392" s="207"/>
      <c r="T392" s="207"/>
      <c r="U392" s="207"/>
      <c r="V392" s="207"/>
      <c r="W392" s="207"/>
      <c r="X392" s="207"/>
      <c r="Y392" s="207"/>
      <c r="Z392" s="207"/>
    </row>
    <row r="393" spans="1:26" ht="15.75" customHeight="1">
      <c r="A393" s="207"/>
      <c r="B393" s="207"/>
      <c r="C393" s="207"/>
      <c r="D393" s="207"/>
      <c r="E393" s="207"/>
      <c r="F393" s="207"/>
      <c r="G393" s="207"/>
      <c r="H393" s="207"/>
      <c r="I393" s="207"/>
      <c r="J393" s="207"/>
      <c r="K393" s="207"/>
      <c r="L393" s="207"/>
      <c r="M393" s="207"/>
      <c r="N393" s="207"/>
      <c r="O393" s="207"/>
      <c r="P393" s="207"/>
      <c r="Q393" s="207"/>
      <c r="R393" s="207"/>
      <c r="S393" s="207"/>
      <c r="T393" s="207"/>
      <c r="U393" s="207"/>
      <c r="V393" s="207"/>
      <c r="W393" s="207"/>
      <c r="X393" s="207"/>
      <c r="Y393" s="207"/>
      <c r="Z393" s="207"/>
    </row>
    <row r="394" spans="1:26" ht="15.75" customHeight="1">
      <c r="A394" s="207"/>
      <c r="B394" s="207"/>
      <c r="C394" s="207"/>
      <c r="D394" s="207"/>
      <c r="E394" s="207"/>
      <c r="F394" s="207"/>
      <c r="G394" s="207"/>
      <c r="H394" s="207"/>
      <c r="I394" s="207"/>
      <c r="J394" s="207"/>
      <c r="K394" s="207"/>
      <c r="L394" s="207"/>
      <c r="M394" s="207"/>
      <c r="N394" s="207"/>
      <c r="O394" s="207"/>
      <c r="P394" s="207"/>
      <c r="Q394" s="207"/>
      <c r="R394" s="207"/>
      <c r="S394" s="207"/>
      <c r="T394" s="207"/>
      <c r="U394" s="207"/>
      <c r="V394" s="207"/>
      <c r="W394" s="207"/>
      <c r="X394" s="207"/>
      <c r="Y394" s="207"/>
      <c r="Z394" s="207"/>
    </row>
    <row r="395" spans="1:26" ht="15.75" customHeight="1">
      <c r="A395" s="207"/>
      <c r="B395" s="207"/>
      <c r="C395" s="207"/>
      <c r="D395" s="207"/>
      <c r="E395" s="207"/>
      <c r="F395" s="207"/>
      <c r="G395" s="207"/>
      <c r="H395" s="207"/>
      <c r="I395" s="207"/>
      <c r="J395" s="207"/>
      <c r="K395" s="207"/>
      <c r="L395" s="207"/>
      <c r="M395" s="207"/>
      <c r="N395" s="207"/>
      <c r="O395" s="207"/>
      <c r="P395" s="207"/>
      <c r="Q395" s="207"/>
      <c r="R395" s="207"/>
      <c r="S395" s="207"/>
      <c r="T395" s="207"/>
      <c r="U395" s="207"/>
      <c r="V395" s="207"/>
      <c r="W395" s="207"/>
      <c r="X395" s="207"/>
      <c r="Y395" s="207"/>
      <c r="Z395" s="207"/>
    </row>
    <row r="396" spans="1:26" ht="15.75" customHeight="1">
      <c r="A396" s="207"/>
      <c r="B396" s="207"/>
      <c r="C396" s="207"/>
      <c r="D396" s="207"/>
      <c r="E396" s="207"/>
      <c r="F396" s="207"/>
      <c r="G396" s="207"/>
      <c r="H396" s="207"/>
      <c r="I396" s="207"/>
      <c r="J396" s="207"/>
      <c r="K396" s="207"/>
      <c r="L396" s="207"/>
      <c r="M396" s="207"/>
      <c r="N396" s="207"/>
      <c r="O396" s="207"/>
      <c r="P396" s="207"/>
      <c r="Q396" s="207"/>
      <c r="R396" s="207"/>
      <c r="S396" s="207"/>
      <c r="T396" s="207"/>
      <c r="U396" s="207"/>
      <c r="V396" s="207"/>
      <c r="W396" s="207"/>
      <c r="X396" s="207"/>
      <c r="Y396" s="207"/>
      <c r="Z396" s="207"/>
    </row>
    <row r="397" spans="1:26" ht="15.75" customHeight="1">
      <c r="A397" s="207"/>
      <c r="B397" s="207"/>
      <c r="C397" s="207"/>
      <c r="D397" s="207"/>
      <c r="E397" s="207"/>
      <c r="F397" s="207"/>
      <c r="G397" s="207"/>
      <c r="H397" s="207"/>
      <c r="I397" s="207"/>
      <c r="J397" s="207"/>
      <c r="K397" s="207"/>
      <c r="L397" s="207"/>
      <c r="M397" s="207"/>
      <c r="N397" s="207"/>
      <c r="O397" s="207"/>
      <c r="P397" s="207"/>
      <c r="Q397" s="207"/>
      <c r="R397" s="207"/>
      <c r="S397" s="207"/>
      <c r="T397" s="207"/>
      <c r="U397" s="207"/>
      <c r="V397" s="207"/>
      <c r="W397" s="207"/>
      <c r="X397" s="207"/>
      <c r="Y397" s="207"/>
      <c r="Z397" s="207"/>
    </row>
    <row r="398" spans="1:26" ht="15.75" customHeight="1">
      <c r="A398" s="207"/>
      <c r="B398" s="207"/>
      <c r="C398" s="207"/>
      <c r="D398" s="207"/>
      <c r="E398" s="207"/>
      <c r="F398" s="207"/>
      <c r="G398" s="207"/>
      <c r="H398" s="207"/>
      <c r="I398" s="207"/>
      <c r="J398" s="207"/>
      <c r="K398" s="207"/>
      <c r="L398" s="207"/>
      <c r="M398" s="207"/>
      <c r="N398" s="207"/>
      <c r="O398" s="207"/>
      <c r="P398" s="207"/>
      <c r="Q398" s="207"/>
      <c r="R398" s="207"/>
      <c r="S398" s="207"/>
      <c r="T398" s="207"/>
      <c r="U398" s="207"/>
      <c r="V398" s="207"/>
      <c r="W398" s="207"/>
      <c r="X398" s="207"/>
      <c r="Y398" s="207"/>
      <c r="Z398" s="207"/>
    </row>
    <row r="399" spans="1:26" ht="15.75" customHeight="1">
      <c r="A399" s="207"/>
      <c r="B399" s="207"/>
      <c r="C399" s="207"/>
      <c r="D399" s="207"/>
      <c r="E399" s="207"/>
      <c r="F399" s="207"/>
      <c r="G399" s="207"/>
      <c r="H399" s="207"/>
      <c r="I399" s="207"/>
      <c r="J399" s="207"/>
      <c r="K399" s="207"/>
      <c r="L399" s="207"/>
      <c r="M399" s="207"/>
      <c r="N399" s="207"/>
      <c r="O399" s="207"/>
      <c r="P399" s="207"/>
      <c r="Q399" s="207"/>
      <c r="R399" s="207"/>
      <c r="S399" s="207"/>
      <c r="T399" s="207"/>
      <c r="U399" s="207"/>
      <c r="V399" s="207"/>
      <c r="W399" s="207"/>
      <c r="X399" s="207"/>
      <c r="Y399" s="207"/>
      <c r="Z399" s="207"/>
    </row>
    <row r="400" spans="1:26" ht="15.75" customHeight="1">
      <c r="A400" s="207"/>
      <c r="B400" s="207"/>
      <c r="C400" s="207"/>
      <c r="D400" s="207"/>
      <c r="E400" s="207"/>
      <c r="F400" s="207"/>
      <c r="G400" s="207"/>
      <c r="H400" s="207"/>
      <c r="I400" s="207"/>
      <c r="J400" s="207"/>
      <c r="K400" s="207"/>
      <c r="L400" s="207"/>
      <c r="M400" s="207"/>
      <c r="N400" s="207"/>
      <c r="O400" s="207"/>
      <c r="P400" s="207"/>
      <c r="Q400" s="207"/>
      <c r="R400" s="207"/>
      <c r="S400" s="207"/>
      <c r="T400" s="207"/>
      <c r="U400" s="207"/>
      <c r="V400" s="207"/>
      <c r="W400" s="207"/>
      <c r="X400" s="207"/>
      <c r="Y400" s="207"/>
      <c r="Z400" s="207"/>
    </row>
    <row r="401" spans="1:26" ht="15.75" customHeight="1">
      <c r="A401" s="207"/>
      <c r="B401" s="207"/>
      <c r="C401" s="207"/>
      <c r="D401" s="207"/>
      <c r="E401" s="207"/>
      <c r="F401" s="207"/>
      <c r="G401" s="207"/>
      <c r="H401" s="207"/>
      <c r="I401" s="207"/>
      <c r="J401" s="207"/>
      <c r="K401" s="207"/>
      <c r="L401" s="207"/>
      <c r="M401" s="207"/>
      <c r="N401" s="207"/>
      <c r="O401" s="207"/>
      <c r="P401" s="207"/>
      <c r="Q401" s="207"/>
      <c r="R401" s="207"/>
      <c r="S401" s="207"/>
      <c r="T401" s="207"/>
      <c r="U401" s="207"/>
      <c r="V401" s="207"/>
      <c r="W401" s="207"/>
      <c r="X401" s="207"/>
      <c r="Y401" s="207"/>
      <c r="Z401" s="207"/>
    </row>
    <row r="402" spans="1:26" ht="15.75" customHeight="1">
      <c r="A402" s="207"/>
      <c r="B402" s="207"/>
      <c r="C402" s="207"/>
      <c r="D402" s="207"/>
      <c r="E402" s="207"/>
      <c r="F402" s="207"/>
      <c r="G402" s="207"/>
      <c r="H402" s="207"/>
      <c r="I402" s="207"/>
      <c r="J402" s="207"/>
      <c r="K402" s="207"/>
      <c r="L402" s="207"/>
      <c r="M402" s="207"/>
      <c r="N402" s="207"/>
      <c r="O402" s="207"/>
      <c r="P402" s="207"/>
      <c r="Q402" s="207"/>
      <c r="R402" s="207"/>
      <c r="S402" s="207"/>
      <c r="T402" s="207"/>
      <c r="U402" s="207"/>
      <c r="V402" s="207"/>
      <c r="W402" s="207"/>
      <c r="X402" s="207"/>
      <c r="Y402" s="207"/>
      <c r="Z402" s="207"/>
    </row>
    <row r="403" spans="1:26" ht="15.75" customHeight="1">
      <c r="A403" s="207"/>
      <c r="B403" s="207"/>
      <c r="C403" s="207"/>
      <c r="D403" s="207"/>
      <c r="E403" s="207"/>
      <c r="F403" s="207"/>
      <c r="G403" s="207"/>
      <c r="H403" s="207"/>
      <c r="I403" s="207"/>
      <c r="J403" s="207"/>
      <c r="K403" s="207"/>
      <c r="L403" s="207"/>
      <c r="M403" s="207"/>
      <c r="N403" s="207"/>
      <c r="O403" s="207"/>
      <c r="P403" s="207"/>
      <c r="Q403" s="207"/>
      <c r="R403" s="207"/>
      <c r="S403" s="207"/>
      <c r="T403" s="207"/>
      <c r="U403" s="207"/>
      <c r="V403" s="207"/>
      <c r="W403" s="207"/>
      <c r="X403" s="207"/>
      <c r="Y403" s="207"/>
      <c r="Z403" s="207"/>
    </row>
    <row r="404" spans="1:26" ht="15.75" customHeight="1">
      <c r="A404" s="207"/>
      <c r="B404" s="207"/>
      <c r="C404" s="207"/>
      <c r="D404" s="207"/>
      <c r="E404" s="207"/>
      <c r="F404" s="207"/>
      <c r="G404" s="207"/>
      <c r="H404" s="207"/>
      <c r="I404" s="207"/>
      <c r="J404" s="207"/>
      <c r="K404" s="207"/>
      <c r="L404" s="207"/>
      <c r="M404" s="207"/>
      <c r="N404" s="207"/>
      <c r="O404" s="207"/>
      <c r="P404" s="207"/>
      <c r="Q404" s="207"/>
      <c r="R404" s="207"/>
      <c r="S404" s="207"/>
      <c r="T404" s="207"/>
      <c r="U404" s="207"/>
      <c r="V404" s="207"/>
      <c r="W404" s="207"/>
      <c r="X404" s="207"/>
      <c r="Y404" s="207"/>
      <c r="Z404" s="207"/>
    </row>
    <row r="405" spans="1:26" ht="15.75" customHeight="1">
      <c r="A405" s="207"/>
      <c r="B405" s="207"/>
      <c r="C405" s="207"/>
      <c r="D405" s="207"/>
      <c r="E405" s="207"/>
      <c r="F405" s="207"/>
      <c r="G405" s="207"/>
      <c r="H405" s="207"/>
      <c r="I405" s="207"/>
      <c r="J405" s="207"/>
      <c r="K405" s="207"/>
      <c r="L405" s="207"/>
      <c r="M405" s="207"/>
      <c r="N405" s="207"/>
      <c r="O405" s="207"/>
      <c r="P405" s="207"/>
      <c r="Q405" s="207"/>
      <c r="R405" s="207"/>
      <c r="S405" s="207"/>
      <c r="T405" s="207"/>
      <c r="U405" s="207"/>
      <c r="V405" s="207"/>
      <c r="W405" s="207"/>
      <c r="X405" s="207"/>
      <c r="Y405" s="207"/>
      <c r="Z405" s="207"/>
    </row>
    <row r="406" spans="1:26" ht="15.75" customHeight="1">
      <c r="A406" s="207"/>
      <c r="B406" s="207"/>
      <c r="C406" s="207"/>
      <c r="D406" s="207"/>
      <c r="E406" s="207"/>
      <c r="F406" s="207"/>
      <c r="G406" s="207"/>
      <c r="H406" s="207"/>
      <c r="I406" s="207"/>
      <c r="J406" s="207"/>
      <c r="K406" s="207"/>
      <c r="L406" s="207"/>
      <c r="M406" s="207"/>
      <c r="N406" s="207"/>
      <c r="O406" s="207"/>
      <c r="P406" s="207"/>
      <c r="Q406" s="207"/>
      <c r="R406" s="207"/>
      <c r="S406" s="207"/>
      <c r="T406" s="207"/>
      <c r="U406" s="207"/>
      <c r="V406" s="207"/>
      <c r="W406" s="207"/>
      <c r="X406" s="207"/>
      <c r="Y406" s="207"/>
      <c r="Z406" s="207"/>
    </row>
    <row r="407" spans="1:26" ht="15.75" customHeight="1">
      <c r="A407" s="207"/>
      <c r="B407" s="207"/>
      <c r="C407" s="207"/>
      <c r="D407" s="207"/>
      <c r="E407" s="207"/>
      <c r="F407" s="207"/>
      <c r="G407" s="207"/>
      <c r="H407" s="207"/>
      <c r="I407" s="207"/>
      <c r="J407" s="207"/>
      <c r="K407" s="207"/>
      <c r="L407" s="207"/>
      <c r="M407" s="207"/>
      <c r="N407" s="207"/>
      <c r="O407" s="207"/>
      <c r="P407" s="207"/>
      <c r="Q407" s="207"/>
      <c r="R407" s="207"/>
      <c r="S407" s="207"/>
      <c r="T407" s="207"/>
      <c r="U407" s="207"/>
      <c r="V407" s="207"/>
      <c r="W407" s="207"/>
      <c r="X407" s="207"/>
      <c r="Y407" s="207"/>
      <c r="Z407" s="207"/>
    </row>
    <row r="408" spans="1:26" ht="15.75" customHeight="1">
      <c r="A408" s="207"/>
      <c r="B408" s="207"/>
      <c r="C408" s="207"/>
      <c r="D408" s="207"/>
      <c r="E408" s="207"/>
      <c r="F408" s="207"/>
      <c r="G408" s="207"/>
      <c r="H408" s="207"/>
      <c r="I408" s="207"/>
      <c r="J408" s="207"/>
      <c r="K408" s="207"/>
      <c r="L408" s="207"/>
      <c r="M408" s="207"/>
      <c r="N408" s="207"/>
      <c r="O408" s="207"/>
      <c r="P408" s="207"/>
      <c r="Q408" s="207"/>
      <c r="R408" s="207"/>
      <c r="S408" s="207"/>
      <c r="T408" s="207"/>
      <c r="U408" s="207"/>
      <c r="V408" s="207"/>
      <c r="W408" s="207"/>
      <c r="X408" s="207"/>
      <c r="Y408" s="207"/>
      <c r="Z408" s="207"/>
    </row>
    <row r="409" spans="1:26" ht="15.75" customHeight="1">
      <c r="A409" s="207"/>
      <c r="B409" s="207"/>
      <c r="C409" s="207"/>
      <c r="D409" s="207"/>
      <c r="E409" s="207"/>
      <c r="F409" s="207"/>
      <c r="G409" s="207"/>
      <c r="H409" s="207"/>
      <c r="I409" s="207"/>
      <c r="J409" s="207"/>
      <c r="K409" s="207"/>
      <c r="L409" s="207"/>
      <c r="M409" s="207"/>
      <c r="N409" s="207"/>
      <c r="O409" s="207"/>
      <c r="P409" s="207"/>
      <c r="Q409" s="207"/>
      <c r="R409" s="207"/>
      <c r="S409" s="207"/>
      <c r="T409" s="207"/>
      <c r="U409" s="207"/>
      <c r="V409" s="207"/>
      <c r="W409" s="207"/>
      <c r="X409" s="207"/>
      <c r="Y409" s="207"/>
      <c r="Z409" s="207"/>
    </row>
    <row r="410" spans="1:26" ht="15.75" customHeight="1">
      <c r="A410" s="207"/>
      <c r="B410" s="207"/>
      <c r="C410" s="207"/>
      <c r="D410" s="207"/>
      <c r="E410" s="207"/>
      <c r="F410" s="207"/>
      <c r="G410" s="207"/>
      <c r="H410" s="207"/>
      <c r="I410" s="207"/>
      <c r="J410" s="207"/>
      <c r="K410" s="207"/>
      <c r="L410" s="207"/>
      <c r="M410" s="207"/>
      <c r="N410" s="207"/>
      <c r="O410" s="207"/>
      <c r="P410" s="207"/>
      <c r="Q410" s="207"/>
      <c r="R410" s="207"/>
      <c r="S410" s="207"/>
      <c r="T410" s="207"/>
      <c r="U410" s="207"/>
      <c r="V410" s="207"/>
      <c r="W410" s="207"/>
      <c r="X410" s="207"/>
      <c r="Y410" s="207"/>
      <c r="Z410" s="207"/>
    </row>
    <row r="411" spans="1:26" ht="15.75" customHeight="1">
      <c r="A411" s="207"/>
      <c r="B411" s="207"/>
      <c r="C411" s="207"/>
      <c r="D411" s="207"/>
      <c r="E411" s="207"/>
      <c r="F411" s="207"/>
      <c r="G411" s="207"/>
      <c r="H411" s="207"/>
      <c r="I411" s="207"/>
      <c r="J411" s="207"/>
      <c r="K411" s="207"/>
      <c r="L411" s="207"/>
      <c r="M411" s="207"/>
      <c r="N411" s="207"/>
      <c r="O411" s="207"/>
      <c r="P411" s="207"/>
      <c r="Q411" s="207"/>
      <c r="R411" s="207"/>
      <c r="S411" s="207"/>
      <c r="T411" s="207"/>
      <c r="U411" s="207"/>
      <c r="V411" s="207"/>
      <c r="W411" s="207"/>
      <c r="X411" s="207"/>
      <c r="Y411" s="207"/>
      <c r="Z411" s="207"/>
    </row>
    <row r="412" spans="1:26" ht="15.75" customHeight="1">
      <c r="A412" s="207"/>
      <c r="B412" s="207"/>
      <c r="C412" s="207"/>
      <c r="D412" s="207"/>
      <c r="E412" s="207"/>
      <c r="F412" s="207"/>
      <c r="G412" s="207"/>
      <c r="H412" s="207"/>
      <c r="I412" s="207"/>
      <c r="J412" s="207"/>
      <c r="K412" s="207"/>
      <c r="L412" s="207"/>
      <c r="M412" s="207"/>
      <c r="N412" s="207"/>
      <c r="O412" s="207"/>
      <c r="P412" s="207"/>
      <c r="Q412" s="207"/>
      <c r="R412" s="207"/>
      <c r="S412" s="207"/>
      <c r="T412" s="207"/>
      <c r="U412" s="207"/>
      <c r="V412" s="207"/>
      <c r="W412" s="207"/>
      <c r="X412" s="207"/>
      <c r="Y412" s="207"/>
      <c r="Z412" s="207"/>
    </row>
    <row r="413" spans="1:26" ht="15.75" customHeight="1">
      <c r="A413" s="207"/>
      <c r="B413" s="207"/>
      <c r="C413" s="207"/>
      <c r="D413" s="207"/>
      <c r="E413" s="207"/>
      <c r="F413" s="207"/>
      <c r="G413" s="207"/>
      <c r="H413" s="207"/>
      <c r="I413" s="207"/>
      <c r="J413" s="207"/>
      <c r="K413" s="207"/>
      <c r="L413" s="207"/>
      <c r="M413" s="207"/>
      <c r="N413" s="207"/>
      <c r="O413" s="207"/>
      <c r="P413" s="207"/>
      <c r="Q413" s="207"/>
      <c r="R413" s="207"/>
      <c r="S413" s="207"/>
      <c r="T413" s="207"/>
      <c r="U413" s="207"/>
      <c r="V413" s="207"/>
      <c r="W413" s="207"/>
      <c r="X413" s="207"/>
      <c r="Y413" s="207"/>
      <c r="Z413" s="207"/>
    </row>
    <row r="414" spans="1:26" ht="15.75" customHeight="1">
      <c r="A414" s="207"/>
      <c r="B414" s="207"/>
      <c r="C414" s="207"/>
      <c r="D414" s="207"/>
      <c r="E414" s="207"/>
      <c r="F414" s="207"/>
      <c r="G414" s="207"/>
      <c r="H414" s="207"/>
      <c r="I414" s="207"/>
      <c r="J414" s="207"/>
      <c r="K414" s="207"/>
      <c r="L414" s="207"/>
      <c r="M414" s="207"/>
      <c r="N414" s="207"/>
      <c r="O414" s="207"/>
      <c r="P414" s="207"/>
      <c r="Q414" s="207"/>
      <c r="R414" s="207"/>
      <c r="S414" s="207"/>
      <c r="T414" s="207"/>
      <c r="U414" s="207"/>
      <c r="V414" s="207"/>
      <c r="W414" s="207"/>
      <c r="X414" s="207"/>
      <c r="Y414" s="207"/>
      <c r="Z414" s="207"/>
    </row>
    <row r="415" spans="1:26" ht="15.75" customHeight="1">
      <c r="A415" s="207"/>
      <c r="B415" s="207"/>
      <c r="C415" s="207"/>
      <c r="D415" s="207"/>
      <c r="E415" s="207"/>
      <c r="F415" s="207"/>
      <c r="G415" s="207"/>
      <c r="H415" s="207"/>
      <c r="I415" s="207"/>
      <c r="J415" s="207"/>
      <c r="K415" s="207"/>
      <c r="L415" s="207"/>
      <c r="M415" s="207"/>
      <c r="N415" s="207"/>
      <c r="O415" s="207"/>
      <c r="P415" s="207"/>
      <c r="Q415" s="207"/>
      <c r="R415" s="207"/>
      <c r="S415" s="207"/>
      <c r="T415" s="207"/>
      <c r="U415" s="207"/>
      <c r="V415" s="207"/>
      <c r="W415" s="207"/>
      <c r="X415" s="207"/>
      <c r="Y415" s="207"/>
      <c r="Z415" s="207"/>
    </row>
    <row r="416" spans="1:26" ht="15.75" customHeight="1">
      <c r="A416" s="207"/>
      <c r="B416" s="207"/>
      <c r="C416" s="207"/>
      <c r="D416" s="207"/>
      <c r="E416" s="207"/>
      <c r="F416" s="207"/>
      <c r="G416" s="207"/>
      <c r="H416" s="207"/>
      <c r="I416" s="207"/>
      <c r="J416" s="207"/>
      <c r="K416" s="207"/>
      <c r="L416" s="207"/>
      <c r="M416" s="207"/>
      <c r="N416" s="207"/>
      <c r="O416" s="207"/>
      <c r="P416" s="207"/>
      <c r="Q416" s="207"/>
      <c r="R416" s="207"/>
      <c r="S416" s="207"/>
      <c r="T416" s="207"/>
      <c r="U416" s="207"/>
      <c r="V416" s="207"/>
      <c r="W416" s="207"/>
      <c r="X416" s="207"/>
      <c r="Y416" s="207"/>
      <c r="Z416" s="207"/>
    </row>
    <row r="417" spans="1:26" ht="15.75" customHeight="1">
      <c r="A417" s="207"/>
      <c r="B417" s="207"/>
      <c r="C417" s="207"/>
      <c r="D417" s="207"/>
      <c r="E417" s="207"/>
      <c r="F417" s="207"/>
      <c r="G417" s="207"/>
      <c r="H417" s="207"/>
      <c r="I417" s="207"/>
      <c r="J417" s="207"/>
      <c r="K417" s="207"/>
      <c r="L417" s="207"/>
      <c r="M417" s="207"/>
      <c r="N417" s="207"/>
      <c r="O417" s="207"/>
      <c r="P417" s="207"/>
      <c r="Q417" s="207"/>
      <c r="R417" s="207"/>
      <c r="S417" s="207"/>
      <c r="T417" s="207"/>
      <c r="U417" s="207"/>
      <c r="V417" s="207"/>
      <c r="W417" s="207"/>
      <c r="X417" s="207"/>
      <c r="Y417" s="207"/>
      <c r="Z417" s="207"/>
    </row>
    <row r="418" spans="1:26" ht="15.75" customHeight="1">
      <c r="A418" s="207"/>
      <c r="B418" s="207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07"/>
      <c r="O418" s="207"/>
      <c r="P418" s="207"/>
      <c r="Q418" s="207"/>
      <c r="R418" s="207"/>
      <c r="S418" s="207"/>
      <c r="T418" s="207"/>
      <c r="U418" s="207"/>
      <c r="V418" s="207"/>
      <c r="W418" s="207"/>
      <c r="X418" s="207"/>
      <c r="Y418" s="207"/>
      <c r="Z418" s="207"/>
    </row>
    <row r="419" spans="1:26" ht="15.75" customHeight="1">
      <c r="A419" s="207"/>
      <c r="B419" s="207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07"/>
      <c r="O419" s="207"/>
      <c r="P419" s="207"/>
      <c r="Q419" s="207"/>
      <c r="R419" s="207"/>
      <c r="S419" s="207"/>
      <c r="T419" s="207"/>
      <c r="U419" s="207"/>
      <c r="V419" s="207"/>
      <c r="W419" s="207"/>
      <c r="X419" s="207"/>
      <c r="Y419" s="207"/>
      <c r="Z419" s="207"/>
    </row>
    <row r="420" spans="1:26" ht="15.75" customHeight="1">
      <c r="A420" s="207"/>
      <c r="B420" s="207"/>
      <c r="C420" s="207"/>
      <c r="D420" s="207"/>
      <c r="E420" s="207"/>
      <c r="F420" s="207"/>
      <c r="G420" s="207"/>
      <c r="H420" s="207"/>
      <c r="I420" s="207"/>
      <c r="J420" s="207"/>
      <c r="K420" s="207"/>
      <c r="L420" s="207"/>
      <c r="M420" s="207"/>
      <c r="N420" s="207"/>
      <c r="O420" s="207"/>
      <c r="P420" s="207"/>
      <c r="Q420" s="207"/>
      <c r="R420" s="207"/>
      <c r="S420" s="207"/>
      <c r="T420" s="207"/>
      <c r="U420" s="207"/>
      <c r="V420" s="207"/>
      <c r="W420" s="207"/>
      <c r="X420" s="207"/>
      <c r="Y420" s="207"/>
      <c r="Z420" s="207"/>
    </row>
    <row r="421" spans="1:26" ht="15.75" customHeight="1">
      <c r="A421" s="207"/>
      <c r="B421" s="207"/>
      <c r="C421" s="207"/>
      <c r="D421" s="207"/>
      <c r="E421" s="207"/>
      <c r="F421" s="207"/>
      <c r="G421" s="207"/>
      <c r="H421" s="207"/>
      <c r="I421" s="207"/>
      <c r="J421" s="207"/>
      <c r="K421" s="207"/>
      <c r="L421" s="207"/>
      <c r="M421" s="207"/>
      <c r="N421" s="207"/>
      <c r="O421" s="207"/>
      <c r="P421" s="207"/>
      <c r="Q421" s="207"/>
      <c r="R421" s="207"/>
      <c r="S421" s="207"/>
      <c r="T421" s="207"/>
      <c r="U421" s="207"/>
      <c r="V421" s="207"/>
      <c r="W421" s="207"/>
      <c r="X421" s="207"/>
      <c r="Y421" s="207"/>
      <c r="Z421" s="207"/>
    </row>
    <row r="422" spans="1:26" ht="15.75" customHeight="1">
      <c r="A422" s="207"/>
      <c r="B422" s="207"/>
      <c r="C422" s="207"/>
      <c r="D422" s="207"/>
      <c r="E422" s="207"/>
      <c r="F422" s="207"/>
      <c r="G422" s="207"/>
      <c r="H422" s="207"/>
      <c r="I422" s="207"/>
      <c r="J422" s="207"/>
      <c r="K422" s="207"/>
      <c r="L422" s="207"/>
      <c r="M422" s="207"/>
      <c r="N422" s="207"/>
      <c r="O422" s="207"/>
      <c r="P422" s="207"/>
      <c r="Q422" s="207"/>
      <c r="R422" s="207"/>
      <c r="S422" s="207"/>
      <c r="T422" s="207"/>
      <c r="U422" s="207"/>
      <c r="V422" s="207"/>
      <c r="W422" s="207"/>
      <c r="X422" s="207"/>
      <c r="Y422" s="207"/>
      <c r="Z422" s="207"/>
    </row>
    <row r="423" spans="1:26" ht="15.75" customHeight="1">
      <c r="A423" s="207"/>
      <c r="B423" s="207"/>
      <c r="C423" s="207"/>
      <c r="D423" s="207"/>
      <c r="E423" s="207"/>
      <c r="F423" s="207"/>
      <c r="G423" s="207"/>
      <c r="H423" s="207"/>
      <c r="I423" s="207"/>
      <c r="J423" s="207"/>
      <c r="K423" s="207"/>
      <c r="L423" s="207"/>
      <c r="M423" s="207"/>
      <c r="N423" s="207"/>
      <c r="O423" s="207"/>
      <c r="P423" s="207"/>
      <c r="Q423" s="207"/>
      <c r="R423" s="207"/>
      <c r="S423" s="207"/>
      <c r="T423" s="207"/>
      <c r="U423" s="207"/>
      <c r="V423" s="207"/>
      <c r="W423" s="207"/>
      <c r="X423" s="207"/>
      <c r="Y423" s="207"/>
      <c r="Z423" s="207"/>
    </row>
    <row r="424" spans="1:26" ht="15.75" customHeight="1">
      <c r="A424" s="207"/>
      <c r="B424" s="207"/>
      <c r="C424" s="207"/>
      <c r="D424" s="207"/>
      <c r="E424" s="207"/>
      <c r="F424" s="207"/>
      <c r="G424" s="207"/>
      <c r="H424" s="207"/>
      <c r="I424" s="207"/>
      <c r="J424" s="207"/>
      <c r="K424" s="207"/>
      <c r="L424" s="207"/>
      <c r="M424" s="207"/>
      <c r="N424" s="207"/>
      <c r="O424" s="207"/>
      <c r="P424" s="207"/>
      <c r="Q424" s="207"/>
      <c r="R424" s="207"/>
      <c r="S424" s="207"/>
      <c r="T424" s="207"/>
      <c r="U424" s="207"/>
      <c r="V424" s="207"/>
      <c r="W424" s="207"/>
      <c r="X424" s="207"/>
      <c r="Y424" s="207"/>
      <c r="Z424" s="207"/>
    </row>
    <row r="425" spans="1:26" ht="15.75" customHeight="1">
      <c r="A425" s="207"/>
      <c r="B425" s="207"/>
      <c r="C425" s="207"/>
      <c r="D425" s="207"/>
      <c r="E425" s="207"/>
      <c r="F425" s="207"/>
      <c r="G425" s="207"/>
      <c r="H425" s="207"/>
      <c r="I425" s="207"/>
      <c r="J425" s="207"/>
      <c r="K425" s="207"/>
      <c r="L425" s="207"/>
      <c r="M425" s="207"/>
      <c r="N425" s="207"/>
      <c r="O425" s="207"/>
      <c r="P425" s="207"/>
      <c r="Q425" s="207"/>
      <c r="R425" s="207"/>
      <c r="S425" s="207"/>
      <c r="T425" s="207"/>
      <c r="U425" s="207"/>
      <c r="V425" s="207"/>
      <c r="W425" s="207"/>
      <c r="X425" s="207"/>
      <c r="Y425" s="207"/>
      <c r="Z425" s="207"/>
    </row>
    <row r="426" spans="1:26" ht="15.75" customHeight="1">
      <c r="A426" s="207"/>
      <c r="B426" s="207"/>
      <c r="C426" s="207"/>
      <c r="D426" s="207"/>
      <c r="E426" s="207"/>
      <c r="F426" s="207"/>
      <c r="G426" s="207"/>
      <c r="H426" s="207"/>
      <c r="I426" s="207"/>
      <c r="J426" s="207"/>
      <c r="K426" s="207"/>
      <c r="L426" s="207"/>
      <c r="M426" s="207"/>
      <c r="N426" s="207"/>
      <c r="O426" s="207"/>
      <c r="P426" s="207"/>
      <c r="Q426" s="207"/>
      <c r="R426" s="207"/>
      <c r="S426" s="207"/>
      <c r="T426" s="207"/>
      <c r="U426" s="207"/>
      <c r="V426" s="207"/>
      <c r="W426" s="207"/>
      <c r="X426" s="207"/>
      <c r="Y426" s="207"/>
      <c r="Z426" s="207"/>
    </row>
    <row r="427" spans="1:26" ht="15.75" customHeight="1">
      <c r="A427" s="207"/>
      <c r="B427" s="207"/>
      <c r="C427" s="207"/>
      <c r="D427" s="207"/>
      <c r="E427" s="207"/>
      <c r="F427" s="207"/>
      <c r="G427" s="207"/>
      <c r="H427" s="207"/>
      <c r="I427" s="207"/>
      <c r="J427" s="207"/>
      <c r="K427" s="207"/>
      <c r="L427" s="207"/>
      <c r="M427" s="207"/>
      <c r="N427" s="207"/>
      <c r="O427" s="207"/>
      <c r="P427" s="207"/>
      <c r="Q427" s="207"/>
      <c r="R427" s="207"/>
      <c r="S427" s="207"/>
      <c r="T427" s="207"/>
      <c r="U427" s="207"/>
      <c r="V427" s="207"/>
      <c r="W427" s="207"/>
      <c r="X427" s="207"/>
      <c r="Y427" s="207"/>
      <c r="Z427" s="207"/>
    </row>
    <row r="428" spans="1:26" ht="15.75" customHeight="1">
      <c r="A428" s="207"/>
      <c r="B428" s="207"/>
      <c r="C428" s="207"/>
      <c r="D428" s="207"/>
      <c r="E428" s="207"/>
      <c r="F428" s="207"/>
      <c r="G428" s="207"/>
      <c r="H428" s="207"/>
      <c r="I428" s="207"/>
      <c r="J428" s="207"/>
      <c r="K428" s="207"/>
      <c r="L428" s="207"/>
      <c r="M428" s="207"/>
      <c r="N428" s="207"/>
      <c r="O428" s="207"/>
      <c r="P428" s="207"/>
      <c r="Q428" s="207"/>
      <c r="R428" s="207"/>
      <c r="S428" s="207"/>
      <c r="T428" s="207"/>
      <c r="U428" s="207"/>
      <c r="V428" s="207"/>
      <c r="W428" s="207"/>
      <c r="X428" s="207"/>
      <c r="Y428" s="207"/>
      <c r="Z428" s="207"/>
    </row>
    <row r="429" spans="1:26" ht="15.75" customHeight="1">
      <c r="A429" s="207"/>
      <c r="B429" s="207"/>
      <c r="C429" s="207"/>
      <c r="D429" s="207"/>
      <c r="E429" s="207"/>
      <c r="F429" s="207"/>
      <c r="G429" s="207"/>
      <c r="H429" s="207"/>
      <c r="I429" s="207"/>
      <c r="J429" s="207"/>
      <c r="K429" s="207"/>
      <c r="L429" s="207"/>
      <c r="M429" s="207"/>
      <c r="N429" s="207"/>
      <c r="O429" s="207"/>
      <c r="P429" s="207"/>
      <c r="Q429" s="207"/>
      <c r="R429" s="207"/>
      <c r="S429" s="207"/>
      <c r="T429" s="207"/>
      <c r="U429" s="207"/>
      <c r="V429" s="207"/>
      <c r="W429" s="207"/>
      <c r="X429" s="207"/>
      <c r="Y429" s="207"/>
      <c r="Z429" s="207"/>
    </row>
    <row r="430" spans="1:26" ht="15.75" customHeight="1">
      <c r="A430" s="207"/>
      <c r="B430" s="207"/>
      <c r="C430" s="207"/>
      <c r="D430" s="207"/>
      <c r="E430" s="207"/>
      <c r="F430" s="207"/>
      <c r="G430" s="207"/>
      <c r="H430" s="207"/>
      <c r="I430" s="207"/>
      <c r="J430" s="207"/>
      <c r="K430" s="207"/>
      <c r="L430" s="207"/>
      <c r="M430" s="207"/>
      <c r="N430" s="207"/>
      <c r="O430" s="207"/>
      <c r="P430" s="207"/>
      <c r="Q430" s="207"/>
      <c r="R430" s="207"/>
      <c r="S430" s="207"/>
      <c r="T430" s="207"/>
      <c r="U430" s="207"/>
      <c r="V430" s="207"/>
      <c r="W430" s="207"/>
      <c r="X430" s="207"/>
      <c r="Y430" s="207"/>
      <c r="Z430" s="207"/>
    </row>
    <row r="431" spans="1:26" ht="15.75" customHeight="1">
      <c r="A431" s="207"/>
      <c r="B431" s="207"/>
      <c r="C431" s="207"/>
      <c r="D431" s="207"/>
      <c r="E431" s="207"/>
      <c r="F431" s="207"/>
      <c r="G431" s="207"/>
      <c r="H431" s="207"/>
      <c r="I431" s="207"/>
      <c r="J431" s="207"/>
      <c r="K431" s="207"/>
      <c r="L431" s="207"/>
      <c r="M431" s="207"/>
      <c r="N431" s="207"/>
      <c r="O431" s="207"/>
      <c r="P431" s="207"/>
      <c r="Q431" s="207"/>
      <c r="R431" s="207"/>
      <c r="S431" s="207"/>
      <c r="T431" s="207"/>
      <c r="U431" s="207"/>
      <c r="V431" s="207"/>
      <c r="W431" s="207"/>
      <c r="X431" s="207"/>
      <c r="Y431" s="207"/>
      <c r="Z431" s="207"/>
    </row>
    <row r="432" spans="1:26" ht="15.75" customHeight="1">
      <c r="A432" s="207"/>
      <c r="B432" s="207"/>
      <c r="C432" s="207"/>
      <c r="D432" s="207"/>
      <c r="E432" s="207"/>
      <c r="F432" s="207"/>
      <c r="G432" s="207"/>
      <c r="H432" s="207"/>
      <c r="I432" s="207"/>
      <c r="J432" s="207"/>
      <c r="K432" s="207"/>
      <c r="L432" s="207"/>
      <c r="M432" s="207"/>
      <c r="N432" s="207"/>
      <c r="O432" s="207"/>
      <c r="P432" s="207"/>
      <c r="Q432" s="207"/>
      <c r="R432" s="207"/>
      <c r="S432" s="207"/>
      <c r="T432" s="207"/>
      <c r="U432" s="207"/>
      <c r="V432" s="207"/>
      <c r="W432" s="207"/>
      <c r="X432" s="207"/>
      <c r="Y432" s="207"/>
      <c r="Z432" s="207"/>
    </row>
    <row r="433" spans="1:26" ht="15.75" customHeight="1">
      <c r="A433" s="207"/>
      <c r="B433" s="207"/>
      <c r="C433" s="207"/>
      <c r="D433" s="207"/>
      <c r="E433" s="207"/>
      <c r="F433" s="207"/>
      <c r="G433" s="207"/>
      <c r="H433" s="207"/>
      <c r="I433" s="207"/>
      <c r="J433" s="207"/>
      <c r="K433" s="207"/>
      <c r="L433" s="207"/>
      <c r="M433" s="207"/>
      <c r="N433" s="207"/>
      <c r="O433" s="207"/>
      <c r="P433" s="207"/>
      <c r="Q433" s="207"/>
      <c r="R433" s="207"/>
      <c r="S433" s="207"/>
      <c r="T433" s="207"/>
      <c r="U433" s="207"/>
      <c r="V433" s="207"/>
      <c r="W433" s="207"/>
      <c r="X433" s="207"/>
      <c r="Y433" s="207"/>
      <c r="Z433" s="207"/>
    </row>
    <row r="434" spans="1:26" ht="15.75" customHeight="1">
      <c r="A434" s="207"/>
      <c r="B434" s="207"/>
      <c r="C434" s="207"/>
      <c r="D434" s="207"/>
      <c r="E434" s="207"/>
      <c r="F434" s="207"/>
      <c r="G434" s="207"/>
      <c r="H434" s="207"/>
      <c r="I434" s="207"/>
      <c r="J434" s="207"/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7"/>
      <c r="X434" s="207"/>
      <c r="Y434" s="207"/>
      <c r="Z434" s="207"/>
    </row>
    <row r="435" spans="1:26" ht="15.75" customHeight="1">
      <c r="A435" s="207"/>
      <c r="B435" s="207"/>
      <c r="C435" s="207"/>
      <c r="D435" s="207"/>
      <c r="E435" s="207"/>
      <c r="F435" s="207"/>
      <c r="G435" s="207"/>
      <c r="H435" s="207"/>
      <c r="I435" s="207"/>
      <c r="J435" s="207"/>
      <c r="K435" s="207"/>
      <c r="L435" s="207"/>
      <c r="M435" s="207"/>
      <c r="N435" s="207"/>
      <c r="O435" s="207"/>
      <c r="P435" s="207"/>
      <c r="Q435" s="207"/>
      <c r="R435" s="207"/>
      <c r="S435" s="207"/>
      <c r="T435" s="207"/>
      <c r="U435" s="207"/>
      <c r="V435" s="207"/>
      <c r="W435" s="207"/>
      <c r="X435" s="207"/>
      <c r="Y435" s="207"/>
      <c r="Z435" s="207"/>
    </row>
    <row r="436" spans="1:26" ht="15.75" customHeight="1">
      <c r="A436" s="207"/>
      <c r="B436" s="207"/>
      <c r="C436" s="207"/>
      <c r="D436" s="207"/>
      <c r="E436" s="207"/>
      <c r="F436" s="207"/>
      <c r="G436" s="207"/>
      <c r="H436" s="207"/>
      <c r="I436" s="207"/>
      <c r="J436" s="207"/>
      <c r="K436" s="207"/>
      <c r="L436" s="207"/>
      <c r="M436" s="207"/>
      <c r="N436" s="207"/>
      <c r="O436" s="207"/>
      <c r="P436" s="207"/>
      <c r="Q436" s="207"/>
      <c r="R436" s="207"/>
      <c r="S436" s="207"/>
      <c r="T436" s="207"/>
      <c r="U436" s="207"/>
      <c r="V436" s="207"/>
      <c r="W436" s="207"/>
      <c r="X436" s="207"/>
      <c r="Y436" s="207"/>
      <c r="Z436" s="207"/>
    </row>
    <row r="437" spans="1:26" ht="15.75" customHeight="1">
      <c r="A437" s="207"/>
      <c r="B437" s="207"/>
      <c r="C437" s="207"/>
      <c r="D437" s="207"/>
      <c r="E437" s="207"/>
      <c r="F437" s="207"/>
      <c r="G437" s="207"/>
      <c r="H437" s="207"/>
      <c r="I437" s="207"/>
      <c r="J437" s="207"/>
      <c r="K437" s="207"/>
      <c r="L437" s="207"/>
      <c r="M437" s="207"/>
      <c r="N437" s="207"/>
      <c r="O437" s="207"/>
      <c r="P437" s="207"/>
      <c r="Q437" s="207"/>
      <c r="R437" s="207"/>
      <c r="S437" s="207"/>
      <c r="T437" s="207"/>
      <c r="U437" s="207"/>
      <c r="V437" s="207"/>
      <c r="W437" s="207"/>
      <c r="X437" s="207"/>
      <c r="Y437" s="207"/>
      <c r="Z437" s="207"/>
    </row>
    <row r="438" spans="1:26" ht="15.75" customHeight="1">
      <c r="A438" s="207"/>
      <c r="B438" s="207"/>
      <c r="C438" s="207"/>
      <c r="D438" s="207"/>
      <c r="E438" s="207"/>
      <c r="F438" s="207"/>
      <c r="G438" s="207"/>
      <c r="H438" s="207"/>
      <c r="I438" s="207"/>
      <c r="J438" s="207"/>
      <c r="K438" s="207"/>
      <c r="L438" s="207"/>
      <c r="M438" s="207"/>
      <c r="N438" s="207"/>
      <c r="O438" s="207"/>
      <c r="P438" s="207"/>
      <c r="Q438" s="207"/>
      <c r="R438" s="207"/>
      <c r="S438" s="207"/>
      <c r="T438" s="207"/>
      <c r="U438" s="207"/>
      <c r="V438" s="207"/>
      <c r="W438" s="207"/>
      <c r="X438" s="207"/>
      <c r="Y438" s="207"/>
      <c r="Z438" s="207"/>
    </row>
    <row r="439" spans="1:26" ht="15.75" customHeight="1">
      <c r="A439" s="207"/>
      <c r="B439" s="207"/>
      <c r="C439" s="207"/>
      <c r="D439" s="207"/>
      <c r="E439" s="207"/>
      <c r="F439" s="207"/>
      <c r="G439" s="207"/>
      <c r="H439" s="207"/>
      <c r="I439" s="207"/>
      <c r="J439" s="207"/>
      <c r="K439" s="207"/>
      <c r="L439" s="207"/>
      <c r="M439" s="207"/>
      <c r="N439" s="207"/>
      <c r="O439" s="207"/>
      <c r="P439" s="207"/>
      <c r="Q439" s="207"/>
      <c r="R439" s="207"/>
      <c r="S439" s="207"/>
      <c r="T439" s="207"/>
      <c r="U439" s="207"/>
      <c r="V439" s="207"/>
      <c r="W439" s="207"/>
      <c r="X439" s="207"/>
      <c r="Y439" s="207"/>
      <c r="Z439" s="207"/>
    </row>
    <row r="440" spans="1:26" ht="15.75" customHeight="1">
      <c r="A440" s="207"/>
      <c r="B440" s="207"/>
      <c r="C440" s="207"/>
      <c r="D440" s="207"/>
      <c r="E440" s="207"/>
      <c r="F440" s="207"/>
      <c r="G440" s="207"/>
      <c r="H440" s="207"/>
      <c r="I440" s="207"/>
      <c r="J440" s="207"/>
      <c r="K440" s="207"/>
      <c r="L440" s="207"/>
      <c r="M440" s="207"/>
      <c r="N440" s="207"/>
      <c r="O440" s="207"/>
      <c r="P440" s="207"/>
      <c r="Q440" s="207"/>
      <c r="R440" s="207"/>
      <c r="S440" s="207"/>
      <c r="T440" s="207"/>
      <c r="U440" s="207"/>
      <c r="V440" s="207"/>
      <c r="W440" s="207"/>
      <c r="X440" s="207"/>
      <c r="Y440" s="207"/>
      <c r="Z440" s="207"/>
    </row>
    <row r="441" spans="1:26" ht="15.75" customHeight="1">
      <c r="A441" s="207"/>
      <c r="B441" s="207"/>
      <c r="C441" s="207"/>
      <c r="D441" s="207"/>
      <c r="E441" s="207"/>
      <c r="F441" s="207"/>
      <c r="G441" s="207"/>
      <c r="H441" s="207"/>
      <c r="I441" s="207"/>
      <c r="J441" s="207"/>
      <c r="K441" s="207"/>
      <c r="L441" s="207"/>
      <c r="M441" s="207"/>
      <c r="N441" s="207"/>
      <c r="O441" s="207"/>
      <c r="P441" s="207"/>
      <c r="Q441" s="207"/>
      <c r="R441" s="207"/>
      <c r="S441" s="207"/>
      <c r="T441" s="207"/>
      <c r="U441" s="207"/>
      <c r="V441" s="207"/>
      <c r="W441" s="207"/>
      <c r="X441" s="207"/>
      <c r="Y441" s="207"/>
      <c r="Z441" s="207"/>
    </row>
    <row r="442" spans="1:26" ht="15.75" customHeight="1">
      <c r="A442" s="207"/>
      <c r="B442" s="207"/>
      <c r="C442" s="207"/>
      <c r="D442" s="207"/>
      <c r="E442" s="207"/>
      <c r="F442" s="207"/>
      <c r="G442" s="207"/>
      <c r="H442" s="207"/>
      <c r="I442" s="207"/>
      <c r="J442" s="207"/>
      <c r="K442" s="207"/>
      <c r="L442" s="207"/>
      <c r="M442" s="207"/>
      <c r="N442" s="207"/>
      <c r="O442" s="207"/>
      <c r="P442" s="207"/>
      <c r="Q442" s="207"/>
      <c r="R442" s="207"/>
      <c r="S442" s="207"/>
      <c r="T442" s="207"/>
      <c r="U442" s="207"/>
      <c r="V442" s="207"/>
      <c r="W442" s="207"/>
      <c r="X442" s="207"/>
      <c r="Y442" s="207"/>
      <c r="Z442" s="207"/>
    </row>
    <row r="443" spans="1:26" ht="15.75" customHeight="1">
      <c r="A443" s="207"/>
      <c r="B443" s="207"/>
      <c r="C443" s="207"/>
      <c r="D443" s="207"/>
      <c r="E443" s="207"/>
      <c r="F443" s="207"/>
      <c r="G443" s="207"/>
      <c r="H443" s="207"/>
      <c r="I443" s="207"/>
      <c r="J443" s="207"/>
      <c r="K443" s="207"/>
      <c r="L443" s="207"/>
      <c r="M443" s="207"/>
      <c r="N443" s="207"/>
      <c r="O443" s="207"/>
      <c r="P443" s="207"/>
      <c r="Q443" s="207"/>
      <c r="R443" s="207"/>
      <c r="S443" s="207"/>
      <c r="T443" s="207"/>
      <c r="U443" s="207"/>
      <c r="V443" s="207"/>
      <c r="W443" s="207"/>
      <c r="X443" s="207"/>
      <c r="Y443" s="207"/>
      <c r="Z443" s="207"/>
    </row>
    <row r="444" spans="1:26" ht="15.75" customHeight="1">
      <c r="A444" s="207"/>
      <c r="B444" s="207"/>
      <c r="C444" s="207"/>
      <c r="D444" s="207"/>
      <c r="E444" s="207"/>
      <c r="F444" s="207"/>
      <c r="G444" s="207"/>
      <c r="H444" s="207"/>
      <c r="I444" s="207"/>
      <c r="J444" s="207"/>
      <c r="K444" s="207"/>
      <c r="L444" s="207"/>
      <c r="M444" s="207"/>
      <c r="N444" s="207"/>
      <c r="O444" s="207"/>
      <c r="P444" s="207"/>
      <c r="Q444" s="207"/>
      <c r="R444" s="207"/>
      <c r="S444" s="207"/>
      <c r="T444" s="207"/>
      <c r="U444" s="207"/>
      <c r="V444" s="207"/>
      <c r="W444" s="207"/>
      <c r="X444" s="207"/>
      <c r="Y444" s="207"/>
      <c r="Z444" s="207"/>
    </row>
    <row r="445" spans="1:26" ht="15.75" customHeight="1">
      <c r="A445" s="207"/>
      <c r="B445" s="207"/>
      <c r="C445" s="207"/>
      <c r="D445" s="207"/>
      <c r="E445" s="207"/>
      <c r="F445" s="207"/>
      <c r="G445" s="207"/>
      <c r="H445" s="207"/>
      <c r="I445" s="207"/>
      <c r="J445" s="207"/>
      <c r="K445" s="207"/>
      <c r="L445" s="207"/>
      <c r="M445" s="207"/>
      <c r="N445" s="207"/>
      <c r="O445" s="207"/>
      <c r="P445" s="207"/>
      <c r="Q445" s="207"/>
      <c r="R445" s="207"/>
      <c r="S445" s="207"/>
      <c r="T445" s="207"/>
      <c r="U445" s="207"/>
      <c r="V445" s="207"/>
      <c r="W445" s="207"/>
      <c r="X445" s="207"/>
      <c r="Y445" s="207"/>
      <c r="Z445" s="207"/>
    </row>
    <row r="446" spans="1:26" ht="15.75" customHeight="1">
      <c r="A446" s="207"/>
      <c r="B446" s="207"/>
      <c r="C446" s="207"/>
      <c r="D446" s="207"/>
      <c r="E446" s="207"/>
      <c r="F446" s="207"/>
      <c r="G446" s="207"/>
      <c r="H446" s="207"/>
      <c r="I446" s="207"/>
      <c r="J446" s="207"/>
      <c r="K446" s="207"/>
      <c r="L446" s="207"/>
      <c r="M446" s="207"/>
      <c r="N446" s="207"/>
      <c r="O446" s="207"/>
      <c r="P446" s="207"/>
      <c r="Q446" s="207"/>
      <c r="R446" s="207"/>
      <c r="S446" s="207"/>
      <c r="T446" s="207"/>
      <c r="U446" s="207"/>
      <c r="V446" s="207"/>
      <c r="W446" s="207"/>
      <c r="X446" s="207"/>
      <c r="Y446" s="207"/>
      <c r="Z446" s="207"/>
    </row>
    <row r="447" spans="1:26" ht="15.75" customHeight="1">
      <c r="A447" s="207"/>
      <c r="B447" s="207"/>
      <c r="C447" s="207"/>
      <c r="D447" s="207"/>
      <c r="E447" s="207"/>
      <c r="F447" s="207"/>
      <c r="G447" s="207"/>
      <c r="H447" s="207"/>
      <c r="I447" s="207"/>
      <c r="J447" s="207"/>
      <c r="K447" s="207"/>
      <c r="L447" s="207"/>
      <c r="M447" s="207"/>
      <c r="N447" s="207"/>
      <c r="O447" s="207"/>
      <c r="P447" s="207"/>
      <c r="Q447" s="207"/>
      <c r="R447" s="207"/>
      <c r="S447" s="207"/>
      <c r="T447" s="207"/>
      <c r="U447" s="207"/>
      <c r="V447" s="207"/>
      <c r="W447" s="207"/>
      <c r="X447" s="207"/>
      <c r="Y447" s="207"/>
      <c r="Z447" s="207"/>
    </row>
    <row r="448" spans="1:26" ht="15.75" customHeight="1">
      <c r="A448" s="207"/>
      <c r="B448" s="207"/>
      <c r="C448" s="207"/>
      <c r="D448" s="207"/>
      <c r="E448" s="207"/>
      <c r="F448" s="207"/>
      <c r="G448" s="207"/>
      <c r="H448" s="207"/>
      <c r="I448" s="207"/>
      <c r="J448" s="207"/>
      <c r="K448" s="207"/>
      <c r="L448" s="207"/>
      <c r="M448" s="207"/>
      <c r="N448" s="207"/>
      <c r="O448" s="207"/>
      <c r="P448" s="207"/>
      <c r="Q448" s="207"/>
      <c r="R448" s="207"/>
      <c r="S448" s="207"/>
      <c r="T448" s="207"/>
      <c r="U448" s="207"/>
      <c r="V448" s="207"/>
      <c r="W448" s="207"/>
      <c r="X448" s="207"/>
      <c r="Y448" s="207"/>
      <c r="Z448" s="207"/>
    </row>
    <row r="449" spans="1:26" ht="15.75" customHeight="1">
      <c r="A449" s="207"/>
      <c r="B449" s="207"/>
      <c r="C449" s="207"/>
      <c r="D449" s="207"/>
      <c r="E449" s="207"/>
      <c r="F449" s="207"/>
      <c r="G449" s="207"/>
      <c r="H449" s="207"/>
      <c r="I449" s="207"/>
      <c r="J449" s="207"/>
      <c r="K449" s="207"/>
      <c r="L449" s="207"/>
      <c r="M449" s="207"/>
      <c r="N449" s="207"/>
      <c r="O449" s="207"/>
      <c r="P449" s="207"/>
      <c r="Q449" s="207"/>
      <c r="R449" s="207"/>
      <c r="S449" s="207"/>
      <c r="T449" s="207"/>
      <c r="U449" s="207"/>
      <c r="V449" s="207"/>
      <c r="W449" s="207"/>
      <c r="X449" s="207"/>
      <c r="Y449" s="207"/>
      <c r="Z449" s="207"/>
    </row>
    <row r="450" spans="1:26" ht="15.75" customHeight="1">
      <c r="A450" s="207"/>
      <c r="B450" s="207"/>
      <c r="C450" s="207"/>
      <c r="D450" s="207"/>
      <c r="E450" s="207"/>
      <c r="F450" s="207"/>
      <c r="G450" s="207"/>
      <c r="H450" s="207"/>
      <c r="I450" s="207"/>
      <c r="J450" s="207"/>
      <c r="K450" s="207"/>
      <c r="L450" s="207"/>
      <c r="M450" s="207"/>
      <c r="N450" s="207"/>
      <c r="O450" s="207"/>
      <c r="P450" s="207"/>
      <c r="Q450" s="207"/>
      <c r="R450" s="207"/>
      <c r="S450" s="207"/>
      <c r="T450" s="207"/>
      <c r="U450" s="207"/>
      <c r="V450" s="207"/>
      <c r="W450" s="207"/>
      <c r="X450" s="207"/>
      <c r="Y450" s="207"/>
      <c r="Z450" s="207"/>
    </row>
    <row r="451" spans="1:26" ht="15.75" customHeight="1">
      <c r="A451" s="207"/>
      <c r="B451" s="207"/>
      <c r="C451" s="207"/>
      <c r="D451" s="207"/>
      <c r="E451" s="207"/>
      <c r="F451" s="207"/>
      <c r="G451" s="207"/>
      <c r="H451" s="207"/>
      <c r="I451" s="207"/>
      <c r="J451" s="207"/>
      <c r="K451" s="207"/>
      <c r="L451" s="207"/>
      <c r="M451" s="207"/>
      <c r="N451" s="207"/>
      <c r="O451" s="207"/>
      <c r="P451" s="207"/>
      <c r="Q451" s="207"/>
      <c r="R451" s="207"/>
      <c r="S451" s="207"/>
      <c r="T451" s="207"/>
      <c r="U451" s="207"/>
      <c r="V451" s="207"/>
      <c r="W451" s="207"/>
      <c r="X451" s="207"/>
      <c r="Y451" s="207"/>
      <c r="Z451" s="207"/>
    </row>
    <row r="452" spans="1:26" ht="15.75" customHeight="1">
      <c r="A452" s="207"/>
      <c r="B452" s="207"/>
      <c r="C452" s="207"/>
      <c r="D452" s="207"/>
      <c r="E452" s="207"/>
      <c r="F452" s="207"/>
      <c r="G452" s="207"/>
      <c r="H452" s="207"/>
      <c r="I452" s="207"/>
      <c r="J452" s="207"/>
      <c r="K452" s="207"/>
      <c r="L452" s="207"/>
      <c r="M452" s="207"/>
      <c r="N452" s="207"/>
      <c r="O452" s="207"/>
      <c r="P452" s="207"/>
      <c r="Q452" s="207"/>
      <c r="R452" s="207"/>
      <c r="S452" s="207"/>
      <c r="T452" s="207"/>
      <c r="U452" s="207"/>
      <c r="V452" s="207"/>
      <c r="W452" s="207"/>
      <c r="X452" s="207"/>
      <c r="Y452" s="207"/>
      <c r="Z452" s="207"/>
    </row>
    <row r="453" spans="1:26" ht="15.75" customHeight="1">
      <c r="A453" s="207"/>
      <c r="B453" s="207"/>
      <c r="C453" s="207"/>
      <c r="D453" s="207"/>
      <c r="E453" s="207"/>
      <c r="F453" s="207"/>
      <c r="G453" s="207"/>
      <c r="H453" s="207"/>
      <c r="I453" s="207"/>
      <c r="J453" s="207"/>
      <c r="K453" s="207"/>
      <c r="L453" s="207"/>
      <c r="M453" s="207"/>
      <c r="N453" s="207"/>
      <c r="O453" s="207"/>
      <c r="P453" s="207"/>
      <c r="Q453" s="207"/>
      <c r="R453" s="207"/>
      <c r="S453" s="207"/>
      <c r="T453" s="207"/>
      <c r="U453" s="207"/>
      <c r="V453" s="207"/>
      <c r="W453" s="207"/>
      <c r="X453" s="207"/>
      <c r="Y453" s="207"/>
      <c r="Z453" s="207"/>
    </row>
    <row r="454" spans="1:26" ht="15.75" customHeight="1">
      <c r="A454" s="207"/>
      <c r="B454" s="207"/>
      <c r="C454" s="207"/>
      <c r="D454" s="207"/>
      <c r="E454" s="207"/>
      <c r="F454" s="207"/>
      <c r="G454" s="207"/>
      <c r="H454" s="207"/>
      <c r="I454" s="207"/>
      <c r="J454" s="207"/>
      <c r="K454" s="207"/>
      <c r="L454" s="207"/>
      <c r="M454" s="207"/>
      <c r="N454" s="207"/>
      <c r="O454" s="207"/>
      <c r="P454" s="207"/>
      <c r="Q454" s="207"/>
      <c r="R454" s="207"/>
      <c r="S454" s="207"/>
      <c r="T454" s="207"/>
      <c r="U454" s="207"/>
      <c r="V454" s="207"/>
      <c r="W454" s="207"/>
      <c r="X454" s="207"/>
      <c r="Y454" s="207"/>
      <c r="Z454" s="207"/>
    </row>
    <row r="455" spans="1:26" ht="15.75" customHeight="1">
      <c r="A455" s="207"/>
      <c r="B455" s="207"/>
      <c r="C455" s="207"/>
      <c r="D455" s="207"/>
      <c r="E455" s="207"/>
      <c r="F455" s="207"/>
      <c r="G455" s="207"/>
      <c r="H455" s="207"/>
      <c r="I455" s="207"/>
      <c r="J455" s="207"/>
      <c r="K455" s="207"/>
      <c r="L455" s="207"/>
      <c r="M455" s="207"/>
      <c r="N455" s="207"/>
      <c r="O455" s="207"/>
      <c r="P455" s="207"/>
      <c r="Q455" s="207"/>
      <c r="R455" s="207"/>
      <c r="S455" s="207"/>
      <c r="T455" s="207"/>
      <c r="U455" s="207"/>
      <c r="V455" s="207"/>
      <c r="W455" s="207"/>
      <c r="X455" s="207"/>
      <c r="Y455" s="207"/>
      <c r="Z455" s="207"/>
    </row>
    <row r="456" spans="1:26" ht="15.75" customHeight="1">
      <c r="A456" s="207"/>
      <c r="B456" s="207"/>
      <c r="C456" s="207"/>
      <c r="D456" s="207"/>
      <c r="E456" s="207"/>
      <c r="F456" s="207"/>
      <c r="G456" s="207"/>
      <c r="H456" s="207"/>
      <c r="I456" s="207"/>
      <c r="J456" s="207"/>
      <c r="K456" s="207"/>
      <c r="L456" s="207"/>
      <c r="M456" s="207"/>
      <c r="N456" s="207"/>
      <c r="O456" s="207"/>
      <c r="P456" s="207"/>
      <c r="Q456" s="207"/>
      <c r="R456" s="207"/>
      <c r="S456" s="207"/>
      <c r="T456" s="207"/>
      <c r="U456" s="207"/>
      <c r="V456" s="207"/>
      <c r="W456" s="207"/>
      <c r="X456" s="207"/>
      <c r="Y456" s="207"/>
      <c r="Z456" s="207"/>
    </row>
    <row r="457" spans="1:26" ht="15.75" customHeight="1">
      <c r="A457" s="207"/>
      <c r="B457" s="207"/>
      <c r="C457" s="207"/>
      <c r="D457" s="207"/>
      <c r="E457" s="207"/>
      <c r="F457" s="207"/>
      <c r="G457" s="207"/>
      <c r="H457" s="207"/>
      <c r="I457" s="207"/>
      <c r="J457" s="207"/>
      <c r="K457" s="207"/>
      <c r="L457" s="207"/>
      <c r="M457" s="207"/>
      <c r="N457" s="207"/>
      <c r="O457" s="207"/>
      <c r="P457" s="207"/>
      <c r="Q457" s="207"/>
      <c r="R457" s="207"/>
      <c r="S457" s="207"/>
      <c r="T457" s="207"/>
      <c r="U457" s="207"/>
      <c r="V457" s="207"/>
      <c r="W457" s="207"/>
      <c r="X457" s="207"/>
      <c r="Y457" s="207"/>
      <c r="Z457" s="207"/>
    </row>
    <row r="458" spans="1:26" ht="15.75" customHeight="1">
      <c r="A458" s="207"/>
      <c r="B458" s="207"/>
      <c r="C458" s="207"/>
      <c r="D458" s="207"/>
      <c r="E458" s="207"/>
      <c r="F458" s="207"/>
      <c r="G458" s="207"/>
      <c r="H458" s="207"/>
      <c r="I458" s="207"/>
      <c r="J458" s="207"/>
      <c r="K458" s="207"/>
      <c r="L458" s="207"/>
      <c r="M458" s="207"/>
      <c r="N458" s="207"/>
      <c r="O458" s="207"/>
      <c r="P458" s="207"/>
      <c r="Q458" s="207"/>
      <c r="R458" s="207"/>
      <c r="S458" s="207"/>
      <c r="T458" s="207"/>
      <c r="U458" s="207"/>
      <c r="V458" s="207"/>
      <c r="W458" s="207"/>
      <c r="X458" s="207"/>
      <c r="Y458" s="207"/>
      <c r="Z458" s="207"/>
    </row>
    <row r="459" spans="1:26" ht="15.75" customHeight="1">
      <c r="A459" s="207"/>
      <c r="B459" s="207"/>
      <c r="C459" s="207"/>
      <c r="D459" s="207"/>
      <c r="E459" s="207"/>
      <c r="F459" s="207"/>
      <c r="G459" s="207"/>
      <c r="H459" s="207"/>
      <c r="I459" s="207"/>
      <c r="J459" s="207"/>
      <c r="K459" s="207"/>
      <c r="L459" s="207"/>
      <c r="M459" s="207"/>
      <c r="N459" s="207"/>
      <c r="O459" s="207"/>
      <c r="P459" s="207"/>
      <c r="Q459" s="207"/>
      <c r="R459" s="207"/>
      <c r="S459" s="207"/>
      <c r="T459" s="207"/>
      <c r="U459" s="207"/>
      <c r="V459" s="207"/>
      <c r="W459" s="207"/>
      <c r="X459" s="207"/>
      <c r="Y459" s="207"/>
      <c r="Z459" s="207"/>
    </row>
    <row r="460" spans="1:26" ht="15.75" customHeight="1">
      <c r="A460" s="207"/>
      <c r="B460" s="207"/>
      <c r="C460" s="207"/>
      <c r="D460" s="207"/>
      <c r="E460" s="207"/>
      <c r="F460" s="207"/>
      <c r="G460" s="207"/>
      <c r="H460" s="207"/>
      <c r="I460" s="207"/>
      <c r="J460" s="207"/>
      <c r="K460" s="207"/>
      <c r="L460" s="207"/>
      <c r="M460" s="207"/>
      <c r="N460" s="207"/>
      <c r="O460" s="207"/>
      <c r="P460" s="207"/>
      <c r="Q460" s="207"/>
      <c r="R460" s="207"/>
      <c r="S460" s="207"/>
      <c r="T460" s="207"/>
      <c r="U460" s="207"/>
      <c r="V460" s="207"/>
      <c r="W460" s="207"/>
      <c r="X460" s="207"/>
      <c r="Y460" s="207"/>
      <c r="Z460" s="207"/>
    </row>
    <row r="461" spans="1:26" ht="15.75" customHeight="1">
      <c r="A461" s="207"/>
      <c r="B461" s="207"/>
      <c r="C461" s="207"/>
      <c r="D461" s="207"/>
      <c r="E461" s="207"/>
      <c r="F461" s="207"/>
      <c r="G461" s="207"/>
      <c r="H461" s="207"/>
      <c r="I461" s="207"/>
      <c r="J461" s="207"/>
      <c r="K461" s="207"/>
      <c r="L461" s="207"/>
      <c r="M461" s="207"/>
      <c r="N461" s="207"/>
      <c r="O461" s="207"/>
      <c r="P461" s="207"/>
      <c r="Q461" s="207"/>
      <c r="R461" s="207"/>
      <c r="S461" s="207"/>
      <c r="T461" s="207"/>
      <c r="U461" s="207"/>
      <c r="V461" s="207"/>
      <c r="W461" s="207"/>
      <c r="X461" s="207"/>
      <c r="Y461" s="207"/>
      <c r="Z461" s="207"/>
    </row>
    <row r="462" spans="1:26" ht="15.75" customHeight="1">
      <c r="A462" s="207"/>
      <c r="B462" s="207"/>
      <c r="C462" s="207"/>
      <c r="D462" s="207"/>
      <c r="E462" s="207"/>
      <c r="F462" s="207"/>
      <c r="G462" s="207"/>
      <c r="H462" s="207"/>
      <c r="I462" s="207"/>
      <c r="J462" s="207"/>
      <c r="K462" s="207"/>
      <c r="L462" s="207"/>
      <c r="M462" s="207"/>
      <c r="N462" s="207"/>
      <c r="O462" s="207"/>
      <c r="P462" s="207"/>
      <c r="Q462" s="207"/>
      <c r="R462" s="207"/>
      <c r="S462" s="207"/>
      <c r="T462" s="207"/>
      <c r="U462" s="207"/>
      <c r="V462" s="207"/>
      <c r="W462" s="207"/>
      <c r="X462" s="207"/>
      <c r="Y462" s="207"/>
      <c r="Z462" s="207"/>
    </row>
    <row r="463" spans="1:26" ht="15.75" customHeight="1">
      <c r="A463" s="207"/>
      <c r="B463" s="207"/>
      <c r="C463" s="207"/>
      <c r="D463" s="207"/>
      <c r="E463" s="207"/>
      <c r="F463" s="207"/>
      <c r="G463" s="207"/>
      <c r="H463" s="207"/>
      <c r="I463" s="207"/>
      <c r="J463" s="207"/>
      <c r="K463" s="207"/>
      <c r="L463" s="207"/>
      <c r="M463" s="207"/>
      <c r="N463" s="207"/>
      <c r="O463" s="207"/>
      <c r="P463" s="207"/>
      <c r="Q463" s="207"/>
      <c r="R463" s="207"/>
      <c r="S463" s="207"/>
      <c r="T463" s="207"/>
      <c r="U463" s="207"/>
      <c r="V463" s="207"/>
      <c r="W463" s="207"/>
      <c r="X463" s="207"/>
      <c r="Y463" s="207"/>
      <c r="Z463" s="207"/>
    </row>
    <row r="464" spans="1:26" ht="15.75" customHeight="1">
      <c r="A464" s="207"/>
      <c r="B464" s="207"/>
      <c r="C464" s="207"/>
      <c r="D464" s="207"/>
      <c r="E464" s="207"/>
      <c r="F464" s="207"/>
      <c r="G464" s="207"/>
      <c r="H464" s="207"/>
      <c r="I464" s="207"/>
      <c r="J464" s="207"/>
      <c r="K464" s="207"/>
      <c r="L464" s="207"/>
      <c r="M464" s="207"/>
      <c r="N464" s="207"/>
      <c r="O464" s="207"/>
      <c r="P464" s="207"/>
      <c r="Q464" s="207"/>
      <c r="R464" s="207"/>
      <c r="S464" s="207"/>
      <c r="T464" s="207"/>
      <c r="U464" s="207"/>
      <c r="V464" s="207"/>
      <c r="W464" s="207"/>
      <c r="X464" s="207"/>
      <c r="Y464" s="207"/>
      <c r="Z464" s="207"/>
    </row>
    <row r="465" spans="1:26" ht="15.75" customHeight="1">
      <c r="A465" s="207"/>
      <c r="B465" s="207"/>
      <c r="C465" s="207"/>
      <c r="D465" s="207"/>
      <c r="E465" s="207"/>
      <c r="F465" s="207"/>
      <c r="G465" s="207"/>
      <c r="H465" s="207"/>
      <c r="I465" s="207"/>
      <c r="J465" s="207"/>
      <c r="K465" s="207"/>
      <c r="L465" s="207"/>
      <c r="M465" s="207"/>
      <c r="N465" s="207"/>
      <c r="O465" s="207"/>
      <c r="P465" s="207"/>
      <c r="Q465" s="207"/>
      <c r="R465" s="207"/>
      <c r="S465" s="207"/>
      <c r="T465" s="207"/>
      <c r="U465" s="207"/>
      <c r="V465" s="207"/>
      <c r="W465" s="207"/>
      <c r="X465" s="207"/>
      <c r="Y465" s="207"/>
      <c r="Z465" s="207"/>
    </row>
    <row r="466" spans="1:26" ht="15.75" customHeight="1">
      <c r="A466" s="207"/>
      <c r="B466" s="207"/>
      <c r="C466" s="207"/>
      <c r="D466" s="207"/>
      <c r="E466" s="207"/>
      <c r="F466" s="207"/>
      <c r="G466" s="207"/>
      <c r="H466" s="207"/>
      <c r="I466" s="207"/>
      <c r="J466" s="207"/>
      <c r="K466" s="207"/>
      <c r="L466" s="207"/>
      <c r="M466" s="207"/>
      <c r="N466" s="207"/>
      <c r="O466" s="207"/>
      <c r="P466" s="207"/>
      <c r="Q466" s="207"/>
      <c r="R466" s="207"/>
      <c r="S466" s="207"/>
      <c r="T466" s="207"/>
      <c r="U466" s="207"/>
      <c r="V466" s="207"/>
      <c r="W466" s="207"/>
      <c r="X466" s="207"/>
      <c r="Y466" s="207"/>
      <c r="Z466" s="207"/>
    </row>
    <row r="467" spans="1:26" ht="15.75" customHeight="1">
      <c r="A467" s="207"/>
      <c r="B467" s="207"/>
      <c r="C467" s="207"/>
      <c r="D467" s="207"/>
      <c r="E467" s="207"/>
      <c r="F467" s="207"/>
      <c r="G467" s="207"/>
      <c r="H467" s="207"/>
      <c r="I467" s="207"/>
      <c r="J467" s="207"/>
      <c r="K467" s="207"/>
      <c r="L467" s="207"/>
      <c r="M467" s="207"/>
      <c r="N467" s="207"/>
      <c r="O467" s="207"/>
      <c r="P467" s="207"/>
      <c r="Q467" s="207"/>
      <c r="R467" s="207"/>
      <c r="S467" s="207"/>
      <c r="T467" s="207"/>
      <c r="U467" s="207"/>
      <c r="V467" s="207"/>
      <c r="W467" s="207"/>
      <c r="X467" s="207"/>
      <c r="Y467" s="207"/>
      <c r="Z467" s="207"/>
    </row>
    <row r="468" spans="1:26" ht="15.75" customHeight="1">
      <c r="A468" s="207"/>
      <c r="B468" s="207"/>
      <c r="C468" s="207"/>
      <c r="D468" s="207"/>
      <c r="E468" s="207"/>
      <c r="F468" s="207"/>
      <c r="G468" s="207"/>
      <c r="H468" s="207"/>
      <c r="I468" s="207"/>
      <c r="J468" s="207"/>
      <c r="K468" s="207"/>
      <c r="L468" s="207"/>
      <c r="M468" s="207"/>
      <c r="N468" s="207"/>
      <c r="O468" s="207"/>
      <c r="P468" s="207"/>
      <c r="Q468" s="207"/>
      <c r="R468" s="207"/>
      <c r="S468" s="207"/>
      <c r="T468" s="207"/>
      <c r="U468" s="207"/>
      <c r="V468" s="207"/>
      <c r="W468" s="207"/>
      <c r="X468" s="207"/>
      <c r="Y468" s="207"/>
      <c r="Z468" s="207"/>
    </row>
    <row r="469" spans="1:26" ht="15.75" customHeight="1">
      <c r="A469" s="207"/>
      <c r="B469" s="207"/>
      <c r="C469" s="207"/>
      <c r="D469" s="207"/>
      <c r="E469" s="207"/>
      <c r="F469" s="207"/>
      <c r="G469" s="207"/>
      <c r="H469" s="207"/>
      <c r="I469" s="207"/>
      <c r="J469" s="207"/>
      <c r="K469" s="207"/>
      <c r="L469" s="207"/>
      <c r="M469" s="207"/>
      <c r="N469" s="207"/>
      <c r="O469" s="207"/>
      <c r="P469" s="207"/>
      <c r="Q469" s="207"/>
      <c r="R469" s="207"/>
      <c r="S469" s="207"/>
      <c r="T469" s="207"/>
      <c r="U469" s="207"/>
      <c r="V469" s="207"/>
      <c r="W469" s="207"/>
      <c r="X469" s="207"/>
      <c r="Y469" s="207"/>
      <c r="Z469" s="207"/>
    </row>
    <row r="470" spans="1:26" ht="15.75" customHeight="1">
      <c r="A470" s="207"/>
      <c r="B470" s="207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07"/>
      <c r="O470" s="207"/>
      <c r="P470" s="207"/>
      <c r="Q470" s="207"/>
      <c r="R470" s="207"/>
      <c r="S470" s="207"/>
      <c r="T470" s="207"/>
      <c r="U470" s="207"/>
      <c r="V470" s="207"/>
      <c r="W470" s="207"/>
      <c r="X470" s="207"/>
      <c r="Y470" s="207"/>
      <c r="Z470" s="207"/>
    </row>
    <row r="471" spans="1:26" ht="15.75" customHeight="1">
      <c r="A471" s="207"/>
      <c r="B471" s="207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07"/>
      <c r="O471" s="207"/>
      <c r="P471" s="207"/>
      <c r="Q471" s="207"/>
      <c r="R471" s="207"/>
      <c r="S471" s="207"/>
      <c r="T471" s="207"/>
      <c r="U471" s="207"/>
      <c r="V471" s="207"/>
      <c r="W471" s="207"/>
      <c r="X471" s="207"/>
      <c r="Y471" s="207"/>
      <c r="Z471" s="207"/>
    </row>
    <row r="472" spans="1:26" ht="15.75" customHeight="1">
      <c r="A472" s="207"/>
      <c r="B472" s="207"/>
      <c r="C472" s="207"/>
      <c r="D472" s="207"/>
      <c r="E472" s="207"/>
      <c r="F472" s="207"/>
      <c r="G472" s="207"/>
      <c r="H472" s="207"/>
      <c r="I472" s="207"/>
      <c r="J472" s="207"/>
      <c r="K472" s="207"/>
      <c r="L472" s="207"/>
      <c r="M472" s="207"/>
      <c r="N472" s="207"/>
      <c r="O472" s="207"/>
      <c r="P472" s="207"/>
      <c r="Q472" s="207"/>
      <c r="R472" s="207"/>
      <c r="S472" s="207"/>
      <c r="T472" s="207"/>
      <c r="U472" s="207"/>
      <c r="V472" s="207"/>
      <c r="W472" s="207"/>
      <c r="X472" s="207"/>
      <c r="Y472" s="207"/>
      <c r="Z472" s="207"/>
    </row>
    <row r="473" spans="1:26" ht="15.75" customHeight="1">
      <c r="A473" s="207"/>
      <c r="B473" s="207"/>
      <c r="C473" s="207"/>
      <c r="D473" s="207"/>
      <c r="E473" s="207"/>
      <c r="F473" s="207"/>
      <c r="G473" s="207"/>
      <c r="H473" s="207"/>
      <c r="I473" s="207"/>
      <c r="J473" s="207"/>
      <c r="K473" s="207"/>
      <c r="L473" s="207"/>
      <c r="M473" s="207"/>
      <c r="N473" s="207"/>
      <c r="O473" s="207"/>
      <c r="P473" s="207"/>
      <c r="Q473" s="207"/>
      <c r="R473" s="207"/>
      <c r="S473" s="207"/>
      <c r="T473" s="207"/>
      <c r="U473" s="207"/>
      <c r="V473" s="207"/>
      <c r="W473" s="207"/>
      <c r="X473" s="207"/>
      <c r="Y473" s="207"/>
      <c r="Z473" s="207"/>
    </row>
    <row r="474" spans="1:26" ht="15.75" customHeight="1">
      <c r="A474" s="207"/>
      <c r="B474" s="207"/>
      <c r="C474" s="207"/>
      <c r="D474" s="207"/>
      <c r="E474" s="207"/>
      <c r="F474" s="207"/>
      <c r="G474" s="207"/>
      <c r="H474" s="207"/>
      <c r="I474" s="207"/>
      <c r="J474" s="207"/>
      <c r="K474" s="207"/>
      <c r="L474" s="207"/>
      <c r="M474" s="207"/>
      <c r="N474" s="207"/>
      <c r="O474" s="207"/>
      <c r="P474" s="207"/>
      <c r="Q474" s="207"/>
      <c r="R474" s="207"/>
      <c r="S474" s="207"/>
      <c r="T474" s="207"/>
      <c r="U474" s="207"/>
      <c r="V474" s="207"/>
      <c r="W474" s="207"/>
      <c r="X474" s="207"/>
      <c r="Y474" s="207"/>
      <c r="Z474" s="207"/>
    </row>
    <row r="475" spans="1:26" ht="15.75" customHeight="1">
      <c r="A475" s="207"/>
      <c r="B475" s="207"/>
      <c r="C475" s="207"/>
      <c r="D475" s="207"/>
      <c r="E475" s="207"/>
      <c r="F475" s="207"/>
      <c r="G475" s="207"/>
      <c r="H475" s="207"/>
      <c r="I475" s="207"/>
      <c r="J475" s="207"/>
      <c r="K475" s="207"/>
      <c r="L475" s="207"/>
      <c r="M475" s="207"/>
      <c r="N475" s="207"/>
      <c r="O475" s="207"/>
      <c r="P475" s="207"/>
      <c r="Q475" s="207"/>
      <c r="R475" s="207"/>
      <c r="S475" s="207"/>
      <c r="T475" s="207"/>
      <c r="U475" s="207"/>
      <c r="V475" s="207"/>
      <c r="W475" s="207"/>
      <c r="X475" s="207"/>
      <c r="Y475" s="207"/>
      <c r="Z475" s="207"/>
    </row>
    <row r="476" spans="1:26" ht="15.75" customHeight="1">
      <c r="A476" s="207"/>
      <c r="B476" s="207"/>
      <c r="C476" s="207"/>
      <c r="D476" s="207"/>
      <c r="E476" s="207"/>
      <c r="F476" s="207"/>
      <c r="G476" s="207"/>
      <c r="H476" s="207"/>
      <c r="I476" s="207"/>
      <c r="J476" s="207"/>
      <c r="K476" s="207"/>
      <c r="L476" s="207"/>
      <c r="M476" s="207"/>
      <c r="N476" s="207"/>
      <c r="O476" s="207"/>
      <c r="P476" s="207"/>
      <c r="Q476" s="207"/>
      <c r="R476" s="207"/>
      <c r="S476" s="207"/>
      <c r="T476" s="207"/>
      <c r="U476" s="207"/>
      <c r="V476" s="207"/>
      <c r="W476" s="207"/>
      <c r="X476" s="207"/>
      <c r="Y476" s="207"/>
      <c r="Z476" s="207"/>
    </row>
    <row r="477" spans="1:26" ht="15.75" customHeight="1">
      <c r="A477" s="207"/>
      <c r="B477" s="207"/>
      <c r="C477" s="207"/>
      <c r="D477" s="207"/>
      <c r="E477" s="207"/>
      <c r="F477" s="207"/>
      <c r="G477" s="207"/>
      <c r="H477" s="207"/>
      <c r="I477" s="207"/>
      <c r="J477" s="207"/>
      <c r="K477" s="207"/>
      <c r="L477" s="207"/>
      <c r="M477" s="207"/>
      <c r="N477" s="207"/>
      <c r="O477" s="207"/>
      <c r="P477" s="207"/>
      <c r="Q477" s="207"/>
      <c r="R477" s="207"/>
      <c r="S477" s="207"/>
      <c r="T477" s="207"/>
      <c r="U477" s="207"/>
      <c r="V477" s="207"/>
      <c r="W477" s="207"/>
      <c r="X477" s="207"/>
      <c r="Y477" s="207"/>
      <c r="Z477" s="207"/>
    </row>
    <row r="478" spans="1:26" ht="15.75" customHeight="1">
      <c r="A478" s="207"/>
      <c r="B478" s="207"/>
      <c r="C478" s="207"/>
      <c r="D478" s="207"/>
      <c r="E478" s="207"/>
      <c r="F478" s="207"/>
      <c r="G478" s="207"/>
      <c r="H478" s="207"/>
      <c r="I478" s="207"/>
      <c r="J478" s="207"/>
      <c r="K478" s="207"/>
      <c r="L478" s="207"/>
      <c r="M478" s="207"/>
      <c r="N478" s="207"/>
      <c r="O478" s="207"/>
      <c r="P478" s="207"/>
      <c r="Q478" s="207"/>
      <c r="R478" s="207"/>
      <c r="S478" s="207"/>
      <c r="T478" s="207"/>
      <c r="U478" s="207"/>
      <c r="V478" s="207"/>
      <c r="W478" s="207"/>
      <c r="X478" s="207"/>
      <c r="Y478" s="207"/>
      <c r="Z478" s="207"/>
    </row>
    <row r="479" spans="1:26" ht="15.75" customHeight="1">
      <c r="A479" s="207"/>
      <c r="B479" s="207"/>
      <c r="C479" s="207"/>
      <c r="D479" s="207"/>
      <c r="E479" s="207"/>
      <c r="F479" s="207"/>
      <c r="G479" s="207"/>
      <c r="H479" s="207"/>
      <c r="I479" s="207"/>
      <c r="J479" s="207"/>
      <c r="K479" s="207"/>
      <c r="L479" s="207"/>
      <c r="M479" s="207"/>
      <c r="N479" s="207"/>
      <c r="O479" s="207"/>
      <c r="P479" s="207"/>
      <c r="Q479" s="207"/>
      <c r="R479" s="207"/>
      <c r="S479" s="207"/>
      <c r="T479" s="207"/>
      <c r="U479" s="207"/>
      <c r="V479" s="207"/>
      <c r="W479" s="207"/>
      <c r="X479" s="207"/>
      <c r="Y479" s="207"/>
      <c r="Z479" s="207"/>
    </row>
    <row r="480" spans="1:26" ht="15.75" customHeight="1">
      <c r="A480" s="207"/>
      <c r="B480" s="207"/>
      <c r="C480" s="207"/>
      <c r="D480" s="207"/>
      <c r="E480" s="207"/>
      <c r="F480" s="207"/>
      <c r="G480" s="207"/>
      <c r="H480" s="207"/>
      <c r="I480" s="207"/>
      <c r="J480" s="207"/>
      <c r="K480" s="207"/>
      <c r="L480" s="207"/>
      <c r="M480" s="207"/>
      <c r="N480" s="207"/>
      <c r="O480" s="207"/>
      <c r="P480" s="207"/>
      <c r="Q480" s="207"/>
      <c r="R480" s="207"/>
      <c r="S480" s="207"/>
      <c r="T480" s="207"/>
      <c r="U480" s="207"/>
      <c r="V480" s="207"/>
      <c r="W480" s="207"/>
      <c r="X480" s="207"/>
      <c r="Y480" s="207"/>
      <c r="Z480" s="207"/>
    </row>
    <row r="481" spans="1:26" ht="15.75" customHeight="1">
      <c r="A481" s="207"/>
      <c r="B481" s="207"/>
      <c r="C481" s="207"/>
      <c r="D481" s="207"/>
      <c r="E481" s="207"/>
      <c r="F481" s="207"/>
      <c r="G481" s="207"/>
      <c r="H481" s="207"/>
      <c r="I481" s="207"/>
      <c r="J481" s="207"/>
      <c r="K481" s="207"/>
      <c r="L481" s="207"/>
      <c r="M481" s="207"/>
      <c r="N481" s="207"/>
      <c r="O481" s="207"/>
      <c r="P481" s="207"/>
      <c r="Q481" s="207"/>
      <c r="R481" s="207"/>
      <c r="S481" s="207"/>
      <c r="T481" s="207"/>
      <c r="U481" s="207"/>
      <c r="V481" s="207"/>
      <c r="W481" s="207"/>
      <c r="X481" s="207"/>
      <c r="Y481" s="207"/>
      <c r="Z481" s="207"/>
    </row>
    <row r="482" spans="1:26" ht="15.75" customHeight="1">
      <c r="A482" s="207"/>
      <c r="B482" s="207"/>
      <c r="C482" s="207"/>
      <c r="D482" s="207"/>
      <c r="E482" s="207"/>
      <c r="F482" s="207"/>
      <c r="G482" s="207"/>
      <c r="H482" s="207"/>
      <c r="I482" s="207"/>
      <c r="J482" s="207"/>
      <c r="K482" s="207"/>
      <c r="L482" s="207"/>
      <c r="M482" s="207"/>
      <c r="N482" s="207"/>
      <c r="O482" s="207"/>
      <c r="P482" s="207"/>
      <c r="Q482" s="207"/>
      <c r="R482" s="207"/>
      <c r="S482" s="207"/>
      <c r="T482" s="207"/>
      <c r="U482" s="207"/>
      <c r="V482" s="207"/>
      <c r="W482" s="207"/>
      <c r="X482" s="207"/>
      <c r="Y482" s="207"/>
      <c r="Z482" s="207"/>
    </row>
    <row r="483" spans="1:26" ht="15.75" customHeight="1">
      <c r="A483" s="207"/>
      <c r="B483" s="207"/>
      <c r="C483" s="207"/>
      <c r="D483" s="207"/>
      <c r="E483" s="207"/>
      <c r="F483" s="207"/>
      <c r="G483" s="207"/>
      <c r="H483" s="207"/>
      <c r="I483" s="207"/>
      <c r="J483" s="207"/>
      <c r="K483" s="207"/>
      <c r="L483" s="207"/>
      <c r="M483" s="207"/>
      <c r="N483" s="207"/>
      <c r="O483" s="207"/>
      <c r="P483" s="207"/>
      <c r="Q483" s="207"/>
      <c r="R483" s="207"/>
      <c r="S483" s="207"/>
      <c r="T483" s="207"/>
      <c r="U483" s="207"/>
      <c r="V483" s="207"/>
      <c r="W483" s="207"/>
      <c r="X483" s="207"/>
      <c r="Y483" s="207"/>
      <c r="Z483" s="207"/>
    </row>
    <row r="484" spans="1:26" ht="15.75" customHeight="1">
      <c r="A484" s="207"/>
      <c r="B484" s="207"/>
      <c r="C484" s="207"/>
      <c r="D484" s="207"/>
      <c r="E484" s="207"/>
      <c r="F484" s="207"/>
      <c r="G484" s="207"/>
      <c r="H484" s="207"/>
      <c r="I484" s="207"/>
      <c r="J484" s="207"/>
      <c r="K484" s="207"/>
      <c r="L484" s="207"/>
      <c r="M484" s="207"/>
      <c r="N484" s="207"/>
      <c r="O484" s="207"/>
      <c r="P484" s="207"/>
      <c r="Q484" s="207"/>
      <c r="R484" s="207"/>
      <c r="S484" s="207"/>
      <c r="T484" s="207"/>
      <c r="U484" s="207"/>
      <c r="V484" s="207"/>
      <c r="W484" s="207"/>
      <c r="X484" s="207"/>
      <c r="Y484" s="207"/>
      <c r="Z484" s="207"/>
    </row>
    <row r="485" spans="1:26" ht="15.75" customHeight="1">
      <c r="A485" s="207"/>
      <c r="B485" s="207"/>
      <c r="C485" s="207"/>
      <c r="D485" s="207"/>
      <c r="E485" s="207"/>
      <c r="F485" s="207"/>
      <c r="G485" s="207"/>
      <c r="H485" s="207"/>
      <c r="I485" s="207"/>
      <c r="J485" s="207"/>
      <c r="K485" s="207"/>
      <c r="L485" s="207"/>
      <c r="M485" s="207"/>
      <c r="N485" s="207"/>
      <c r="O485" s="207"/>
      <c r="P485" s="207"/>
      <c r="Q485" s="207"/>
      <c r="R485" s="207"/>
      <c r="S485" s="207"/>
      <c r="T485" s="207"/>
      <c r="U485" s="207"/>
      <c r="V485" s="207"/>
      <c r="W485" s="207"/>
      <c r="X485" s="207"/>
      <c r="Y485" s="207"/>
      <c r="Z485" s="207"/>
    </row>
    <row r="486" spans="1:26" ht="15.75" customHeight="1">
      <c r="A486" s="207"/>
      <c r="B486" s="207"/>
      <c r="C486" s="207"/>
      <c r="D486" s="207"/>
      <c r="E486" s="207"/>
      <c r="F486" s="207"/>
      <c r="G486" s="207"/>
      <c r="H486" s="207"/>
      <c r="I486" s="207"/>
      <c r="J486" s="207"/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7"/>
      <c r="X486" s="207"/>
      <c r="Y486" s="207"/>
      <c r="Z486" s="207"/>
    </row>
    <row r="487" spans="1:26" ht="15.75" customHeight="1">
      <c r="A487" s="207"/>
      <c r="B487" s="207"/>
      <c r="C487" s="207"/>
      <c r="D487" s="207"/>
      <c r="E487" s="207"/>
      <c r="F487" s="207"/>
      <c r="G487" s="207"/>
      <c r="H487" s="207"/>
      <c r="I487" s="207"/>
      <c r="J487" s="207"/>
      <c r="K487" s="207"/>
      <c r="L487" s="207"/>
      <c r="M487" s="207"/>
      <c r="N487" s="207"/>
      <c r="O487" s="207"/>
      <c r="P487" s="207"/>
      <c r="Q487" s="207"/>
      <c r="R487" s="207"/>
      <c r="S487" s="207"/>
      <c r="T487" s="207"/>
      <c r="U487" s="207"/>
      <c r="V487" s="207"/>
      <c r="W487" s="207"/>
      <c r="X487" s="207"/>
      <c r="Y487" s="207"/>
      <c r="Z487" s="207"/>
    </row>
    <row r="488" spans="1:26" ht="15.75" customHeight="1">
      <c r="A488" s="207"/>
      <c r="B488" s="207"/>
      <c r="C488" s="207"/>
      <c r="D488" s="207"/>
      <c r="E488" s="207"/>
      <c r="F488" s="207"/>
      <c r="G488" s="207"/>
      <c r="H488" s="207"/>
      <c r="I488" s="207"/>
      <c r="J488" s="207"/>
      <c r="K488" s="207"/>
      <c r="L488" s="207"/>
      <c r="M488" s="207"/>
      <c r="N488" s="207"/>
      <c r="O488" s="207"/>
      <c r="P488" s="207"/>
      <c r="Q488" s="207"/>
      <c r="R488" s="207"/>
      <c r="S488" s="207"/>
      <c r="T488" s="207"/>
      <c r="U488" s="207"/>
      <c r="V488" s="207"/>
      <c r="W488" s="207"/>
      <c r="X488" s="207"/>
      <c r="Y488" s="207"/>
      <c r="Z488" s="207"/>
    </row>
    <row r="489" spans="1:26" ht="15.75" customHeight="1">
      <c r="A489" s="207"/>
      <c r="B489" s="207"/>
      <c r="C489" s="207"/>
      <c r="D489" s="207"/>
      <c r="E489" s="207"/>
      <c r="F489" s="207"/>
      <c r="G489" s="207"/>
      <c r="H489" s="207"/>
      <c r="I489" s="207"/>
      <c r="J489" s="207"/>
      <c r="K489" s="207"/>
      <c r="L489" s="207"/>
      <c r="M489" s="207"/>
      <c r="N489" s="207"/>
      <c r="O489" s="207"/>
      <c r="P489" s="207"/>
      <c r="Q489" s="207"/>
      <c r="R489" s="207"/>
      <c r="S489" s="207"/>
      <c r="T489" s="207"/>
      <c r="U489" s="207"/>
      <c r="V489" s="207"/>
      <c r="W489" s="207"/>
      <c r="X489" s="207"/>
      <c r="Y489" s="207"/>
      <c r="Z489" s="207"/>
    </row>
    <row r="490" spans="1:26" ht="15.75" customHeight="1">
      <c r="A490" s="207"/>
      <c r="B490" s="207"/>
      <c r="C490" s="207"/>
      <c r="D490" s="207"/>
      <c r="E490" s="207"/>
      <c r="F490" s="207"/>
      <c r="G490" s="207"/>
      <c r="H490" s="207"/>
      <c r="I490" s="207"/>
      <c r="J490" s="207"/>
      <c r="K490" s="207"/>
      <c r="L490" s="207"/>
      <c r="M490" s="207"/>
      <c r="N490" s="207"/>
      <c r="O490" s="207"/>
      <c r="P490" s="207"/>
      <c r="Q490" s="207"/>
      <c r="R490" s="207"/>
      <c r="S490" s="207"/>
      <c r="T490" s="207"/>
      <c r="U490" s="207"/>
      <c r="V490" s="207"/>
      <c r="W490" s="207"/>
      <c r="X490" s="207"/>
      <c r="Y490" s="207"/>
      <c r="Z490" s="207"/>
    </row>
    <row r="491" spans="1:26" ht="15.75" customHeight="1">
      <c r="A491" s="207"/>
      <c r="B491" s="207"/>
      <c r="C491" s="207"/>
      <c r="D491" s="207"/>
      <c r="E491" s="207"/>
      <c r="F491" s="207"/>
      <c r="G491" s="207"/>
      <c r="H491" s="207"/>
      <c r="I491" s="207"/>
      <c r="J491" s="207"/>
      <c r="K491" s="207"/>
      <c r="L491" s="207"/>
      <c r="M491" s="207"/>
      <c r="N491" s="207"/>
      <c r="O491" s="207"/>
      <c r="P491" s="207"/>
      <c r="Q491" s="207"/>
      <c r="R491" s="207"/>
      <c r="S491" s="207"/>
      <c r="T491" s="207"/>
      <c r="U491" s="207"/>
      <c r="V491" s="207"/>
      <c r="W491" s="207"/>
      <c r="X491" s="207"/>
      <c r="Y491" s="207"/>
      <c r="Z491" s="207"/>
    </row>
    <row r="492" spans="1:26" ht="15.75" customHeight="1">
      <c r="A492" s="207"/>
      <c r="B492" s="207"/>
      <c r="C492" s="207"/>
      <c r="D492" s="207"/>
      <c r="E492" s="207"/>
      <c r="F492" s="207"/>
      <c r="G492" s="207"/>
      <c r="H492" s="207"/>
      <c r="I492" s="207"/>
      <c r="J492" s="207"/>
      <c r="K492" s="207"/>
      <c r="L492" s="207"/>
      <c r="M492" s="207"/>
      <c r="N492" s="207"/>
      <c r="O492" s="207"/>
      <c r="P492" s="207"/>
      <c r="Q492" s="207"/>
      <c r="R492" s="207"/>
      <c r="S492" s="207"/>
      <c r="T492" s="207"/>
      <c r="U492" s="207"/>
      <c r="V492" s="207"/>
      <c r="W492" s="207"/>
      <c r="X492" s="207"/>
      <c r="Y492" s="207"/>
      <c r="Z492" s="207"/>
    </row>
    <row r="493" spans="1:26" ht="15.75" customHeight="1">
      <c r="A493" s="207"/>
      <c r="B493" s="207"/>
      <c r="C493" s="207"/>
      <c r="D493" s="207"/>
      <c r="E493" s="207"/>
      <c r="F493" s="207"/>
      <c r="G493" s="207"/>
      <c r="H493" s="207"/>
      <c r="I493" s="207"/>
      <c r="J493" s="207"/>
      <c r="K493" s="207"/>
      <c r="L493" s="207"/>
      <c r="M493" s="207"/>
      <c r="N493" s="207"/>
      <c r="O493" s="207"/>
      <c r="P493" s="207"/>
      <c r="Q493" s="207"/>
      <c r="R493" s="207"/>
      <c r="S493" s="207"/>
      <c r="T493" s="207"/>
      <c r="U493" s="207"/>
      <c r="V493" s="207"/>
      <c r="W493" s="207"/>
      <c r="X493" s="207"/>
      <c r="Y493" s="207"/>
      <c r="Z493" s="207"/>
    </row>
    <row r="494" spans="1:26" ht="15.75" customHeight="1">
      <c r="A494" s="207"/>
      <c r="B494" s="207"/>
      <c r="C494" s="207"/>
      <c r="D494" s="207"/>
      <c r="E494" s="207"/>
      <c r="F494" s="207"/>
      <c r="G494" s="207"/>
      <c r="H494" s="207"/>
      <c r="I494" s="207"/>
      <c r="J494" s="207"/>
      <c r="K494" s="207"/>
      <c r="L494" s="207"/>
      <c r="M494" s="207"/>
      <c r="N494" s="207"/>
      <c r="O494" s="207"/>
      <c r="P494" s="207"/>
      <c r="Q494" s="207"/>
      <c r="R494" s="207"/>
      <c r="S494" s="207"/>
      <c r="T494" s="207"/>
      <c r="U494" s="207"/>
      <c r="V494" s="207"/>
      <c r="W494" s="207"/>
      <c r="X494" s="207"/>
      <c r="Y494" s="207"/>
      <c r="Z494" s="207"/>
    </row>
    <row r="495" spans="1:26" ht="15.75" customHeight="1">
      <c r="A495" s="207"/>
      <c r="B495" s="207"/>
      <c r="C495" s="207"/>
      <c r="D495" s="207"/>
      <c r="E495" s="207"/>
      <c r="F495" s="207"/>
      <c r="G495" s="207"/>
      <c r="H495" s="207"/>
      <c r="I495" s="207"/>
      <c r="J495" s="207"/>
      <c r="K495" s="207"/>
      <c r="L495" s="207"/>
      <c r="M495" s="207"/>
      <c r="N495" s="207"/>
      <c r="O495" s="207"/>
      <c r="P495" s="207"/>
      <c r="Q495" s="207"/>
      <c r="R495" s="207"/>
      <c r="S495" s="207"/>
      <c r="T495" s="207"/>
      <c r="U495" s="207"/>
      <c r="V495" s="207"/>
      <c r="W495" s="207"/>
      <c r="X495" s="207"/>
      <c r="Y495" s="207"/>
      <c r="Z495" s="207"/>
    </row>
    <row r="496" spans="1:26" ht="15.75" customHeight="1">
      <c r="A496" s="207"/>
      <c r="B496" s="207"/>
      <c r="C496" s="207"/>
      <c r="D496" s="207"/>
      <c r="E496" s="207"/>
      <c r="F496" s="207"/>
      <c r="G496" s="207"/>
      <c r="H496" s="207"/>
      <c r="I496" s="207"/>
      <c r="J496" s="207"/>
      <c r="K496" s="207"/>
      <c r="L496" s="207"/>
      <c r="M496" s="207"/>
      <c r="N496" s="207"/>
      <c r="O496" s="207"/>
      <c r="P496" s="207"/>
      <c r="Q496" s="207"/>
      <c r="R496" s="207"/>
      <c r="S496" s="207"/>
      <c r="T496" s="207"/>
      <c r="U496" s="207"/>
      <c r="V496" s="207"/>
      <c r="W496" s="207"/>
      <c r="X496" s="207"/>
      <c r="Y496" s="207"/>
      <c r="Z496" s="207"/>
    </row>
    <row r="497" spans="1:26" ht="15.75" customHeight="1">
      <c r="A497" s="207"/>
      <c r="B497" s="207"/>
      <c r="C497" s="207"/>
      <c r="D497" s="207"/>
      <c r="E497" s="207"/>
      <c r="F497" s="207"/>
      <c r="G497" s="207"/>
      <c r="H497" s="207"/>
      <c r="I497" s="207"/>
      <c r="J497" s="207"/>
      <c r="K497" s="207"/>
      <c r="L497" s="207"/>
      <c r="M497" s="207"/>
      <c r="N497" s="207"/>
      <c r="O497" s="207"/>
      <c r="P497" s="207"/>
      <c r="Q497" s="207"/>
      <c r="R497" s="207"/>
      <c r="S497" s="207"/>
      <c r="T497" s="207"/>
      <c r="U497" s="207"/>
      <c r="V497" s="207"/>
      <c r="W497" s="207"/>
      <c r="X497" s="207"/>
      <c r="Y497" s="207"/>
      <c r="Z497" s="207"/>
    </row>
    <row r="498" spans="1:26" ht="15.75" customHeight="1">
      <c r="A498" s="207"/>
      <c r="B498" s="207"/>
      <c r="C498" s="207"/>
      <c r="D498" s="207"/>
      <c r="E498" s="207"/>
      <c r="F498" s="207"/>
      <c r="G498" s="207"/>
      <c r="H498" s="207"/>
      <c r="I498" s="207"/>
      <c r="J498" s="207"/>
      <c r="K498" s="207"/>
      <c r="L498" s="207"/>
      <c r="M498" s="207"/>
      <c r="N498" s="207"/>
      <c r="O498" s="207"/>
      <c r="P498" s="207"/>
      <c r="Q498" s="207"/>
      <c r="R498" s="207"/>
      <c r="S498" s="207"/>
      <c r="T498" s="207"/>
      <c r="U498" s="207"/>
      <c r="V498" s="207"/>
      <c r="W498" s="207"/>
      <c r="X498" s="207"/>
      <c r="Y498" s="207"/>
      <c r="Z498" s="207"/>
    </row>
    <row r="499" spans="1:26" ht="15.75" customHeight="1">
      <c r="A499" s="207"/>
      <c r="B499" s="207"/>
      <c r="C499" s="207"/>
      <c r="D499" s="207"/>
      <c r="E499" s="207"/>
      <c r="F499" s="207"/>
      <c r="G499" s="207"/>
      <c r="H499" s="207"/>
      <c r="I499" s="207"/>
      <c r="J499" s="207"/>
      <c r="K499" s="207"/>
      <c r="L499" s="207"/>
      <c r="M499" s="207"/>
      <c r="N499" s="207"/>
      <c r="O499" s="207"/>
      <c r="P499" s="207"/>
      <c r="Q499" s="207"/>
      <c r="R499" s="207"/>
      <c r="S499" s="207"/>
      <c r="T499" s="207"/>
      <c r="U499" s="207"/>
      <c r="V499" s="207"/>
      <c r="W499" s="207"/>
      <c r="X499" s="207"/>
      <c r="Y499" s="207"/>
      <c r="Z499" s="207"/>
    </row>
    <row r="500" spans="1:26" ht="15.75" customHeight="1">
      <c r="A500" s="207"/>
      <c r="B500" s="207"/>
      <c r="C500" s="207"/>
      <c r="D500" s="207"/>
      <c r="E500" s="207"/>
      <c r="F500" s="207"/>
      <c r="G500" s="207"/>
      <c r="H500" s="207"/>
      <c r="I500" s="207"/>
      <c r="J500" s="207"/>
      <c r="K500" s="207"/>
      <c r="L500" s="207"/>
      <c r="M500" s="207"/>
      <c r="N500" s="207"/>
      <c r="O500" s="207"/>
      <c r="P500" s="207"/>
      <c r="Q500" s="207"/>
      <c r="R500" s="207"/>
      <c r="S500" s="207"/>
      <c r="T500" s="207"/>
      <c r="U500" s="207"/>
      <c r="V500" s="207"/>
      <c r="W500" s="207"/>
      <c r="X500" s="207"/>
      <c r="Y500" s="207"/>
      <c r="Z500" s="207"/>
    </row>
    <row r="501" spans="1:26" ht="15.75" customHeight="1">
      <c r="A501" s="207"/>
      <c r="B501" s="207"/>
      <c r="C501" s="207"/>
      <c r="D501" s="207"/>
      <c r="E501" s="207"/>
      <c r="F501" s="207"/>
      <c r="G501" s="207"/>
      <c r="H501" s="207"/>
      <c r="I501" s="207"/>
      <c r="J501" s="207"/>
      <c r="K501" s="207"/>
      <c r="L501" s="207"/>
      <c r="M501" s="207"/>
      <c r="N501" s="207"/>
      <c r="O501" s="207"/>
      <c r="P501" s="207"/>
      <c r="Q501" s="207"/>
      <c r="R501" s="207"/>
      <c r="S501" s="207"/>
      <c r="T501" s="207"/>
      <c r="U501" s="207"/>
      <c r="V501" s="207"/>
      <c r="W501" s="207"/>
      <c r="X501" s="207"/>
      <c r="Y501" s="207"/>
      <c r="Z501" s="207"/>
    </row>
    <row r="502" spans="1:26" ht="15.75" customHeight="1">
      <c r="A502" s="207"/>
      <c r="B502" s="207"/>
      <c r="C502" s="207"/>
      <c r="D502" s="207"/>
      <c r="E502" s="207"/>
      <c r="F502" s="207"/>
      <c r="G502" s="207"/>
      <c r="H502" s="207"/>
      <c r="I502" s="207"/>
      <c r="J502" s="207"/>
      <c r="K502" s="207"/>
      <c r="L502" s="207"/>
      <c r="M502" s="207"/>
      <c r="N502" s="207"/>
      <c r="O502" s="207"/>
      <c r="P502" s="207"/>
      <c r="Q502" s="207"/>
      <c r="R502" s="207"/>
      <c r="S502" s="207"/>
      <c r="T502" s="207"/>
      <c r="U502" s="207"/>
      <c r="V502" s="207"/>
      <c r="W502" s="207"/>
      <c r="X502" s="207"/>
      <c r="Y502" s="207"/>
      <c r="Z502" s="207"/>
    </row>
    <row r="503" spans="1:26" ht="15.75" customHeight="1">
      <c r="A503" s="207"/>
      <c r="B503" s="207"/>
      <c r="C503" s="207"/>
      <c r="D503" s="207"/>
      <c r="E503" s="207"/>
      <c r="F503" s="207"/>
      <c r="G503" s="207"/>
      <c r="H503" s="207"/>
      <c r="I503" s="207"/>
      <c r="J503" s="207"/>
      <c r="K503" s="207"/>
      <c r="L503" s="207"/>
      <c r="M503" s="207"/>
      <c r="N503" s="207"/>
      <c r="O503" s="207"/>
      <c r="P503" s="207"/>
      <c r="Q503" s="207"/>
      <c r="R503" s="207"/>
      <c r="S503" s="207"/>
      <c r="T503" s="207"/>
      <c r="U503" s="207"/>
      <c r="V503" s="207"/>
      <c r="W503" s="207"/>
      <c r="X503" s="207"/>
      <c r="Y503" s="207"/>
      <c r="Z503" s="207"/>
    </row>
    <row r="504" spans="1:26" ht="15.75" customHeight="1">
      <c r="A504" s="207"/>
      <c r="B504" s="207"/>
      <c r="C504" s="207"/>
      <c r="D504" s="207"/>
      <c r="E504" s="207"/>
      <c r="F504" s="207"/>
      <c r="G504" s="207"/>
      <c r="H504" s="207"/>
      <c r="I504" s="207"/>
      <c r="J504" s="207"/>
      <c r="K504" s="207"/>
      <c r="L504" s="207"/>
      <c r="M504" s="207"/>
      <c r="N504" s="207"/>
      <c r="O504" s="207"/>
      <c r="P504" s="207"/>
      <c r="Q504" s="207"/>
      <c r="R504" s="207"/>
      <c r="S504" s="207"/>
      <c r="T504" s="207"/>
      <c r="U504" s="207"/>
      <c r="V504" s="207"/>
      <c r="W504" s="207"/>
      <c r="X504" s="207"/>
      <c r="Y504" s="207"/>
      <c r="Z504" s="207"/>
    </row>
    <row r="505" spans="1:26" ht="15.75" customHeight="1">
      <c r="A505" s="207"/>
      <c r="B505" s="207"/>
      <c r="C505" s="207"/>
      <c r="D505" s="207"/>
      <c r="E505" s="207"/>
      <c r="F505" s="207"/>
      <c r="G505" s="207"/>
      <c r="H505" s="207"/>
      <c r="I505" s="207"/>
      <c r="J505" s="207"/>
      <c r="K505" s="207"/>
      <c r="L505" s="207"/>
      <c r="M505" s="207"/>
      <c r="N505" s="207"/>
      <c r="O505" s="207"/>
      <c r="P505" s="207"/>
      <c r="Q505" s="207"/>
      <c r="R505" s="207"/>
      <c r="S505" s="207"/>
      <c r="T505" s="207"/>
      <c r="U505" s="207"/>
      <c r="V505" s="207"/>
      <c r="W505" s="207"/>
      <c r="X505" s="207"/>
      <c r="Y505" s="207"/>
      <c r="Z505" s="207"/>
    </row>
    <row r="506" spans="1:26" ht="15.75" customHeight="1">
      <c r="A506" s="207"/>
      <c r="B506" s="207"/>
      <c r="C506" s="207"/>
      <c r="D506" s="207"/>
      <c r="E506" s="207"/>
      <c r="F506" s="207"/>
      <c r="G506" s="207"/>
      <c r="H506" s="207"/>
      <c r="I506" s="207"/>
      <c r="J506" s="207"/>
      <c r="K506" s="207"/>
      <c r="L506" s="207"/>
      <c r="M506" s="207"/>
      <c r="N506" s="207"/>
      <c r="O506" s="207"/>
      <c r="P506" s="207"/>
      <c r="Q506" s="207"/>
      <c r="R506" s="207"/>
      <c r="S506" s="207"/>
      <c r="T506" s="207"/>
      <c r="U506" s="207"/>
      <c r="V506" s="207"/>
      <c r="W506" s="207"/>
      <c r="X506" s="207"/>
      <c r="Y506" s="207"/>
      <c r="Z506" s="207"/>
    </row>
    <row r="507" spans="1:26" ht="15.75" customHeight="1">
      <c r="A507" s="207"/>
      <c r="B507" s="207"/>
      <c r="C507" s="207"/>
      <c r="D507" s="207"/>
      <c r="E507" s="207"/>
      <c r="F507" s="207"/>
      <c r="G507" s="207"/>
      <c r="H507" s="207"/>
      <c r="I507" s="207"/>
      <c r="J507" s="207"/>
      <c r="K507" s="207"/>
      <c r="L507" s="207"/>
      <c r="M507" s="207"/>
      <c r="N507" s="207"/>
      <c r="O507" s="207"/>
      <c r="P507" s="207"/>
      <c r="Q507" s="207"/>
      <c r="R507" s="207"/>
      <c r="S507" s="207"/>
      <c r="T507" s="207"/>
      <c r="U507" s="207"/>
      <c r="V507" s="207"/>
      <c r="W507" s="207"/>
      <c r="X507" s="207"/>
      <c r="Y507" s="207"/>
      <c r="Z507" s="207"/>
    </row>
    <row r="508" spans="1:26" ht="15.75" customHeight="1">
      <c r="A508" s="207"/>
      <c r="B508" s="207"/>
      <c r="C508" s="207"/>
      <c r="D508" s="207"/>
      <c r="E508" s="207"/>
      <c r="F508" s="207"/>
      <c r="G508" s="207"/>
      <c r="H508" s="207"/>
      <c r="I508" s="207"/>
      <c r="J508" s="207"/>
      <c r="K508" s="207"/>
      <c r="L508" s="207"/>
      <c r="M508" s="207"/>
      <c r="N508" s="207"/>
      <c r="O508" s="207"/>
      <c r="P508" s="207"/>
      <c r="Q508" s="207"/>
      <c r="R508" s="207"/>
      <c r="S508" s="207"/>
      <c r="T508" s="207"/>
      <c r="U508" s="207"/>
      <c r="V508" s="207"/>
      <c r="W508" s="207"/>
      <c r="X508" s="207"/>
      <c r="Y508" s="207"/>
      <c r="Z508" s="207"/>
    </row>
    <row r="509" spans="1:26" ht="15.75" customHeight="1">
      <c r="A509" s="207"/>
      <c r="B509" s="207"/>
      <c r="C509" s="207"/>
      <c r="D509" s="207"/>
      <c r="E509" s="207"/>
      <c r="F509" s="207"/>
      <c r="G509" s="207"/>
      <c r="H509" s="207"/>
      <c r="I509" s="207"/>
      <c r="J509" s="207"/>
      <c r="K509" s="207"/>
      <c r="L509" s="207"/>
      <c r="M509" s="207"/>
      <c r="N509" s="207"/>
      <c r="O509" s="207"/>
      <c r="P509" s="207"/>
      <c r="Q509" s="207"/>
      <c r="R509" s="207"/>
      <c r="S509" s="207"/>
      <c r="T509" s="207"/>
      <c r="U509" s="207"/>
      <c r="V509" s="207"/>
      <c r="W509" s="207"/>
      <c r="X509" s="207"/>
      <c r="Y509" s="207"/>
      <c r="Z509" s="207"/>
    </row>
    <row r="510" spans="1:26" ht="15.75" customHeight="1">
      <c r="A510" s="207"/>
      <c r="B510" s="207"/>
      <c r="C510" s="207"/>
      <c r="D510" s="207"/>
      <c r="E510" s="207"/>
      <c r="F510" s="207"/>
      <c r="G510" s="207"/>
      <c r="H510" s="207"/>
      <c r="I510" s="207"/>
      <c r="J510" s="207"/>
      <c r="K510" s="207"/>
      <c r="L510" s="207"/>
      <c r="M510" s="207"/>
      <c r="N510" s="207"/>
      <c r="O510" s="207"/>
      <c r="P510" s="207"/>
      <c r="Q510" s="207"/>
      <c r="R510" s="207"/>
      <c r="S510" s="207"/>
      <c r="T510" s="207"/>
      <c r="U510" s="207"/>
      <c r="V510" s="207"/>
      <c r="W510" s="207"/>
      <c r="X510" s="207"/>
      <c r="Y510" s="207"/>
      <c r="Z510" s="207"/>
    </row>
    <row r="511" spans="1:26" ht="15.75" customHeight="1">
      <c r="A511" s="207"/>
      <c r="B511" s="207"/>
      <c r="C511" s="207"/>
      <c r="D511" s="207"/>
      <c r="E511" s="207"/>
      <c r="F511" s="207"/>
      <c r="G511" s="207"/>
      <c r="H511" s="207"/>
      <c r="I511" s="207"/>
      <c r="J511" s="207"/>
      <c r="K511" s="207"/>
      <c r="L511" s="207"/>
      <c r="M511" s="207"/>
      <c r="N511" s="207"/>
      <c r="O511" s="207"/>
      <c r="P511" s="207"/>
      <c r="Q511" s="207"/>
      <c r="R511" s="207"/>
      <c r="S511" s="207"/>
      <c r="T511" s="207"/>
      <c r="U511" s="207"/>
      <c r="V511" s="207"/>
      <c r="W511" s="207"/>
      <c r="X511" s="207"/>
      <c r="Y511" s="207"/>
      <c r="Z511" s="207"/>
    </row>
    <row r="512" spans="1:26" ht="15.75" customHeight="1">
      <c r="A512" s="207"/>
      <c r="B512" s="207"/>
      <c r="C512" s="207"/>
      <c r="D512" s="207"/>
      <c r="E512" s="207"/>
      <c r="F512" s="207"/>
      <c r="G512" s="207"/>
      <c r="H512" s="207"/>
      <c r="I512" s="207"/>
      <c r="J512" s="207"/>
      <c r="K512" s="207"/>
      <c r="L512" s="207"/>
      <c r="M512" s="207"/>
      <c r="N512" s="207"/>
      <c r="O512" s="207"/>
      <c r="P512" s="207"/>
      <c r="Q512" s="207"/>
      <c r="R512" s="207"/>
      <c r="S512" s="207"/>
      <c r="T512" s="207"/>
      <c r="U512" s="207"/>
      <c r="V512" s="207"/>
      <c r="W512" s="207"/>
      <c r="X512" s="207"/>
      <c r="Y512" s="207"/>
      <c r="Z512" s="207"/>
    </row>
    <row r="513" spans="1:26" ht="15.75" customHeight="1">
      <c r="A513" s="207"/>
      <c r="B513" s="207"/>
      <c r="C513" s="207"/>
      <c r="D513" s="207"/>
      <c r="E513" s="207"/>
      <c r="F513" s="207"/>
      <c r="G513" s="207"/>
      <c r="H513" s="207"/>
      <c r="I513" s="207"/>
      <c r="J513" s="207"/>
      <c r="K513" s="207"/>
      <c r="L513" s="207"/>
      <c r="M513" s="207"/>
      <c r="N513" s="207"/>
      <c r="O513" s="207"/>
      <c r="P513" s="207"/>
      <c r="Q513" s="207"/>
      <c r="R513" s="207"/>
      <c r="S513" s="207"/>
      <c r="T513" s="207"/>
      <c r="U513" s="207"/>
      <c r="V513" s="207"/>
      <c r="W513" s="207"/>
      <c r="X513" s="207"/>
      <c r="Y513" s="207"/>
      <c r="Z513" s="207"/>
    </row>
    <row r="514" spans="1:26" ht="15.75" customHeight="1">
      <c r="A514" s="207"/>
      <c r="B514" s="207"/>
      <c r="C514" s="207"/>
      <c r="D514" s="207"/>
      <c r="E514" s="207"/>
      <c r="F514" s="207"/>
      <c r="G514" s="207"/>
      <c r="H514" s="207"/>
      <c r="I514" s="207"/>
      <c r="J514" s="207"/>
      <c r="K514" s="207"/>
      <c r="L514" s="207"/>
      <c r="M514" s="207"/>
      <c r="N514" s="207"/>
      <c r="O514" s="207"/>
      <c r="P514" s="207"/>
      <c r="Q514" s="207"/>
      <c r="R514" s="207"/>
      <c r="S514" s="207"/>
      <c r="T514" s="207"/>
      <c r="U514" s="207"/>
      <c r="V514" s="207"/>
      <c r="W514" s="207"/>
      <c r="X514" s="207"/>
      <c r="Y514" s="207"/>
      <c r="Z514" s="207"/>
    </row>
    <row r="515" spans="1:26" ht="15.75" customHeight="1">
      <c r="A515" s="207"/>
      <c r="B515" s="207"/>
      <c r="C515" s="207"/>
      <c r="D515" s="207"/>
      <c r="E515" s="207"/>
      <c r="F515" s="207"/>
      <c r="G515" s="207"/>
      <c r="H515" s="207"/>
      <c r="I515" s="207"/>
      <c r="J515" s="207"/>
      <c r="K515" s="207"/>
      <c r="L515" s="207"/>
      <c r="M515" s="207"/>
      <c r="N515" s="207"/>
      <c r="O515" s="207"/>
      <c r="P515" s="207"/>
      <c r="Q515" s="207"/>
      <c r="R515" s="207"/>
      <c r="S515" s="207"/>
      <c r="T515" s="207"/>
      <c r="U515" s="207"/>
      <c r="V515" s="207"/>
      <c r="W515" s="207"/>
      <c r="X515" s="207"/>
      <c r="Y515" s="207"/>
      <c r="Z515" s="207"/>
    </row>
    <row r="516" spans="1:26" ht="15.75" customHeight="1">
      <c r="A516" s="207"/>
      <c r="B516" s="207"/>
      <c r="C516" s="207"/>
      <c r="D516" s="207"/>
      <c r="E516" s="207"/>
      <c r="F516" s="207"/>
      <c r="G516" s="207"/>
      <c r="H516" s="207"/>
      <c r="I516" s="207"/>
      <c r="J516" s="207"/>
      <c r="K516" s="207"/>
      <c r="L516" s="207"/>
      <c r="M516" s="207"/>
      <c r="N516" s="207"/>
      <c r="O516" s="207"/>
      <c r="P516" s="207"/>
      <c r="Q516" s="207"/>
      <c r="R516" s="207"/>
      <c r="S516" s="207"/>
      <c r="T516" s="207"/>
      <c r="U516" s="207"/>
      <c r="V516" s="207"/>
      <c r="W516" s="207"/>
      <c r="X516" s="207"/>
      <c r="Y516" s="207"/>
      <c r="Z516" s="207"/>
    </row>
    <row r="517" spans="1:26" ht="15.75" customHeight="1">
      <c r="A517" s="207"/>
      <c r="B517" s="207"/>
      <c r="C517" s="207"/>
      <c r="D517" s="207"/>
      <c r="E517" s="207"/>
      <c r="F517" s="207"/>
      <c r="G517" s="207"/>
      <c r="H517" s="207"/>
      <c r="I517" s="207"/>
      <c r="J517" s="207"/>
      <c r="K517" s="207"/>
      <c r="L517" s="207"/>
      <c r="M517" s="207"/>
      <c r="N517" s="207"/>
      <c r="O517" s="207"/>
      <c r="P517" s="207"/>
      <c r="Q517" s="207"/>
      <c r="R517" s="207"/>
      <c r="S517" s="207"/>
      <c r="T517" s="207"/>
      <c r="U517" s="207"/>
      <c r="V517" s="207"/>
      <c r="W517" s="207"/>
      <c r="X517" s="207"/>
      <c r="Y517" s="207"/>
      <c r="Z517" s="207"/>
    </row>
    <row r="518" spans="1:26" ht="15.75" customHeight="1">
      <c r="A518" s="207"/>
      <c r="B518" s="207"/>
      <c r="C518" s="207"/>
      <c r="D518" s="207"/>
      <c r="E518" s="207"/>
      <c r="F518" s="207"/>
      <c r="G518" s="207"/>
      <c r="H518" s="207"/>
      <c r="I518" s="207"/>
      <c r="J518" s="207"/>
      <c r="K518" s="207"/>
      <c r="L518" s="207"/>
      <c r="M518" s="207"/>
      <c r="N518" s="207"/>
      <c r="O518" s="207"/>
      <c r="P518" s="207"/>
      <c r="Q518" s="207"/>
      <c r="R518" s="207"/>
      <c r="S518" s="207"/>
      <c r="T518" s="207"/>
      <c r="U518" s="207"/>
      <c r="V518" s="207"/>
      <c r="W518" s="207"/>
      <c r="X518" s="207"/>
      <c r="Y518" s="207"/>
      <c r="Z518" s="207"/>
    </row>
    <row r="519" spans="1:26" ht="15.75" customHeight="1">
      <c r="A519" s="207"/>
      <c r="B519" s="207"/>
      <c r="C519" s="207"/>
      <c r="D519" s="207"/>
      <c r="E519" s="207"/>
      <c r="F519" s="207"/>
      <c r="G519" s="207"/>
      <c r="H519" s="207"/>
      <c r="I519" s="207"/>
      <c r="J519" s="207"/>
      <c r="K519" s="207"/>
      <c r="L519" s="207"/>
      <c r="M519" s="207"/>
      <c r="N519" s="207"/>
      <c r="O519" s="207"/>
      <c r="P519" s="207"/>
      <c r="Q519" s="207"/>
      <c r="R519" s="207"/>
      <c r="S519" s="207"/>
      <c r="T519" s="207"/>
      <c r="U519" s="207"/>
      <c r="V519" s="207"/>
      <c r="W519" s="207"/>
      <c r="X519" s="207"/>
      <c r="Y519" s="207"/>
      <c r="Z519" s="207"/>
    </row>
    <row r="520" spans="1:26" ht="15.75" customHeight="1">
      <c r="A520" s="207"/>
      <c r="B520" s="207"/>
      <c r="C520" s="207"/>
      <c r="D520" s="207"/>
      <c r="E520" s="207"/>
      <c r="F520" s="207"/>
      <c r="G520" s="207"/>
      <c r="H520" s="207"/>
      <c r="I520" s="207"/>
      <c r="J520" s="207"/>
      <c r="K520" s="207"/>
      <c r="L520" s="207"/>
      <c r="M520" s="207"/>
      <c r="N520" s="207"/>
      <c r="O520" s="207"/>
      <c r="P520" s="207"/>
      <c r="Q520" s="207"/>
      <c r="R520" s="207"/>
      <c r="S520" s="207"/>
      <c r="T520" s="207"/>
      <c r="U520" s="207"/>
      <c r="V520" s="207"/>
      <c r="W520" s="207"/>
      <c r="X520" s="207"/>
      <c r="Y520" s="207"/>
      <c r="Z520" s="207"/>
    </row>
    <row r="521" spans="1:26" ht="15.75" customHeight="1">
      <c r="A521" s="207"/>
      <c r="B521" s="207"/>
      <c r="C521" s="207"/>
      <c r="D521" s="207"/>
      <c r="E521" s="207"/>
      <c r="F521" s="207"/>
      <c r="G521" s="207"/>
      <c r="H521" s="207"/>
      <c r="I521" s="207"/>
      <c r="J521" s="207"/>
      <c r="K521" s="207"/>
      <c r="L521" s="207"/>
      <c r="M521" s="207"/>
      <c r="N521" s="207"/>
      <c r="O521" s="207"/>
      <c r="P521" s="207"/>
      <c r="Q521" s="207"/>
      <c r="R521" s="207"/>
      <c r="S521" s="207"/>
      <c r="T521" s="207"/>
      <c r="U521" s="207"/>
      <c r="V521" s="207"/>
      <c r="W521" s="207"/>
      <c r="X521" s="207"/>
      <c r="Y521" s="207"/>
      <c r="Z521" s="207"/>
    </row>
    <row r="522" spans="1:26" ht="15.75" customHeight="1">
      <c r="A522" s="207"/>
      <c r="B522" s="207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07"/>
      <c r="O522" s="207"/>
      <c r="P522" s="207"/>
      <c r="Q522" s="207"/>
      <c r="R522" s="207"/>
      <c r="S522" s="207"/>
      <c r="T522" s="207"/>
      <c r="U522" s="207"/>
      <c r="V522" s="207"/>
      <c r="W522" s="207"/>
      <c r="X522" s="207"/>
      <c r="Y522" s="207"/>
      <c r="Z522" s="207"/>
    </row>
    <row r="523" spans="1:26" ht="15.75" customHeight="1">
      <c r="A523" s="207"/>
      <c r="B523" s="207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07"/>
      <c r="O523" s="207"/>
      <c r="P523" s="207"/>
      <c r="Q523" s="207"/>
      <c r="R523" s="207"/>
      <c r="S523" s="207"/>
      <c r="T523" s="207"/>
      <c r="U523" s="207"/>
      <c r="V523" s="207"/>
      <c r="W523" s="207"/>
      <c r="X523" s="207"/>
      <c r="Y523" s="207"/>
      <c r="Z523" s="207"/>
    </row>
    <row r="524" spans="1:26" ht="15.75" customHeight="1">
      <c r="A524" s="207"/>
      <c r="B524" s="207"/>
      <c r="C524" s="207"/>
      <c r="D524" s="207"/>
      <c r="E524" s="207"/>
      <c r="F524" s="207"/>
      <c r="G524" s="207"/>
      <c r="H524" s="207"/>
      <c r="I524" s="207"/>
      <c r="J524" s="207"/>
      <c r="K524" s="207"/>
      <c r="L524" s="207"/>
      <c r="M524" s="207"/>
      <c r="N524" s="207"/>
      <c r="O524" s="207"/>
      <c r="P524" s="207"/>
      <c r="Q524" s="207"/>
      <c r="R524" s="207"/>
      <c r="S524" s="207"/>
      <c r="T524" s="207"/>
      <c r="U524" s="207"/>
      <c r="V524" s="207"/>
      <c r="W524" s="207"/>
      <c r="X524" s="207"/>
      <c r="Y524" s="207"/>
      <c r="Z524" s="207"/>
    </row>
    <row r="525" spans="1:26" ht="15.75" customHeight="1">
      <c r="A525" s="207"/>
      <c r="B525" s="207"/>
      <c r="C525" s="207"/>
      <c r="D525" s="207"/>
      <c r="E525" s="207"/>
      <c r="F525" s="207"/>
      <c r="G525" s="207"/>
      <c r="H525" s="207"/>
      <c r="I525" s="207"/>
      <c r="J525" s="207"/>
      <c r="K525" s="207"/>
      <c r="L525" s="207"/>
      <c r="M525" s="207"/>
      <c r="N525" s="207"/>
      <c r="O525" s="207"/>
      <c r="P525" s="207"/>
      <c r="Q525" s="207"/>
      <c r="R525" s="207"/>
      <c r="S525" s="207"/>
      <c r="T525" s="207"/>
      <c r="U525" s="207"/>
      <c r="V525" s="207"/>
      <c r="W525" s="207"/>
      <c r="X525" s="207"/>
      <c r="Y525" s="207"/>
      <c r="Z525" s="207"/>
    </row>
    <row r="526" spans="1:26" ht="15.75" customHeight="1">
      <c r="A526" s="207"/>
      <c r="B526" s="207"/>
      <c r="C526" s="207"/>
      <c r="D526" s="207"/>
      <c r="E526" s="207"/>
      <c r="F526" s="207"/>
      <c r="G526" s="207"/>
      <c r="H526" s="207"/>
      <c r="I526" s="207"/>
      <c r="J526" s="207"/>
      <c r="K526" s="207"/>
      <c r="L526" s="207"/>
      <c r="M526" s="207"/>
      <c r="N526" s="207"/>
      <c r="O526" s="207"/>
      <c r="P526" s="207"/>
      <c r="Q526" s="207"/>
      <c r="R526" s="207"/>
      <c r="S526" s="207"/>
      <c r="T526" s="207"/>
      <c r="U526" s="207"/>
      <c r="V526" s="207"/>
      <c r="W526" s="207"/>
      <c r="X526" s="207"/>
      <c r="Y526" s="207"/>
      <c r="Z526" s="207"/>
    </row>
    <row r="527" spans="1:26" ht="15.75" customHeight="1">
      <c r="A527" s="207"/>
      <c r="B527" s="207"/>
      <c r="C527" s="207"/>
      <c r="D527" s="207"/>
      <c r="E527" s="207"/>
      <c r="F527" s="207"/>
      <c r="G527" s="207"/>
      <c r="H527" s="207"/>
      <c r="I527" s="207"/>
      <c r="J527" s="207"/>
      <c r="K527" s="207"/>
      <c r="L527" s="207"/>
      <c r="M527" s="207"/>
      <c r="N527" s="207"/>
      <c r="O527" s="207"/>
      <c r="P527" s="207"/>
      <c r="Q527" s="207"/>
      <c r="R527" s="207"/>
      <c r="S527" s="207"/>
      <c r="T527" s="207"/>
      <c r="U527" s="207"/>
      <c r="V527" s="207"/>
      <c r="W527" s="207"/>
      <c r="X527" s="207"/>
      <c r="Y527" s="207"/>
      <c r="Z527" s="207"/>
    </row>
    <row r="528" spans="1:26" ht="15.75" customHeight="1">
      <c r="A528" s="207"/>
      <c r="B528" s="207"/>
      <c r="C528" s="207"/>
      <c r="D528" s="207"/>
      <c r="E528" s="207"/>
      <c r="F528" s="207"/>
      <c r="G528" s="207"/>
      <c r="H528" s="207"/>
      <c r="I528" s="207"/>
      <c r="J528" s="207"/>
      <c r="K528" s="207"/>
      <c r="L528" s="207"/>
      <c r="M528" s="207"/>
      <c r="N528" s="207"/>
      <c r="O528" s="207"/>
      <c r="P528" s="207"/>
      <c r="Q528" s="207"/>
      <c r="R528" s="207"/>
      <c r="S528" s="207"/>
      <c r="T528" s="207"/>
      <c r="U528" s="207"/>
      <c r="V528" s="207"/>
      <c r="W528" s="207"/>
      <c r="X528" s="207"/>
      <c r="Y528" s="207"/>
      <c r="Z528" s="207"/>
    </row>
    <row r="529" spans="1:26" ht="15.75" customHeight="1">
      <c r="A529" s="207"/>
      <c r="B529" s="207"/>
      <c r="C529" s="207"/>
      <c r="D529" s="207"/>
      <c r="E529" s="207"/>
      <c r="F529" s="207"/>
      <c r="G529" s="207"/>
      <c r="H529" s="207"/>
      <c r="I529" s="207"/>
      <c r="J529" s="207"/>
      <c r="K529" s="207"/>
      <c r="L529" s="207"/>
      <c r="M529" s="207"/>
      <c r="N529" s="207"/>
      <c r="O529" s="207"/>
      <c r="P529" s="207"/>
      <c r="Q529" s="207"/>
      <c r="R529" s="207"/>
      <c r="S529" s="207"/>
      <c r="T529" s="207"/>
      <c r="U529" s="207"/>
      <c r="V529" s="207"/>
      <c r="W529" s="207"/>
      <c r="X529" s="207"/>
      <c r="Y529" s="207"/>
      <c r="Z529" s="207"/>
    </row>
    <row r="530" spans="1:26" ht="15.75" customHeight="1">
      <c r="A530" s="207"/>
      <c r="B530" s="207"/>
      <c r="C530" s="207"/>
      <c r="D530" s="207"/>
      <c r="E530" s="207"/>
      <c r="F530" s="207"/>
      <c r="G530" s="207"/>
      <c r="H530" s="207"/>
      <c r="I530" s="207"/>
      <c r="J530" s="207"/>
      <c r="K530" s="207"/>
      <c r="L530" s="207"/>
      <c r="M530" s="207"/>
      <c r="N530" s="207"/>
      <c r="O530" s="207"/>
      <c r="P530" s="207"/>
      <c r="Q530" s="207"/>
      <c r="R530" s="207"/>
      <c r="S530" s="207"/>
      <c r="T530" s="207"/>
      <c r="U530" s="207"/>
      <c r="V530" s="207"/>
      <c r="W530" s="207"/>
      <c r="X530" s="207"/>
      <c r="Y530" s="207"/>
      <c r="Z530" s="207"/>
    </row>
    <row r="531" spans="1:26" ht="15.75" customHeight="1">
      <c r="A531" s="207"/>
      <c r="B531" s="207"/>
      <c r="C531" s="207"/>
      <c r="D531" s="207"/>
      <c r="E531" s="207"/>
      <c r="F531" s="207"/>
      <c r="G531" s="207"/>
      <c r="H531" s="207"/>
      <c r="I531" s="207"/>
      <c r="J531" s="207"/>
      <c r="K531" s="207"/>
      <c r="L531" s="207"/>
      <c r="M531" s="207"/>
      <c r="N531" s="207"/>
      <c r="O531" s="207"/>
      <c r="P531" s="207"/>
      <c r="Q531" s="207"/>
      <c r="R531" s="207"/>
      <c r="S531" s="207"/>
      <c r="T531" s="207"/>
      <c r="U531" s="207"/>
      <c r="V531" s="207"/>
      <c r="W531" s="207"/>
      <c r="X531" s="207"/>
      <c r="Y531" s="207"/>
      <c r="Z531" s="207"/>
    </row>
    <row r="532" spans="1:26" ht="15.75" customHeight="1">
      <c r="A532" s="207"/>
      <c r="B532" s="207"/>
      <c r="C532" s="207"/>
      <c r="D532" s="207"/>
      <c r="E532" s="207"/>
      <c r="F532" s="207"/>
      <c r="G532" s="207"/>
      <c r="H532" s="207"/>
      <c r="I532" s="207"/>
      <c r="J532" s="207"/>
      <c r="K532" s="207"/>
      <c r="L532" s="207"/>
      <c r="M532" s="207"/>
      <c r="N532" s="207"/>
      <c r="O532" s="207"/>
      <c r="P532" s="207"/>
      <c r="Q532" s="207"/>
      <c r="R532" s="207"/>
      <c r="S532" s="207"/>
      <c r="T532" s="207"/>
      <c r="U532" s="207"/>
      <c r="V532" s="207"/>
      <c r="W532" s="207"/>
      <c r="X532" s="207"/>
      <c r="Y532" s="207"/>
      <c r="Z532" s="207"/>
    </row>
    <row r="533" spans="1:26" ht="15.75" customHeight="1">
      <c r="A533" s="207"/>
      <c r="B533" s="207"/>
      <c r="C533" s="207"/>
      <c r="D533" s="207"/>
      <c r="E533" s="207"/>
      <c r="F533" s="207"/>
      <c r="G533" s="207"/>
      <c r="H533" s="207"/>
      <c r="I533" s="207"/>
      <c r="J533" s="207"/>
      <c r="K533" s="207"/>
      <c r="L533" s="207"/>
      <c r="M533" s="207"/>
      <c r="N533" s="207"/>
      <c r="O533" s="207"/>
      <c r="P533" s="207"/>
      <c r="Q533" s="207"/>
      <c r="R533" s="207"/>
      <c r="S533" s="207"/>
      <c r="T533" s="207"/>
      <c r="U533" s="207"/>
      <c r="V533" s="207"/>
      <c r="W533" s="207"/>
      <c r="X533" s="207"/>
      <c r="Y533" s="207"/>
      <c r="Z533" s="207"/>
    </row>
    <row r="534" spans="1:26" ht="15.75" customHeight="1">
      <c r="A534" s="207"/>
      <c r="B534" s="207"/>
      <c r="C534" s="207"/>
      <c r="D534" s="207"/>
      <c r="E534" s="207"/>
      <c r="F534" s="207"/>
      <c r="G534" s="207"/>
      <c r="H534" s="207"/>
      <c r="I534" s="207"/>
      <c r="J534" s="207"/>
      <c r="K534" s="207"/>
      <c r="L534" s="207"/>
      <c r="M534" s="207"/>
      <c r="N534" s="207"/>
      <c r="O534" s="207"/>
      <c r="P534" s="207"/>
      <c r="Q534" s="207"/>
      <c r="R534" s="207"/>
      <c r="S534" s="207"/>
      <c r="T534" s="207"/>
      <c r="U534" s="207"/>
      <c r="V534" s="207"/>
      <c r="W534" s="207"/>
      <c r="X534" s="207"/>
      <c r="Y534" s="207"/>
      <c r="Z534" s="207"/>
    </row>
    <row r="535" spans="1:26" ht="15.75" customHeight="1">
      <c r="A535" s="207"/>
      <c r="B535" s="207"/>
      <c r="C535" s="207"/>
      <c r="D535" s="207"/>
      <c r="E535" s="207"/>
      <c r="F535" s="207"/>
      <c r="G535" s="207"/>
      <c r="H535" s="207"/>
      <c r="I535" s="207"/>
      <c r="J535" s="207"/>
      <c r="K535" s="207"/>
      <c r="L535" s="207"/>
      <c r="M535" s="207"/>
      <c r="N535" s="207"/>
      <c r="O535" s="207"/>
      <c r="P535" s="207"/>
      <c r="Q535" s="207"/>
      <c r="R535" s="207"/>
      <c r="S535" s="207"/>
      <c r="T535" s="207"/>
      <c r="U535" s="207"/>
      <c r="V535" s="207"/>
      <c r="W535" s="207"/>
      <c r="X535" s="207"/>
      <c r="Y535" s="207"/>
      <c r="Z535" s="207"/>
    </row>
    <row r="536" spans="1:26" ht="15.75" customHeight="1">
      <c r="A536" s="207"/>
      <c r="B536" s="207"/>
      <c r="C536" s="207"/>
      <c r="D536" s="207"/>
      <c r="E536" s="207"/>
      <c r="F536" s="207"/>
      <c r="G536" s="207"/>
      <c r="H536" s="207"/>
      <c r="I536" s="207"/>
      <c r="J536" s="207"/>
      <c r="K536" s="207"/>
      <c r="L536" s="207"/>
      <c r="M536" s="207"/>
      <c r="N536" s="207"/>
      <c r="O536" s="207"/>
      <c r="P536" s="207"/>
      <c r="Q536" s="207"/>
      <c r="R536" s="207"/>
      <c r="S536" s="207"/>
      <c r="T536" s="207"/>
      <c r="U536" s="207"/>
      <c r="V536" s="207"/>
      <c r="W536" s="207"/>
      <c r="X536" s="207"/>
      <c r="Y536" s="207"/>
      <c r="Z536" s="207"/>
    </row>
    <row r="537" spans="1:26" ht="15.75" customHeight="1">
      <c r="A537" s="207"/>
      <c r="B537" s="207"/>
      <c r="C537" s="207"/>
      <c r="D537" s="207"/>
      <c r="E537" s="207"/>
      <c r="F537" s="207"/>
      <c r="G537" s="207"/>
      <c r="H537" s="207"/>
      <c r="I537" s="207"/>
      <c r="J537" s="207"/>
      <c r="K537" s="207"/>
      <c r="L537" s="207"/>
      <c r="M537" s="207"/>
      <c r="N537" s="207"/>
      <c r="O537" s="207"/>
      <c r="P537" s="207"/>
      <c r="Q537" s="207"/>
      <c r="R537" s="207"/>
      <c r="S537" s="207"/>
      <c r="T537" s="207"/>
      <c r="U537" s="207"/>
      <c r="V537" s="207"/>
      <c r="W537" s="207"/>
      <c r="X537" s="207"/>
      <c r="Y537" s="207"/>
      <c r="Z537" s="207"/>
    </row>
    <row r="538" spans="1:26" ht="15.75" customHeight="1">
      <c r="A538" s="207"/>
      <c r="B538" s="207"/>
      <c r="C538" s="207"/>
      <c r="D538" s="207"/>
      <c r="E538" s="207"/>
      <c r="F538" s="207"/>
      <c r="G538" s="207"/>
      <c r="H538" s="207"/>
      <c r="I538" s="207"/>
      <c r="J538" s="207"/>
      <c r="K538" s="207"/>
      <c r="L538" s="207"/>
      <c r="M538" s="207"/>
      <c r="N538" s="207"/>
      <c r="O538" s="207"/>
      <c r="P538" s="207"/>
      <c r="Q538" s="207"/>
      <c r="R538" s="207"/>
      <c r="S538" s="207"/>
      <c r="T538" s="207"/>
      <c r="U538" s="207"/>
      <c r="V538" s="207"/>
      <c r="W538" s="207"/>
      <c r="X538" s="207"/>
      <c r="Y538" s="207"/>
      <c r="Z538" s="207"/>
    </row>
    <row r="539" spans="1:26" ht="15.75" customHeight="1">
      <c r="A539" s="207"/>
      <c r="B539" s="207"/>
      <c r="C539" s="207"/>
      <c r="D539" s="207"/>
      <c r="E539" s="207"/>
      <c r="F539" s="207"/>
      <c r="G539" s="207"/>
      <c r="H539" s="207"/>
      <c r="I539" s="207"/>
      <c r="J539" s="207"/>
      <c r="K539" s="207"/>
      <c r="L539" s="207"/>
      <c r="M539" s="207"/>
      <c r="N539" s="207"/>
      <c r="O539" s="207"/>
      <c r="P539" s="207"/>
      <c r="Q539" s="207"/>
      <c r="R539" s="207"/>
      <c r="S539" s="207"/>
      <c r="T539" s="207"/>
      <c r="U539" s="207"/>
      <c r="V539" s="207"/>
      <c r="W539" s="207"/>
      <c r="X539" s="207"/>
      <c r="Y539" s="207"/>
      <c r="Z539" s="207"/>
    </row>
    <row r="540" spans="1:26" ht="15.75" customHeight="1">
      <c r="A540" s="207"/>
      <c r="B540" s="207"/>
      <c r="C540" s="207"/>
      <c r="D540" s="207"/>
      <c r="E540" s="207"/>
      <c r="F540" s="207"/>
      <c r="G540" s="207"/>
      <c r="H540" s="207"/>
      <c r="I540" s="207"/>
      <c r="J540" s="207"/>
      <c r="K540" s="207"/>
      <c r="L540" s="207"/>
      <c r="M540" s="207"/>
      <c r="N540" s="207"/>
      <c r="O540" s="207"/>
      <c r="P540" s="207"/>
      <c r="Q540" s="207"/>
      <c r="R540" s="207"/>
      <c r="S540" s="207"/>
      <c r="T540" s="207"/>
      <c r="U540" s="207"/>
      <c r="V540" s="207"/>
      <c r="W540" s="207"/>
      <c r="X540" s="207"/>
      <c r="Y540" s="207"/>
      <c r="Z540" s="207"/>
    </row>
    <row r="541" spans="1:26" ht="15.75" customHeight="1">
      <c r="A541" s="207"/>
      <c r="B541" s="207"/>
      <c r="C541" s="207"/>
      <c r="D541" s="207"/>
      <c r="E541" s="207"/>
      <c r="F541" s="207"/>
      <c r="G541" s="207"/>
      <c r="H541" s="207"/>
      <c r="I541" s="207"/>
      <c r="J541" s="207"/>
      <c r="K541" s="207"/>
      <c r="L541" s="207"/>
      <c r="M541" s="207"/>
      <c r="N541" s="207"/>
      <c r="O541" s="207"/>
      <c r="P541" s="207"/>
      <c r="Q541" s="207"/>
      <c r="R541" s="207"/>
      <c r="S541" s="207"/>
      <c r="T541" s="207"/>
      <c r="U541" s="207"/>
      <c r="V541" s="207"/>
      <c r="W541" s="207"/>
      <c r="X541" s="207"/>
      <c r="Y541" s="207"/>
      <c r="Z541" s="207"/>
    </row>
    <row r="542" spans="1:26" ht="15.75" customHeight="1">
      <c r="A542" s="207"/>
      <c r="B542" s="207"/>
      <c r="C542" s="207"/>
      <c r="D542" s="207"/>
      <c r="E542" s="207"/>
      <c r="F542" s="207"/>
      <c r="G542" s="207"/>
      <c r="H542" s="207"/>
      <c r="I542" s="207"/>
      <c r="J542" s="207"/>
      <c r="K542" s="207"/>
      <c r="L542" s="207"/>
      <c r="M542" s="207"/>
      <c r="N542" s="207"/>
      <c r="O542" s="207"/>
      <c r="P542" s="207"/>
      <c r="Q542" s="207"/>
      <c r="R542" s="207"/>
      <c r="S542" s="207"/>
      <c r="T542" s="207"/>
      <c r="U542" s="207"/>
      <c r="V542" s="207"/>
      <c r="W542" s="207"/>
      <c r="X542" s="207"/>
      <c r="Y542" s="207"/>
      <c r="Z542" s="207"/>
    </row>
    <row r="543" spans="1:26" ht="15.75" customHeight="1">
      <c r="A543" s="207"/>
      <c r="B543" s="207"/>
      <c r="C543" s="207"/>
      <c r="D543" s="207"/>
      <c r="E543" s="207"/>
      <c r="F543" s="207"/>
      <c r="G543" s="207"/>
      <c r="H543" s="207"/>
      <c r="I543" s="207"/>
      <c r="J543" s="207"/>
      <c r="K543" s="207"/>
      <c r="L543" s="207"/>
      <c r="M543" s="207"/>
      <c r="N543" s="207"/>
      <c r="O543" s="207"/>
      <c r="P543" s="207"/>
      <c r="Q543" s="207"/>
      <c r="R543" s="207"/>
      <c r="S543" s="207"/>
      <c r="T543" s="207"/>
      <c r="U543" s="207"/>
      <c r="V543" s="207"/>
      <c r="W543" s="207"/>
      <c r="X543" s="207"/>
      <c r="Y543" s="207"/>
      <c r="Z543" s="207"/>
    </row>
    <row r="544" spans="1:26" ht="15.75" customHeight="1">
      <c r="A544" s="207"/>
      <c r="B544" s="207"/>
      <c r="C544" s="207"/>
      <c r="D544" s="207"/>
      <c r="E544" s="207"/>
      <c r="F544" s="207"/>
      <c r="G544" s="207"/>
      <c r="H544" s="207"/>
      <c r="I544" s="207"/>
      <c r="J544" s="207"/>
      <c r="K544" s="207"/>
      <c r="L544" s="207"/>
      <c r="M544" s="207"/>
      <c r="N544" s="207"/>
      <c r="O544" s="207"/>
      <c r="P544" s="207"/>
      <c r="Q544" s="207"/>
      <c r="R544" s="207"/>
      <c r="S544" s="207"/>
      <c r="T544" s="207"/>
      <c r="U544" s="207"/>
      <c r="V544" s="207"/>
      <c r="W544" s="207"/>
      <c r="X544" s="207"/>
      <c r="Y544" s="207"/>
      <c r="Z544" s="207"/>
    </row>
    <row r="545" spans="1:26" ht="15.75" customHeight="1">
      <c r="A545" s="207"/>
      <c r="B545" s="207"/>
      <c r="C545" s="207"/>
      <c r="D545" s="207"/>
      <c r="E545" s="207"/>
      <c r="F545" s="207"/>
      <c r="G545" s="207"/>
      <c r="H545" s="207"/>
      <c r="I545" s="207"/>
      <c r="J545" s="207"/>
      <c r="K545" s="207"/>
      <c r="L545" s="207"/>
      <c r="M545" s="207"/>
      <c r="N545" s="207"/>
      <c r="O545" s="207"/>
      <c r="P545" s="207"/>
      <c r="Q545" s="207"/>
      <c r="R545" s="207"/>
      <c r="S545" s="207"/>
      <c r="T545" s="207"/>
      <c r="U545" s="207"/>
      <c r="V545" s="207"/>
      <c r="W545" s="207"/>
      <c r="X545" s="207"/>
      <c r="Y545" s="207"/>
      <c r="Z545" s="207"/>
    </row>
    <row r="546" spans="1:26" ht="15.75" customHeight="1">
      <c r="A546" s="207"/>
      <c r="B546" s="207"/>
      <c r="C546" s="207"/>
      <c r="D546" s="207"/>
      <c r="E546" s="207"/>
      <c r="F546" s="207"/>
      <c r="G546" s="207"/>
      <c r="H546" s="207"/>
      <c r="I546" s="207"/>
      <c r="J546" s="207"/>
      <c r="K546" s="207"/>
      <c r="L546" s="207"/>
      <c r="M546" s="207"/>
      <c r="N546" s="207"/>
      <c r="O546" s="207"/>
      <c r="P546" s="207"/>
      <c r="Q546" s="207"/>
      <c r="R546" s="207"/>
      <c r="S546" s="207"/>
      <c r="T546" s="207"/>
      <c r="U546" s="207"/>
      <c r="V546" s="207"/>
      <c r="W546" s="207"/>
      <c r="X546" s="207"/>
      <c r="Y546" s="207"/>
      <c r="Z546" s="207"/>
    </row>
    <row r="547" spans="1:26" ht="15.75" customHeight="1">
      <c r="A547" s="207"/>
      <c r="B547" s="207"/>
      <c r="C547" s="207"/>
      <c r="D547" s="207"/>
      <c r="E547" s="207"/>
      <c r="F547" s="207"/>
      <c r="G547" s="207"/>
      <c r="H547" s="207"/>
      <c r="I547" s="207"/>
      <c r="J547" s="207"/>
      <c r="K547" s="207"/>
      <c r="L547" s="207"/>
      <c r="M547" s="207"/>
      <c r="N547" s="207"/>
      <c r="O547" s="207"/>
      <c r="P547" s="207"/>
      <c r="Q547" s="207"/>
      <c r="R547" s="207"/>
      <c r="S547" s="207"/>
      <c r="T547" s="207"/>
      <c r="U547" s="207"/>
      <c r="V547" s="207"/>
      <c r="W547" s="207"/>
      <c r="X547" s="207"/>
      <c r="Y547" s="207"/>
      <c r="Z547" s="207"/>
    </row>
    <row r="548" spans="1:26" ht="15.75" customHeight="1">
      <c r="A548" s="207"/>
      <c r="B548" s="207"/>
      <c r="C548" s="207"/>
      <c r="D548" s="207"/>
      <c r="E548" s="207"/>
      <c r="F548" s="207"/>
      <c r="G548" s="207"/>
      <c r="H548" s="207"/>
      <c r="I548" s="207"/>
      <c r="J548" s="207"/>
      <c r="K548" s="207"/>
      <c r="L548" s="207"/>
      <c r="M548" s="207"/>
      <c r="N548" s="207"/>
      <c r="O548" s="207"/>
      <c r="P548" s="207"/>
      <c r="Q548" s="207"/>
      <c r="R548" s="207"/>
      <c r="S548" s="207"/>
      <c r="T548" s="207"/>
      <c r="U548" s="207"/>
      <c r="V548" s="207"/>
      <c r="W548" s="207"/>
      <c r="X548" s="207"/>
      <c r="Y548" s="207"/>
      <c r="Z548" s="207"/>
    </row>
    <row r="549" spans="1:26" ht="15.75" customHeight="1">
      <c r="A549" s="207"/>
      <c r="B549" s="207"/>
      <c r="C549" s="207"/>
      <c r="D549" s="207"/>
      <c r="E549" s="207"/>
      <c r="F549" s="207"/>
      <c r="G549" s="207"/>
      <c r="H549" s="207"/>
      <c r="I549" s="207"/>
      <c r="J549" s="207"/>
      <c r="K549" s="207"/>
      <c r="L549" s="207"/>
      <c r="M549" s="207"/>
      <c r="N549" s="207"/>
      <c r="O549" s="207"/>
      <c r="P549" s="207"/>
      <c r="Q549" s="207"/>
      <c r="R549" s="207"/>
      <c r="S549" s="207"/>
      <c r="T549" s="207"/>
      <c r="U549" s="207"/>
      <c r="V549" s="207"/>
      <c r="W549" s="207"/>
      <c r="X549" s="207"/>
      <c r="Y549" s="207"/>
      <c r="Z549" s="207"/>
    </row>
    <row r="550" spans="1:26" ht="15.75" customHeight="1">
      <c r="A550" s="207"/>
      <c r="B550" s="207"/>
      <c r="C550" s="207"/>
      <c r="D550" s="207"/>
      <c r="E550" s="207"/>
      <c r="F550" s="207"/>
      <c r="G550" s="207"/>
      <c r="H550" s="207"/>
      <c r="I550" s="207"/>
      <c r="J550" s="207"/>
      <c r="K550" s="207"/>
      <c r="L550" s="207"/>
      <c r="M550" s="207"/>
      <c r="N550" s="207"/>
      <c r="O550" s="207"/>
      <c r="P550" s="207"/>
      <c r="Q550" s="207"/>
      <c r="R550" s="207"/>
      <c r="S550" s="207"/>
      <c r="T550" s="207"/>
      <c r="U550" s="207"/>
      <c r="V550" s="207"/>
      <c r="W550" s="207"/>
      <c r="X550" s="207"/>
      <c r="Y550" s="207"/>
      <c r="Z550" s="207"/>
    </row>
    <row r="551" spans="1:26" ht="15.75" customHeight="1">
      <c r="A551" s="207"/>
      <c r="B551" s="207"/>
      <c r="C551" s="207"/>
      <c r="D551" s="207"/>
      <c r="E551" s="207"/>
      <c r="F551" s="207"/>
      <c r="G551" s="207"/>
      <c r="H551" s="207"/>
      <c r="I551" s="207"/>
      <c r="J551" s="207"/>
      <c r="K551" s="207"/>
      <c r="L551" s="207"/>
      <c r="M551" s="207"/>
      <c r="N551" s="207"/>
      <c r="O551" s="207"/>
      <c r="P551" s="207"/>
      <c r="Q551" s="207"/>
      <c r="R551" s="207"/>
      <c r="S551" s="207"/>
      <c r="T551" s="207"/>
      <c r="U551" s="207"/>
      <c r="V551" s="207"/>
      <c r="W551" s="207"/>
      <c r="X551" s="207"/>
      <c r="Y551" s="207"/>
      <c r="Z551" s="207"/>
    </row>
    <row r="552" spans="1:26" ht="15.75" customHeight="1">
      <c r="A552" s="207"/>
      <c r="B552" s="207"/>
      <c r="C552" s="207"/>
      <c r="D552" s="207"/>
      <c r="E552" s="207"/>
      <c r="F552" s="207"/>
      <c r="G552" s="207"/>
      <c r="H552" s="207"/>
      <c r="I552" s="207"/>
      <c r="J552" s="207"/>
      <c r="K552" s="207"/>
      <c r="L552" s="207"/>
      <c r="M552" s="207"/>
      <c r="N552" s="207"/>
      <c r="O552" s="207"/>
      <c r="P552" s="207"/>
      <c r="Q552" s="207"/>
      <c r="R552" s="207"/>
      <c r="S552" s="207"/>
      <c r="T552" s="207"/>
      <c r="U552" s="207"/>
      <c r="V552" s="207"/>
      <c r="W552" s="207"/>
      <c r="X552" s="207"/>
      <c r="Y552" s="207"/>
      <c r="Z552" s="207"/>
    </row>
    <row r="553" spans="1:26" ht="15.75" customHeight="1">
      <c r="A553" s="207"/>
      <c r="B553" s="207"/>
      <c r="C553" s="207"/>
      <c r="D553" s="207"/>
      <c r="E553" s="207"/>
      <c r="F553" s="207"/>
      <c r="G553" s="207"/>
      <c r="H553" s="207"/>
      <c r="I553" s="207"/>
      <c r="J553" s="207"/>
      <c r="K553" s="207"/>
      <c r="L553" s="207"/>
      <c r="M553" s="207"/>
      <c r="N553" s="207"/>
      <c r="O553" s="207"/>
      <c r="P553" s="207"/>
      <c r="Q553" s="207"/>
      <c r="R553" s="207"/>
      <c r="S553" s="207"/>
      <c r="T553" s="207"/>
      <c r="U553" s="207"/>
      <c r="V553" s="207"/>
      <c r="W553" s="207"/>
      <c r="X553" s="207"/>
      <c r="Y553" s="207"/>
      <c r="Z553" s="207"/>
    </row>
    <row r="554" spans="1:26" ht="15.75" customHeight="1">
      <c r="A554" s="207"/>
      <c r="B554" s="207"/>
      <c r="C554" s="207"/>
      <c r="D554" s="207"/>
      <c r="E554" s="207"/>
      <c r="F554" s="207"/>
      <c r="G554" s="207"/>
      <c r="H554" s="207"/>
      <c r="I554" s="207"/>
      <c r="J554" s="207"/>
      <c r="K554" s="207"/>
      <c r="L554" s="207"/>
      <c r="M554" s="207"/>
      <c r="N554" s="207"/>
      <c r="O554" s="207"/>
      <c r="P554" s="207"/>
      <c r="Q554" s="207"/>
      <c r="R554" s="207"/>
      <c r="S554" s="207"/>
      <c r="T554" s="207"/>
      <c r="U554" s="207"/>
      <c r="V554" s="207"/>
      <c r="W554" s="207"/>
      <c r="X554" s="207"/>
      <c r="Y554" s="207"/>
      <c r="Z554" s="207"/>
    </row>
    <row r="555" spans="1:26" ht="15.75" customHeight="1">
      <c r="A555" s="207"/>
      <c r="B555" s="207"/>
      <c r="C555" s="207"/>
      <c r="D555" s="207"/>
      <c r="E555" s="207"/>
      <c r="F555" s="207"/>
      <c r="G555" s="207"/>
      <c r="H555" s="207"/>
      <c r="I555" s="207"/>
      <c r="J555" s="207"/>
      <c r="K555" s="207"/>
      <c r="L555" s="207"/>
      <c r="M555" s="207"/>
      <c r="N555" s="207"/>
      <c r="O555" s="207"/>
      <c r="P555" s="207"/>
      <c r="Q555" s="207"/>
      <c r="R555" s="207"/>
      <c r="S555" s="207"/>
      <c r="T555" s="207"/>
      <c r="U555" s="207"/>
      <c r="V555" s="207"/>
      <c r="W555" s="207"/>
      <c r="X555" s="207"/>
      <c r="Y555" s="207"/>
      <c r="Z555" s="207"/>
    </row>
    <row r="556" spans="1:26" ht="15.75" customHeight="1">
      <c r="A556" s="207"/>
      <c r="B556" s="207"/>
      <c r="C556" s="207"/>
      <c r="D556" s="207"/>
      <c r="E556" s="207"/>
      <c r="F556" s="207"/>
      <c r="G556" s="207"/>
      <c r="H556" s="207"/>
      <c r="I556" s="207"/>
      <c r="J556" s="207"/>
      <c r="K556" s="207"/>
      <c r="L556" s="207"/>
      <c r="M556" s="207"/>
      <c r="N556" s="207"/>
      <c r="O556" s="207"/>
      <c r="P556" s="207"/>
      <c r="Q556" s="207"/>
      <c r="R556" s="207"/>
      <c r="S556" s="207"/>
      <c r="T556" s="207"/>
      <c r="U556" s="207"/>
      <c r="V556" s="207"/>
      <c r="W556" s="207"/>
      <c r="X556" s="207"/>
      <c r="Y556" s="207"/>
      <c r="Z556" s="207"/>
    </row>
    <row r="557" spans="1:26" ht="15.75" customHeight="1">
      <c r="A557" s="207"/>
      <c r="B557" s="207"/>
      <c r="C557" s="207"/>
      <c r="D557" s="207"/>
      <c r="E557" s="207"/>
      <c r="F557" s="207"/>
      <c r="G557" s="207"/>
      <c r="H557" s="207"/>
      <c r="I557" s="207"/>
      <c r="J557" s="207"/>
      <c r="K557" s="207"/>
      <c r="L557" s="207"/>
      <c r="M557" s="207"/>
      <c r="N557" s="207"/>
      <c r="O557" s="207"/>
      <c r="P557" s="207"/>
      <c r="Q557" s="207"/>
      <c r="R557" s="207"/>
      <c r="S557" s="207"/>
      <c r="T557" s="207"/>
      <c r="U557" s="207"/>
      <c r="V557" s="207"/>
      <c r="W557" s="207"/>
      <c r="X557" s="207"/>
      <c r="Y557" s="207"/>
      <c r="Z557" s="207"/>
    </row>
    <row r="558" spans="1:26" ht="15.75" customHeight="1">
      <c r="A558" s="207"/>
      <c r="B558" s="207"/>
      <c r="C558" s="207"/>
      <c r="D558" s="207"/>
      <c r="E558" s="207"/>
      <c r="F558" s="207"/>
      <c r="G558" s="207"/>
      <c r="H558" s="207"/>
      <c r="I558" s="207"/>
      <c r="J558" s="207"/>
      <c r="K558" s="207"/>
      <c r="L558" s="207"/>
      <c r="M558" s="207"/>
      <c r="N558" s="207"/>
      <c r="O558" s="207"/>
      <c r="P558" s="207"/>
      <c r="Q558" s="207"/>
      <c r="R558" s="207"/>
      <c r="S558" s="207"/>
      <c r="T558" s="207"/>
      <c r="U558" s="207"/>
      <c r="V558" s="207"/>
      <c r="W558" s="207"/>
      <c r="X558" s="207"/>
      <c r="Y558" s="207"/>
      <c r="Z558" s="207"/>
    </row>
    <row r="559" spans="1:26" ht="15.75" customHeight="1">
      <c r="A559" s="207"/>
      <c r="B559" s="207"/>
      <c r="C559" s="207"/>
      <c r="D559" s="207"/>
      <c r="E559" s="207"/>
      <c r="F559" s="207"/>
      <c r="G559" s="207"/>
      <c r="H559" s="207"/>
      <c r="I559" s="207"/>
      <c r="J559" s="207"/>
      <c r="K559" s="207"/>
      <c r="L559" s="207"/>
      <c r="M559" s="207"/>
      <c r="N559" s="207"/>
      <c r="O559" s="207"/>
      <c r="P559" s="207"/>
      <c r="Q559" s="207"/>
      <c r="R559" s="207"/>
      <c r="S559" s="207"/>
      <c r="T559" s="207"/>
      <c r="U559" s="207"/>
      <c r="V559" s="207"/>
      <c r="W559" s="207"/>
      <c r="X559" s="207"/>
      <c r="Y559" s="207"/>
      <c r="Z559" s="207"/>
    </row>
    <row r="560" spans="1:26" ht="15.75" customHeight="1">
      <c r="A560" s="207"/>
      <c r="B560" s="207"/>
      <c r="C560" s="207"/>
      <c r="D560" s="207"/>
      <c r="E560" s="207"/>
      <c r="F560" s="207"/>
      <c r="G560" s="207"/>
      <c r="H560" s="207"/>
      <c r="I560" s="207"/>
      <c r="J560" s="207"/>
      <c r="K560" s="207"/>
      <c r="L560" s="207"/>
      <c r="M560" s="207"/>
      <c r="N560" s="207"/>
      <c r="O560" s="207"/>
      <c r="P560" s="207"/>
      <c r="Q560" s="207"/>
      <c r="R560" s="207"/>
      <c r="S560" s="207"/>
      <c r="T560" s="207"/>
      <c r="U560" s="207"/>
      <c r="V560" s="207"/>
      <c r="W560" s="207"/>
      <c r="X560" s="207"/>
      <c r="Y560" s="207"/>
      <c r="Z560" s="207"/>
    </row>
    <row r="561" spans="1:26" ht="15.75" customHeight="1">
      <c r="A561" s="207"/>
      <c r="B561" s="207"/>
      <c r="C561" s="207"/>
      <c r="D561" s="207"/>
      <c r="E561" s="207"/>
      <c r="F561" s="207"/>
      <c r="G561" s="207"/>
      <c r="H561" s="207"/>
      <c r="I561" s="207"/>
      <c r="J561" s="207"/>
      <c r="K561" s="207"/>
      <c r="L561" s="207"/>
      <c r="M561" s="207"/>
      <c r="N561" s="207"/>
      <c r="O561" s="207"/>
      <c r="P561" s="207"/>
      <c r="Q561" s="207"/>
      <c r="R561" s="207"/>
      <c r="S561" s="207"/>
      <c r="T561" s="207"/>
      <c r="U561" s="207"/>
      <c r="V561" s="207"/>
      <c r="W561" s="207"/>
      <c r="X561" s="207"/>
      <c r="Y561" s="207"/>
      <c r="Z561" s="207"/>
    </row>
    <row r="562" spans="1:26" ht="15.75" customHeight="1">
      <c r="A562" s="207"/>
      <c r="B562" s="207"/>
      <c r="C562" s="207"/>
      <c r="D562" s="207"/>
      <c r="E562" s="207"/>
      <c r="F562" s="207"/>
      <c r="G562" s="207"/>
      <c r="H562" s="207"/>
      <c r="I562" s="207"/>
      <c r="J562" s="207"/>
      <c r="K562" s="207"/>
      <c r="L562" s="207"/>
      <c r="M562" s="207"/>
      <c r="N562" s="207"/>
      <c r="O562" s="207"/>
      <c r="P562" s="207"/>
      <c r="Q562" s="207"/>
      <c r="R562" s="207"/>
      <c r="S562" s="207"/>
      <c r="T562" s="207"/>
      <c r="U562" s="207"/>
      <c r="V562" s="207"/>
      <c r="W562" s="207"/>
      <c r="X562" s="207"/>
      <c r="Y562" s="207"/>
      <c r="Z562" s="207"/>
    </row>
    <row r="563" spans="1:26" ht="15.75" customHeight="1">
      <c r="A563" s="207"/>
      <c r="B563" s="207"/>
      <c r="C563" s="207"/>
      <c r="D563" s="207"/>
      <c r="E563" s="207"/>
      <c r="F563" s="207"/>
      <c r="G563" s="207"/>
      <c r="H563" s="207"/>
      <c r="I563" s="207"/>
      <c r="J563" s="207"/>
      <c r="K563" s="207"/>
      <c r="L563" s="207"/>
      <c r="M563" s="207"/>
      <c r="N563" s="207"/>
      <c r="O563" s="207"/>
      <c r="P563" s="207"/>
      <c r="Q563" s="207"/>
      <c r="R563" s="207"/>
      <c r="S563" s="207"/>
      <c r="T563" s="207"/>
      <c r="U563" s="207"/>
      <c r="V563" s="207"/>
      <c r="W563" s="207"/>
      <c r="X563" s="207"/>
      <c r="Y563" s="207"/>
      <c r="Z563" s="207"/>
    </row>
    <row r="564" spans="1:26" ht="15.75" customHeight="1">
      <c r="A564" s="207"/>
      <c r="B564" s="207"/>
      <c r="C564" s="207"/>
      <c r="D564" s="207"/>
      <c r="E564" s="207"/>
      <c r="F564" s="207"/>
      <c r="G564" s="207"/>
      <c r="H564" s="207"/>
      <c r="I564" s="207"/>
      <c r="J564" s="207"/>
      <c r="K564" s="207"/>
      <c r="L564" s="207"/>
      <c r="M564" s="207"/>
      <c r="N564" s="207"/>
      <c r="O564" s="207"/>
      <c r="P564" s="207"/>
      <c r="Q564" s="207"/>
      <c r="R564" s="207"/>
      <c r="S564" s="207"/>
      <c r="T564" s="207"/>
      <c r="U564" s="207"/>
      <c r="V564" s="207"/>
      <c r="W564" s="207"/>
      <c r="X564" s="207"/>
      <c r="Y564" s="207"/>
      <c r="Z564" s="207"/>
    </row>
    <row r="565" spans="1:26" ht="15.75" customHeight="1">
      <c r="A565" s="207"/>
      <c r="B565" s="207"/>
      <c r="C565" s="207"/>
      <c r="D565" s="207"/>
      <c r="E565" s="207"/>
      <c r="F565" s="207"/>
      <c r="G565" s="207"/>
      <c r="H565" s="207"/>
      <c r="I565" s="207"/>
      <c r="J565" s="207"/>
      <c r="K565" s="207"/>
      <c r="L565" s="207"/>
      <c r="M565" s="207"/>
      <c r="N565" s="207"/>
      <c r="O565" s="207"/>
      <c r="P565" s="207"/>
      <c r="Q565" s="207"/>
      <c r="R565" s="207"/>
      <c r="S565" s="207"/>
      <c r="T565" s="207"/>
      <c r="U565" s="207"/>
      <c r="V565" s="207"/>
      <c r="W565" s="207"/>
      <c r="X565" s="207"/>
      <c r="Y565" s="207"/>
      <c r="Z565" s="207"/>
    </row>
    <row r="566" spans="1:26" ht="15.75" customHeight="1">
      <c r="A566" s="207"/>
      <c r="B566" s="207"/>
      <c r="C566" s="207"/>
      <c r="D566" s="207"/>
      <c r="E566" s="207"/>
      <c r="F566" s="207"/>
      <c r="G566" s="207"/>
      <c r="H566" s="207"/>
      <c r="I566" s="207"/>
      <c r="J566" s="207"/>
      <c r="K566" s="207"/>
      <c r="L566" s="207"/>
      <c r="M566" s="207"/>
      <c r="N566" s="207"/>
      <c r="O566" s="207"/>
      <c r="P566" s="207"/>
      <c r="Q566" s="207"/>
      <c r="R566" s="207"/>
      <c r="S566" s="207"/>
      <c r="T566" s="207"/>
      <c r="U566" s="207"/>
      <c r="V566" s="207"/>
      <c r="W566" s="207"/>
      <c r="X566" s="207"/>
      <c r="Y566" s="207"/>
      <c r="Z566" s="207"/>
    </row>
    <row r="567" spans="1:26" ht="15.75" customHeight="1">
      <c r="A567" s="207"/>
      <c r="B567" s="207"/>
      <c r="C567" s="207"/>
      <c r="D567" s="207"/>
      <c r="E567" s="207"/>
      <c r="F567" s="207"/>
      <c r="G567" s="207"/>
      <c r="H567" s="207"/>
      <c r="I567" s="207"/>
      <c r="J567" s="207"/>
      <c r="K567" s="207"/>
      <c r="L567" s="207"/>
      <c r="M567" s="207"/>
      <c r="N567" s="207"/>
      <c r="O567" s="207"/>
      <c r="P567" s="207"/>
      <c r="Q567" s="207"/>
      <c r="R567" s="207"/>
      <c r="S567" s="207"/>
      <c r="T567" s="207"/>
      <c r="U567" s="207"/>
      <c r="V567" s="207"/>
      <c r="W567" s="207"/>
      <c r="X567" s="207"/>
      <c r="Y567" s="207"/>
      <c r="Z567" s="207"/>
    </row>
    <row r="568" spans="1:26" ht="15.75" customHeight="1">
      <c r="A568" s="207"/>
      <c r="B568" s="207"/>
      <c r="C568" s="207"/>
      <c r="D568" s="207"/>
      <c r="E568" s="207"/>
      <c r="F568" s="207"/>
      <c r="G568" s="207"/>
      <c r="H568" s="207"/>
      <c r="I568" s="207"/>
      <c r="J568" s="207"/>
      <c r="K568" s="207"/>
      <c r="L568" s="207"/>
      <c r="M568" s="207"/>
      <c r="N568" s="207"/>
      <c r="O568" s="207"/>
      <c r="P568" s="207"/>
      <c r="Q568" s="207"/>
      <c r="R568" s="207"/>
      <c r="S568" s="207"/>
      <c r="T568" s="207"/>
      <c r="U568" s="207"/>
      <c r="V568" s="207"/>
      <c r="W568" s="207"/>
      <c r="X568" s="207"/>
      <c r="Y568" s="207"/>
      <c r="Z568" s="207"/>
    </row>
    <row r="569" spans="1:26" ht="15.75" customHeight="1">
      <c r="A569" s="207"/>
      <c r="B569" s="207"/>
      <c r="C569" s="207"/>
      <c r="D569" s="207"/>
      <c r="E569" s="207"/>
      <c r="F569" s="207"/>
      <c r="G569" s="207"/>
      <c r="H569" s="207"/>
      <c r="I569" s="207"/>
      <c r="J569" s="207"/>
      <c r="K569" s="207"/>
      <c r="L569" s="207"/>
      <c r="M569" s="207"/>
      <c r="N569" s="207"/>
      <c r="O569" s="207"/>
      <c r="P569" s="207"/>
      <c r="Q569" s="207"/>
      <c r="R569" s="207"/>
      <c r="S569" s="207"/>
      <c r="T569" s="207"/>
      <c r="U569" s="207"/>
      <c r="V569" s="207"/>
      <c r="W569" s="207"/>
      <c r="X569" s="207"/>
      <c r="Y569" s="207"/>
      <c r="Z569" s="207"/>
    </row>
    <row r="570" spans="1:26" ht="15.75" customHeight="1">
      <c r="A570" s="207"/>
      <c r="B570" s="207"/>
      <c r="C570" s="207"/>
      <c r="D570" s="207"/>
      <c r="E570" s="207"/>
      <c r="F570" s="207"/>
      <c r="G570" s="207"/>
      <c r="H570" s="207"/>
      <c r="I570" s="207"/>
      <c r="J570" s="207"/>
      <c r="K570" s="207"/>
      <c r="L570" s="207"/>
      <c r="M570" s="207"/>
      <c r="N570" s="207"/>
      <c r="O570" s="207"/>
      <c r="P570" s="207"/>
      <c r="Q570" s="207"/>
      <c r="R570" s="207"/>
      <c r="S570" s="207"/>
      <c r="T570" s="207"/>
      <c r="U570" s="207"/>
      <c r="V570" s="207"/>
      <c r="W570" s="207"/>
      <c r="X570" s="207"/>
      <c r="Y570" s="207"/>
      <c r="Z570" s="207"/>
    </row>
    <row r="571" spans="1:26" ht="15.75" customHeight="1">
      <c r="A571" s="207"/>
      <c r="B571" s="207"/>
      <c r="C571" s="207"/>
      <c r="D571" s="207"/>
      <c r="E571" s="207"/>
      <c r="F571" s="207"/>
      <c r="G571" s="207"/>
      <c r="H571" s="207"/>
      <c r="I571" s="207"/>
      <c r="J571" s="207"/>
      <c r="K571" s="207"/>
      <c r="L571" s="207"/>
      <c r="M571" s="207"/>
      <c r="N571" s="207"/>
      <c r="O571" s="207"/>
      <c r="P571" s="207"/>
      <c r="Q571" s="207"/>
      <c r="R571" s="207"/>
      <c r="S571" s="207"/>
      <c r="T571" s="207"/>
      <c r="U571" s="207"/>
      <c r="V571" s="207"/>
      <c r="W571" s="207"/>
      <c r="X571" s="207"/>
      <c r="Y571" s="207"/>
      <c r="Z571" s="207"/>
    </row>
    <row r="572" spans="1:26" ht="15.75" customHeight="1">
      <c r="A572" s="207"/>
      <c r="B572" s="207"/>
      <c r="C572" s="207"/>
      <c r="D572" s="207"/>
      <c r="E572" s="207"/>
      <c r="F572" s="207"/>
      <c r="G572" s="207"/>
      <c r="H572" s="207"/>
      <c r="I572" s="207"/>
      <c r="J572" s="207"/>
      <c r="K572" s="207"/>
      <c r="L572" s="207"/>
      <c r="M572" s="207"/>
      <c r="N572" s="207"/>
      <c r="O572" s="207"/>
      <c r="P572" s="207"/>
      <c r="Q572" s="207"/>
      <c r="R572" s="207"/>
      <c r="S572" s="207"/>
      <c r="T572" s="207"/>
      <c r="U572" s="207"/>
      <c r="V572" s="207"/>
      <c r="W572" s="207"/>
      <c r="X572" s="207"/>
      <c r="Y572" s="207"/>
      <c r="Z572" s="207"/>
    </row>
    <row r="573" spans="1:26" ht="15.75" customHeight="1">
      <c r="A573" s="207"/>
      <c r="B573" s="207"/>
      <c r="C573" s="207"/>
      <c r="D573" s="207"/>
      <c r="E573" s="207"/>
      <c r="F573" s="207"/>
      <c r="G573" s="207"/>
      <c r="H573" s="207"/>
      <c r="I573" s="207"/>
      <c r="J573" s="207"/>
      <c r="K573" s="207"/>
      <c r="L573" s="207"/>
      <c r="M573" s="207"/>
      <c r="N573" s="207"/>
      <c r="O573" s="207"/>
      <c r="P573" s="207"/>
      <c r="Q573" s="207"/>
      <c r="R573" s="207"/>
      <c r="S573" s="207"/>
      <c r="T573" s="207"/>
      <c r="U573" s="207"/>
      <c r="V573" s="207"/>
      <c r="W573" s="207"/>
      <c r="X573" s="207"/>
      <c r="Y573" s="207"/>
      <c r="Z573" s="207"/>
    </row>
    <row r="574" spans="1:26" ht="15.75" customHeight="1">
      <c r="A574" s="207"/>
      <c r="B574" s="207"/>
      <c r="C574" s="207"/>
      <c r="D574" s="207"/>
      <c r="E574" s="207"/>
      <c r="F574" s="207"/>
      <c r="G574" s="207"/>
      <c r="H574" s="207"/>
      <c r="I574" s="207"/>
      <c r="J574" s="207"/>
      <c r="K574" s="207"/>
      <c r="L574" s="207"/>
      <c r="M574" s="207"/>
      <c r="N574" s="207"/>
      <c r="O574" s="207"/>
      <c r="P574" s="207"/>
      <c r="Q574" s="207"/>
      <c r="R574" s="207"/>
      <c r="S574" s="207"/>
      <c r="T574" s="207"/>
      <c r="U574" s="207"/>
      <c r="V574" s="207"/>
      <c r="W574" s="207"/>
      <c r="X574" s="207"/>
      <c r="Y574" s="207"/>
      <c r="Z574" s="207"/>
    </row>
    <row r="575" spans="1:26" ht="15.75" customHeight="1">
      <c r="A575" s="207"/>
      <c r="B575" s="207"/>
      <c r="C575" s="207"/>
      <c r="D575" s="207"/>
      <c r="E575" s="207"/>
      <c r="F575" s="207"/>
      <c r="G575" s="207"/>
      <c r="H575" s="207"/>
      <c r="I575" s="207"/>
      <c r="J575" s="207"/>
      <c r="K575" s="207"/>
      <c r="L575" s="207"/>
      <c r="M575" s="207"/>
      <c r="N575" s="207"/>
      <c r="O575" s="207"/>
      <c r="P575" s="207"/>
      <c r="Q575" s="207"/>
      <c r="R575" s="207"/>
      <c r="S575" s="207"/>
      <c r="T575" s="207"/>
      <c r="U575" s="207"/>
      <c r="V575" s="207"/>
      <c r="W575" s="207"/>
      <c r="X575" s="207"/>
      <c r="Y575" s="207"/>
      <c r="Z575" s="207"/>
    </row>
    <row r="576" spans="1:26" ht="15.75" customHeight="1">
      <c r="A576" s="207"/>
      <c r="B576" s="207"/>
      <c r="C576" s="207"/>
      <c r="D576" s="207"/>
      <c r="E576" s="207"/>
      <c r="F576" s="207"/>
      <c r="G576" s="207"/>
      <c r="H576" s="207"/>
      <c r="I576" s="207"/>
      <c r="J576" s="207"/>
      <c r="K576" s="207"/>
      <c r="L576" s="207"/>
      <c r="M576" s="207"/>
      <c r="N576" s="207"/>
      <c r="O576" s="207"/>
      <c r="P576" s="207"/>
      <c r="Q576" s="207"/>
      <c r="R576" s="207"/>
      <c r="S576" s="207"/>
      <c r="T576" s="207"/>
      <c r="U576" s="207"/>
      <c r="V576" s="207"/>
      <c r="W576" s="207"/>
      <c r="X576" s="207"/>
      <c r="Y576" s="207"/>
      <c r="Z576" s="207"/>
    </row>
    <row r="577" spans="1:26" ht="15.75" customHeight="1">
      <c r="A577" s="207"/>
      <c r="B577" s="207"/>
      <c r="C577" s="207"/>
      <c r="D577" s="207"/>
      <c r="E577" s="207"/>
      <c r="F577" s="207"/>
      <c r="G577" s="207"/>
      <c r="H577" s="207"/>
      <c r="I577" s="207"/>
      <c r="J577" s="207"/>
      <c r="K577" s="207"/>
      <c r="L577" s="207"/>
      <c r="M577" s="207"/>
      <c r="N577" s="207"/>
      <c r="O577" s="207"/>
      <c r="P577" s="207"/>
      <c r="Q577" s="207"/>
      <c r="R577" s="207"/>
      <c r="S577" s="207"/>
      <c r="T577" s="207"/>
      <c r="U577" s="207"/>
      <c r="V577" s="207"/>
      <c r="W577" s="207"/>
      <c r="X577" s="207"/>
      <c r="Y577" s="207"/>
      <c r="Z577" s="207"/>
    </row>
    <row r="578" spans="1:26" ht="15.75" customHeight="1">
      <c r="A578" s="207"/>
      <c r="B578" s="207"/>
      <c r="C578" s="207"/>
      <c r="D578" s="207"/>
      <c r="E578" s="207"/>
      <c r="F578" s="207"/>
      <c r="G578" s="207"/>
      <c r="H578" s="207"/>
      <c r="I578" s="207"/>
      <c r="J578" s="207"/>
      <c r="K578" s="207"/>
      <c r="L578" s="207"/>
      <c r="M578" s="207"/>
      <c r="N578" s="207"/>
      <c r="O578" s="207"/>
      <c r="P578" s="207"/>
      <c r="Q578" s="207"/>
      <c r="R578" s="207"/>
      <c r="S578" s="207"/>
      <c r="T578" s="207"/>
      <c r="U578" s="207"/>
      <c r="V578" s="207"/>
      <c r="W578" s="207"/>
      <c r="X578" s="207"/>
      <c r="Y578" s="207"/>
      <c r="Z578" s="207"/>
    </row>
    <row r="579" spans="1:26" ht="15.75" customHeight="1">
      <c r="A579" s="207"/>
      <c r="B579" s="207"/>
      <c r="C579" s="207"/>
      <c r="D579" s="207"/>
      <c r="E579" s="207"/>
      <c r="F579" s="207"/>
      <c r="G579" s="207"/>
      <c r="H579" s="207"/>
      <c r="I579" s="207"/>
      <c r="J579" s="207"/>
      <c r="K579" s="207"/>
      <c r="L579" s="207"/>
      <c r="M579" s="207"/>
      <c r="N579" s="207"/>
      <c r="O579" s="207"/>
      <c r="P579" s="207"/>
      <c r="Q579" s="207"/>
      <c r="R579" s="207"/>
      <c r="S579" s="207"/>
      <c r="T579" s="207"/>
      <c r="U579" s="207"/>
      <c r="V579" s="207"/>
      <c r="W579" s="207"/>
      <c r="X579" s="207"/>
      <c r="Y579" s="207"/>
      <c r="Z579" s="207"/>
    </row>
    <row r="580" spans="1:26" ht="15.75" customHeight="1">
      <c r="A580" s="207"/>
      <c r="B580" s="207"/>
      <c r="C580" s="207"/>
      <c r="D580" s="207"/>
      <c r="E580" s="207"/>
      <c r="F580" s="207"/>
      <c r="G580" s="207"/>
      <c r="H580" s="207"/>
      <c r="I580" s="207"/>
      <c r="J580" s="207"/>
      <c r="K580" s="207"/>
      <c r="L580" s="207"/>
      <c r="M580" s="207"/>
      <c r="N580" s="207"/>
      <c r="O580" s="207"/>
      <c r="P580" s="207"/>
      <c r="Q580" s="207"/>
      <c r="R580" s="207"/>
      <c r="S580" s="207"/>
      <c r="T580" s="207"/>
      <c r="U580" s="207"/>
      <c r="V580" s="207"/>
      <c r="W580" s="207"/>
      <c r="X580" s="207"/>
      <c r="Y580" s="207"/>
      <c r="Z580" s="207"/>
    </row>
    <row r="581" spans="1:26" ht="15.75" customHeight="1">
      <c r="A581" s="207"/>
      <c r="B581" s="207"/>
      <c r="C581" s="207"/>
      <c r="D581" s="207"/>
      <c r="E581" s="207"/>
      <c r="F581" s="207"/>
      <c r="G581" s="207"/>
      <c r="H581" s="207"/>
      <c r="I581" s="207"/>
      <c r="J581" s="207"/>
      <c r="K581" s="207"/>
      <c r="L581" s="207"/>
      <c r="M581" s="207"/>
      <c r="N581" s="207"/>
      <c r="O581" s="207"/>
      <c r="P581" s="207"/>
      <c r="Q581" s="207"/>
      <c r="R581" s="207"/>
      <c r="S581" s="207"/>
      <c r="T581" s="207"/>
      <c r="U581" s="207"/>
      <c r="V581" s="207"/>
      <c r="W581" s="207"/>
      <c r="X581" s="207"/>
      <c r="Y581" s="207"/>
      <c r="Z581" s="207"/>
    </row>
    <row r="582" spans="1:26" ht="15.75" customHeight="1">
      <c r="A582" s="207"/>
      <c r="B582" s="207"/>
      <c r="C582" s="207"/>
      <c r="D582" s="207"/>
      <c r="E582" s="207"/>
      <c r="F582" s="207"/>
      <c r="G582" s="207"/>
      <c r="H582" s="207"/>
      <c r="I582" s="207"/>
      <c r="J582" s="207"/>
      <c r="K582" s="207"/>
      <c r="L582" s="207"/>
      <c r="M582" s="207"/>
      <c r="N582" s="207"/>
      <c r="O582" s="207"/>
      <c r="P582" s="207"/>
      <c r="Q582" s="207"/>
      <c r="R582" s="207"/>
      <c r="S582" s="207"/>
      <c r="T582" s="207"/>
      <c r="U582" s="207"/>
      <c r="V582" s="207"/>
      <c r="W582" s="207"/>
      <c r="X582" s="207"/>
      <c r="Y582" s="207"/>
      <c r="Z582" s="207"/>
    </row>
    <row r="583" spans="1:26" ht="15.75" customHeight="1">
      <c r="A583" s="207"/>
      <c r="B583" s="207"/>
      <c r="C583" s="207"/>
      <c r="D583" s="207"/>
      <c r="E583" s="207"/>
      <c r="F583" s="207"/>
      <c r="G583" s="207"/>
      <c r="H583" s="207"/>
      <c r="I583" s="207"/>
      <c r="J583" s="207"/>
      <c r="K583" s="207"/>
      <c r="L583" s="207"/>
      <c r="M583" s="207"/>
      <c r="N583" s="207"/>
      <c r="O583" s="207"/>
      <c r="P583" s="207"/>
      <c r="Q583" s="207"/>
      <c r="R583" s="207"/>
      <c r="S583" s="207"/>
      <c r="T583" s="207"/>
      <c r="U583" s="207"/>
      <c r="V583" s="207"/>
      <c r="W583" s="207"/>
      <c r="X583" s="207"/>
      <c r="Y583" s="207"/>
      <c r="Z583" s="207"/>
    </row>
    <row r="584" spans="1:26" ht="15.75" customHeight="1">
      <c r="A584" s="207"/>
      <c r="B584" s="207"/>
      <c r="C584" s="207"/>
      <c r="D584" s="207"/>
      <c r="E584" s="207"/>
      <c r="F584" s="207"/>
      <c r="G584" s="207"/>
      <c r="H584" s="207"/>
      <c r="I584" s="207"/>
      <c r="J584" s="207"/>
      <c r="K584" s="207"/>
      <c r="L584" s="207"/>
      <c r="M584" s="207"/>
      <c r="N584" s="207"/>
      <c r="O584" s="207"/>
      <c r="P584" s="207"/>
      <c r="Q584" s="207"/>
      <c r="R584" s="207"/>
      <c r="S584" s="207"/>
      <c r="T584" s="207"/>
      <c r="U584" s="207"/>
      <c r="V584" s="207"/>
      <c r="W584" s="207"/>
      <c r="X584" s="207"/>
      <c r="Y584" s="207"/>
      <c r="Z584" s="207"/>
    </row>
    <row r="585" spans="1:26" ht="15.75" customHeight="1">
      <c r="A585" s="207"/>
      <c r="B585" s="207"/>
      <c r="C585" s="207"/>
      <c r="D585" s="207"/>
      <c r="E585" s="207"/>
      <c r="F585" s="207"/>
      <c r="G585" s="207"/>
      <c r="H585" s="207"/>
      <c r="I585" s="207"/>
      <c r="J585" s="207"/>
      <c r="K585" s="207"/>
      <c r="L585" s="207"/>
      <c r="M585" s="207"/>
      <c r="N585" s="207"/>
      <c r="O585" s="207"/>
      <c r="P585" s="207"/>
      <c r="Q585" s="207"/>
      <c r="R585" s="207"/>
      <c r="S585" s="207"/>
      <c r="T585" s="207"/>
      <c r="U585" s="207"/>
      <c r="V585" s="207"/>
      <c r="W585" s="207"/>
      <c r="X585" s="207"/>
      <c r="Y585" s="207"/>
      <c r="Z585" s="207"/>
    </row>
    <row r="586" spans="1:26" ht="15.75" customHeight="1">
      <c r="A586" s="207"/>
      <c r="B586" s="207"/>
      <c r="C586" s="207"/>
      <c r="D586" s="207"/>
      <c r="E586" s="207"/>
      <c r="F586" s="207"/>
      <c r="G586" s="207"/>
      <c r="H586" s="207"/>
      <c r="I586" s="207"/>
      <c r="J586" s="207"/>
      <c r="K586" s="207"/>
      <c r="L586" s="207"/>
      <c r="M586" s="207"/>
      <c r="N586" s="207"/>
      <c r="O586" s="207"/>
      <c r="P586" s="207"/>
      <c r="Q586" s="207"/>
      <c r="R586" s="207"/>
      <c r="S586" s="207"/>
      <c r="T586" s="207"/>
      <c r="U586" s="207"/>
      <c r="V586" s="207"/>
      <c r="W586" s="207"/>
      <c r="X586" s="207"/>
      <c r="Y586" s="207"/>
      <c r="Z586" s="207"/>
    </row>
    <row r="587" spans="1:26" ht="15.75" customHeight="1">
      <c r="A587" s="207"/>
      <c r="B587" s="207"/>
      <c r="C587" s="207"/>
      <c r="D587" s="207"/>
      <c r="E587" s="207"/>
      <c r="F587" s="207"/>
      <c r="G587" s="207"/>
      <c r="H587" s="207"/>
      <c r="I587" s="207"/>
      <c r="J587" s="207"/>
      <c r="K587" s="207"/>
      <c r="L587" s="207"/>
      <c r="M587" s="207"/>
      <c r="N587" s="207"/>
      <c r="O587" s="207"/>
      <c r="P587" s="207"/>
      <c r="Q587" s="207"/>
      <c r="R587" s="207"/>
      <c r="S587" s="207"/>
      <c r="T587" s="207"/>
      <c r="U587" s="207"/>
      <c r="V587" s="207"/>
      <c r="W587" s="207"/>
      <c r="X587" s="207"/>
      <c r="Y587" s="207"/>
      <c r="Z587" s="207"/>
    </row>
    <row r="588" spans="1:26" ht="15.75" customHeight="1">
      <c r="A588" s="207"/>
      <c r="B588" s="207"/>
      <c r="C588" s="207"/>
      <c r="D588" s="207"/>
      <c r="E588" s="207"/>
      <c r="F588" s="207"/>
      <c r="G588" s="207"/>
      <c r="H588" s="207"/>
      <c r="I588" s="207"/>
      <c r="J588" s="207"/>
      <c r="K588" s="207"/>
      <c r="L588" s="207"/>
      <c r="M588" s="207"/>
      <c r="N588" s="207"/>
      <c r="O588" s="207"/>
      <c r="P588" s="207"/>
      <c r="Q588" s="207"/>
      <c r="R588" s="207"/>
      <c r="S588" s="207"/>
      <c r="T588" s="207"/>
      <c r="U588" s="207"/>
      <c r="V588" s="207"/>
      <c r="W588" s="207"/>
      <c r="X588" s="207"/>
      <c r="Y588" s="207"/>
      <c r="Z588" s="207"/>
    </row>
    <row r="589" spans="1:26" ht="15.75" customHeight="1">
      <c r="A589" s="207"/>
      <c r="B589" s="207"/>
      <c r="C589" s="207"/>
      <c r="D589" s="207"/>
      <c r="E589" s="207"/>
      <c r="F589" s="207"/>
      <c r="G589" s="207"/>
      <c r="H589" s="207"/>
      <c r="I589" s="207"/>
      <c r="J589" s="207"/>
      <c r="K589" s="207"/>
      <c r="L589" s="207"/>
      <c r="M589" s="207"/>
      <c r="N589" s="207"/>
      <c r="O589" s="207"/>
      <c r="P589" s="207"/>
      <c r="Q589" s="207"/>
      <c r="R589" s="207"/>
      <c r="S589" s="207"/>
      <c r="T589" s="207"/>
      <c r="U589" s="207"/>
      <c r="V589" s="207"/>
      <c r="W589" s="207"/>
      <c r="X589" s="207"/>
      <c r="Y589" s="207"/>
      <c r="Z589" s="207"/>
    </row>
    <row r="590" spans="1:26" ht="15.75" customHeight="1">
      <c r="A590" s="207"/>
      <c r="B590" s="207"/>
      <c r="C590" s="207"/>
      <c r="D590" s="207"/>
      <c r="E590" s="207"/>
      <c r="F590" s="207"/>
      <c r="G590" s="207"/>
      <c r="H590" s="207"/>
      <c r="I590" s="207"/>
      <c r="J590" s="207"/>
      <c r="K590" s="207"/>
      <c r="L590" s="207"/>
      <c r="M590" s="207"/>
      <c r="N590" s="207"/>
      <c r="O590" s="207"/>
      <c r="P590" s="207"/>
      <c r="Q590" s="207"/>
      <c r="R590" s="207"/>
      <c r="S590" s="207"/>
      <c r="T590" s="207"/>
      <c r="U590" s="207"/>
      <c r="V590" s="207"/>
      <c r="W590" s="207"/>
      <c r="X590" s="207"/>
      <c r="Y590" s="207"/>
      <c r="Z590" s="207"/>
    </row>
    <row r="591" spans="1:26" ht="15.75" customHeight="1">
      <c r="A591" s="207"/>
      <c r="B591" s="207"/>
      <c r="C591" s="207"/>
      <c r="D591" s="207"/>
      <c r="E591" s="207"/>
      <c r="F591" s="207"/>
      <c r="G591" s="207"/>
      <c r="H591" s="207"/>
      <c r="I591" s="207"/>
      <c r="J591" s="207"/>
      <c r="K591" s="207"/>
      <c r="L591" s="207"/>
      <c r="M591" s="207"/>
      <c r="N591" s="207"/>
      <c r="O591" s="207"/>
      <c r="P591" s="207"/>
      <c r="Q591" s="207"/>
      <c r="R591" s="207"/>
      <c r="S591" s="207"/>
      <c r="T591" s="207"/>
      <c r="U591" s="207"/>
      <c r="V591" s="207"/>
      <c r="W591" s="207"/>
      <c r="X591" s="207"/>
      <c r="Y591" s="207"/>
      <c r="Z591" s="207"/>
    </row>
    <row r="592" spans="1:26" ht="15.75" customHeight="1">
      <c r="A592" s="207"/>
      <c r="B592" s="207"/>
      <c r="C592" s="207"/>
      <c r="D592" s="207"/>
      <c r="E592" s="207"/>
      <c r="F592" s="207"/>
      <c r="G592" s="207"/>
      <c r="H592" s="207"/>
      <c r="I592" s="207"/>
      <c r="J592" s="207"/>
      <c r="K592" s="207"/>
      <c r="L592" s="207"/>
      <c r="M592" s="207"/>
      <c r="N592" s="207"/>
      <c r="O592" s="207"/>
      <c r="P592" s="207"/>
      <c r="Q592" s="207"/>
      <c r="R592" s="207"/>
      <c r="S592" s="207"/>
      <c r="T592" s="207"/>
      <c r="U592" s="207"/>
      <c r="V592" s="207"/>
      <c r="W592" s="207"/>
      <c r="X592" s="207"/>
      <c r="Y592" s="207"/>
      <c r="Z592" s="207"/>
    </row>
    <row r="593" spans="1:26" ht="15.75" customHeight="1">
      <c r="A593" s="207"/>
      <c r="B593" s="207"/>
      <c r="C593" s="207"/>
      <c r="D593" s="207"/>
      <c r="E593" s="207"/>
      <c r="F593" s="207"/>
      <c r="G593" s="207"/>
      <c r="H593" s="207"/>
      <c r="I593" s="207"/>
      <c r="J593" s="207"/>
      <c r="K593" s="207"/>
      <c r="L593" s="207"/>
      <c r="M593" s="207"/>
      <c r="N593" s="207"/>
      <c r="O593" s="207"/>
      <c r="P593" s="207"/>
      <c r="Q593" s="207"/>
      <c r="R593" s="207"/>
      <c r="S593" s="207"/>
      <c r="T593" s="207"/>
      <c r="U593" s="207"/>
      <c r="V593" s="207"/>
      <c r="W593" s="207"/>
      <c r="X593" s="207"/>
      <c r="Y593" s="207"/>
      <c r="Z593" s="207"/>
    </row>
    <row r="594" spans="1:26" ht="15.75" customHeight="1">
      <c r="A594" s="207"/>
      <c r="B594" s="207"/>
      <c r="C594" s="207"/>
      <c r="D594" s="207"/>
      <c r="E594" s="207"/>
      <c r="F594" s="207"/>
      <c r="G594" s="207"/>
      <c r="H594" s="207"/>
      <c r="I594" s="207"/>
      <c r="J594" s="207"/>
      <c r="K594" s="207"/>
      <c r="L594" s="207"/>
      <c r="M594" s="207"/>
      <c r="N594" s="207"/>
      <c r="O594" s="207"/>
      <c r="P594" s="207"/>
      <c r="Q594" s="207"/>
      <c r="R594" s="207"/>
      <c r="S594" s="207"/>
      <c r="T594" s="207"/>
      <c r="U594" s="207"/>
      <c r="V594" s="207"/>
      <c r="W594" s="207"/>
      <c r="X594" s="207"/>
      <c r="Y594" s="207"/>
      <c r="Z594" s="207"/>
    </row>
    <row r="595" spans="1:26" ht="15.75" customHeight="1">
      <c r="A595" s="207"/>
      <c r="B595" s="207"/>
      <c r="C595" s="207"/>
      <c r="D595" s="207"/>
      <c r="E595" s="207"/>
      <c r="F595" s="207"/>
      <c r="G595" s="207"/>
      <c r="H595" s="207"/>
      <c r="I595" s="207"/>
      <c r="J595" s="207"/>
      <c r="K595" s="207"/>
      <c r="L595" s="207"/>
      <c r="M595" s="207"/>
      <c r="N595" s="207"/>
      <c r="O595" s="207"/>
      <c r="P595" s="207"/>
      <c r="Q595" s="207"/>
      <c r="R595" s="207"/>
      <c r="S595" s="207"/>
      <c r="T595" s="207"/>
      <c r="U595" s="207"/>
      <c r="V595" s="207"/>
      <c r="W595" s="207"/>
      <c r="X595" s="207"/>
      <c r="Y595" s="207"/>
      <c r="Z595" s="207"/>
    </row>
    <row r="596" spans="1:26" ht="15.75" customHeight="1">
      <c r="A596" s="207"/>
      <c r="B596" s="207"/>
      <c r="C596" s="207"/>
      <c r="D596" s="207"/>
      <c r="E596" s="207"/>
      <c r="F596" s="207"/>
      <c r="G596" s="207"/>
      <c r="H596" s="207"/>
      <c r="I596" s="207"/>
      <c r="J596" s="207"/>
      <c r="K596" s="207"/>
      <c r="L596" s="207"/>
      <c r="M596" s="207"/>
      <c r="N596" s="207"/>
      <c r="O596" s="207"/>
      <c r="P596" s="207"/>
      <c r="Q596" s="207"/>
      <c r="R596" s="207"/>
      <c r="S596" s="207"/>
      <c r="T596" s="207"/>
      <c r="U596" s="207"/>
      <c r="V596" s="207"/>
      <c r="W596" s="207"/>
      <c r="X596" s="207"/>
      <c r="Y596" s="207"/>
      <c r="Z596" s="207"/>
    </row>
    <row r="597" spans="1:26" ht="15.75" customHeight="1">
      <c r="A597" s="207"/>
      <c r="B597" s="207"/>
      <c r="C597" s="207"/>
      <c r="D597" s="207"/>
      <c r="E597" s="207"/>
      <c r="F597" s="207"/>
      <c r="G597" s="207"/>
      <c r="H597" s="207"/>
      <c r="I597" s="207"/>
      <c r="J597" s="207"/>
      <c r="K597" s="207"/>
      <c r="L597" s="207"/>
      <c r="M597" s="207"/>
      <c r="N597" s="207"/>
      <c r="O597" s="207"/>
      <c r="P597" s="207"/>
      <c r="Q597" s="207"/>
      <c r="R597" s="207"/>
      <c r="S597" s="207"/>
      <c r="T597" s="207"/>
      <c r="U597" s="207"/>
      <c r="V597" s="207"/>
      <c r="W597" s="207"/>
      <c r="X597" s="207"/>
      <c r="Y597" s="207"/>
      <c r="Z597" s="207"/>
    </row>
    <row r="598" spans="1:26" ht="15.75" customHeight="1">
      <c r="A598" s="207"/>
      <c r="B598" s="207"/>
      <c r="C598" s="207"/>
      <c r="D598" s="207"/>
      <c r="E598" s="207"/>
      <c r="F598" s="207"/>
      <c r="G598" s="207"/>
      <c r="H598" s="207"/>
      <c r="I598" s="207"/>
      <c r="J598" s="207"/>
      <c r="K598" s="207"/>
      <c r="L598" s="207"/>
      <c r="M598" s="207"/>
      <c r="N598" s="207"/>
      <c r="O598" s="207"/>
      <c r="P598" s="207"/>
      <c r="Q598" s="207"/>
      <c r="R598" s="207"/>
      <c r="S598" s="207"/>
      <c r="T598" s="207"/>
      <c r="U598" s="207"/>
      <c r="V598" s="207"/>
      <c r="W598" s="207"/>
      <c r="X598" s="207"/>
      <c r="Y598" s="207"/>
      <c r="Z598" s="207"/>
    </row>
    <row r="599" spans="1:26" ht="15.75" customHeight="1">
      <c r="A599" s="207"/>
      <c r="B599" s="207"/>
      <c r="C599" s="207"/>
      <c r="D599" s="207"/>
      <c r="E599" s="207"/>
      <c r="F599" s="207"/>
      <c r="G599" s="207"/>
      <c r="H599" s="207"/>
      <c r="I599" s="207"/>
      <c r="J599" s="207"/>
      <c r="K599" s="207"/>
      <c r="L599" s="207"/>
      <c r="M599" s="207"/>
      <c r="N599" s="207"/>
      <c r="O599" s="207"/>
      <c r="P599" s="207"/>
      <c r="Q599" s="207"/>
      <c r="R599" s="207"/>
      <c r="S599" s="207"/>
      <c r="T599" s="207"/>
      <c r="U599" s="207"/>
      <c r="V599" s="207"/>
      <c r="W599" s="207"/>
      <c r="X599" s="207"/>
      <c r="Y599" s="207"/>
      <c r="Z599" s="207"/>
    </row>
    <row r="600" spans="1:26" ht="15.75" customHeight="1">
      <c r="A600" s="207"/>
      <c r="B600" s="207"/>
      <c r="C600" s="207"/>
      <c r="D600" s="207"/>
      <c r="E600" s="207"/>
      <c r="F600" s="207"/>
      <c r="G600" s="207"/>
      <c r="H600" s="207"/>
      <c r="I600" s="207"/>
      <c r="J600" s="207"/>
      <c r="K600" s="207"/>
      <c r="L600" s="207"/>
      <c r="M600" s="207"/>
      <c r="N600" s="207"/>
      <c r="O600" s="207"/>
      <c r="P600" s="207"/>
      <c r="Q600" s="207"/>
      <c r="R600" s="207"/>
      <c r="S600" s="207"/>
      <c r="T600" s="207"/>
      <c r="U600" s="207"/>
      <c r="V600" s="207"/>
      <c r="W600" s="207"/>
      <c r="X600" s="207"/>
      <c r="Y600" s="207"/>
      <c r="Z600" s="207"/>
    </row>
    <row r="601" spans="1:26" ht="15.75" customHeight="1">
      <c r="A601" s="207"/>
      <c r="B601" s="207"/>
      <c r="C601" s="207"/>
      <c r="D601" s="207"/>
      <c r="E601" s="207"/>
      <c r="F601" s="207"/>
      <c r="G601" s="207"/>
      <c r="H601" s="207"/>
      <c r="I601" s="207"/>
      <c r="J601" s="207"/>
      <c r="K601" s="207"/>
      <c r="L601" s="207"/>
      <c r="M601" s="207"/>
      <c r="N601" s="207"/>
      <c r="O601" s="207"/>
      <c r="P601" s="207"/>
      <c r="Q601" s="207"/>
      <c r="R601" s="207"/>
      <c r="S601" s="207"/>
      <c r="T601" s="207"/>
      <c r="U601" s="207"/>
      <c r="V601" s="207"/>
      <c r="W601" s="207"/>
      <c r="X601" s="207"/>
      <c r="Y601" s="207"/>
      <c r="Z601" s="207"/>
    </row>
    <row r="602" spans="1:26" ht="15.75" customHeight="1">
      <c r="A602" s="207"/>
      <c r="B602" s="207"/>
      <c r="C602" s="207"/>
      <c r="D602" s="207"/>
      <c r="E602" s="207"/>
      <c r="F602" s="207"/>
      <c r="G602" s="207"/>
      <c r="H602" s="207"/>
      <c r="I602" s="207"/>
      <c r="J602" s="207"/>
      <c r="K602" s="207"/>
      <c r="L602" s="207"/>
      <c r="M602" s="207"/>
      <c r="N602" s="207"/>
      <c r="O602" s="207"/>
      <c r="P602" s="207"/>
      <c r="Q602" s="207"/>
      <c r="R602" s="207"/>
      <c r="S602" s="207"/>
      <c r="T602" s="207"/>
      <c r="U602" s="207"/>
      <c r="V602" s="207"/>
      <c r="W602" s="207"/>
      <c r="X602" s="207"/>
      <c r="Y602" s="207"/>
      <c r="Z602" s="207"/>
    </row>
    <row r="603" spans="1:26" ht="15.75" customHeight="1">
      <c r="A603" s="207"/>
      <c r="B603" s="207"/>
      <c r="C603" s="207"/>
      <c r="D603" s="207"/>
      <c r="E603" s="207"/>
      <c r="F603" s="207"/>
      <c r="G603" s="207"/>
      <c r="H603" s="207"/>
      <c r="I603" s="207"/>
      <c r="J603" s="207"/>
      <c r="K603" s="207"/>
      <c r="L603" s="207"/>
      <c r="M603" s="207"/>
      <c r="N603" s="207"/>
      <c r="O603" s="207"/>
      <c r="P603" s="207"/>
      <c r="Q603" s="207"/>
      <c r="R603" s="207"/>
      <c r="S603" s="207"/>
      <c r="T603" s="207"/>
      <c r="U603" s="207"/>
      <c r="V603" s="207"/>
      <c r="W603" s="207"/>
      <c r="X603" s="207"/>
      <c r="Y603" s="207"/>
      <c r="Z603" s="207"/>
    </row>
    <row r="604" spans="1:26" ht="15.75" customHeight="1">
      <c r="A604" s="207"/>
      <c r="B604" s="207"/>
      <c r="C604" s="207"/>
      <c r="D604" s="207"/>
      <c r="E604" s="207"/>
      <c r="F604" s="207"/>
      <c r="G604" s="207"/>
      <c r="H604" s="207"/>
      <c r="I604" s="207"/>
      <c r="J604" s="207"/>
      <c r="K604" s="207"/>
      <c r="L604" s="207"/>
      <c r="M604" s="207"/>
      <c r="N604" s="207"/>
      <c r="O604" s="207"/>
      <c r="P604" s="207"/>
      <c r="Q604" s="207"/>
      <c r="R604" s="207"/>
      <c r="S604" s="207"/>
      <c r="T604" s="207"/>
      <c r="U604" s="207"/>
      <c r="V604" s="207"/>
      <c r="W604" s="207"/>
      <c r="X604" s="207"/>
      <c r="Y604" s="207"/>
      <c r="Z604" s="207"/>
    </row>
    <row r="605" spans="1:26" ht="15.75" customHeight="1">
      <c r="A605" s="207"/>
      <c r="B605" s="207"/>
      <c r="C605" s="207"/>
      <c r="D605" s="207"/>
      <c r="E605" s="207"/>
      <c r="F605" s="207"/>
      <c r="G605" s="207"/>
      <c r="H605" s="207"/>
      <c r="I605" s="207"/>
      <c r="J605" s="207"/>
      <c r="K605" s="207"/>
      <c r="L605" s="207"/>
      <c r="M605" s="207"/>
      <c r="N605" s="207"/>
      <c r="O605" s="207"/>
      <c r="P605" s="207"/>
      <c r="Q605" s="207"/>
      <c r="R605" s="207"/>
      <c r="S605" s="207"/>
      <c r="T605" s="207"/>
      <c r="U605" s="207"/>
      <c r="V605" s="207"/>
      <c r="W605" s="207"/>
      <c r="X605" s="207"/>
      <c r="Y605" s="207"/>
      <c r="Z605" s="207"/>
    </row>
    <row r="606" spans="1:26" ht="15.75" customHeight="1">
      <c r="A606" s="207"/>
      <c r="B606" s="207"/>
      <c r="C606" s="207"/>
      <c r="D606" s="207"/>
      <c r="E606" s="207"/>
      <c r="F606" s="207"/>
      <c r="G606" s="207"/>
      <c r="H606" s="207"/>
      <c r="I606" s="207"/>
      <c r="J606" s="207"/>
      <c r="K606" s="207"/>
      <c r="L606" s="207"/>
      <c r="M606" s="207"/>
      <c r="N606" s="207"/>
      <c r="O606" s="207"/>
      <c r="P606" s="207"/>
      <c r="Q606" s="207"/>
      <c r="R606" s="207"/>
      <c r="S606" s="207"/>
      <c r="T606" s="207"/>
      <c r="U606" s="207"/>
      <c r="V606" s="207"/>
      <c r="W606" s="207"/>
      <c r="X606" s="207"/>
      <c r="Y606" s="207"/>
      <c r="Z606" s="207"/>
    </row>
    <row r="607" spans="1:26" ht="15.75" customHeight="1">
      <c r="A607" s="207"/>
      <c r="B607" s="207"/>
      <c r="C607" s="207"/>
      <c r="D607" s="207"/>
      <c r="E607" s="207"/>
      <c r="F607" s="207"/>
      <c r="G607" s="207"/>
      <c r="H607" s="207"/>
      <c r="I607" s="207"/>
      <c r="J607" s="207"/>
      <c r="K607" s="207"/>
      <c r="L607" s="207"/>
      <c r="M607" s="207"/>
      <c r="N607" s="207"/>
      <c r="O607" s="207"/>
      <c r="P607" s="207"/>
      <c r="Q607" s="207"/>
      <c r="R607" s="207"/>
      <c r="S607" s="207"/>
      <c r="T607" s="207"/>
      <c r="U607" s="207"/>
      <c r="V607" s="207"/>
      <c r="W607" s="207"/>
      <c r="X607" s="207"/>
      <c r="Y607" s="207"/>
      <c r="Z607" s="207"/>
    </row>
    <row r="608" spans="1:26" ht="15.75" customHeight="1">
      <c r="A608" s="207"/>
      <c r="B608" s="207"/>
      <c r="C608" s="207"/>
      <c r="D608" s="207"/>
      <c r="E608" s="207"/>
      <c r="F608" s="207"/>
      <c r="G608" s="207"/>
      <c r="H608" s="207"/>
      <c r="I608" s="207"/>
      <c r="J608" s="207"/>
      <c r="K608" s="207"/>
      <c r="L608" s="207"/>
      <c r="M608" s="207"/>
      <c r="N608" s="207"/>
      <c r="O608" s="207"/>
      <c r="P608" s="207"/>
      <c r="Q608" s="207"/>
      <c r="R608" s="207"/>
      <c r="S608" s="207"/>
      <c r="T608" s="207"/>
      <c r="U608" s="207"/>
      <c r="V608" s="207"/>
      <c r="W608" s="207"/>
      <c r="X608" s="207"/>
      <c r="Y608" s="207"/>
      <c r="Z608" s="207"/>
    </row>
    <row r="609" spans="1:26" ht="15.75" customHeight="1">
      <c r="A609" s="207"/>
      <c r="B609" s="207"/>
      <c r="C609" s="207"/>
      <c r="D609" s="207"/>
      <c r="E609" s="207"/>
      <c r="F609" s="207"/>
      <c r="G609" s="207"/>
      <c r="H609" s="207"/>
      <c r="I609" s="207"/>
      <c r="J609" s="207"/>
      <c r="K609" s="207"/>
      <c r="L609" s="207"/>
      <c r="M609" s="207"/>
      <c r="N609" s="207"/>
      <c r="O609" s="207"/>
      <c r="P609" s="207"/>
      <c r="Q609" s="207"/>
      <c r="R609" s="207"/>
      <c r="S609" s="207"/>
      <c r="T609" s="207"/>
      <c r="U609" s="207"/>
      <c r="V609" s="207"/>
      <c r="W609" s="207"/>
      <c r="X609" s="207"/>
      <c r="Y609" s="207"/>
      <c r="Z609" s="207"/>
    </row>
    <row r="610" spans="1:26" ht="15.75" customHeight="1">
      <c r="A610" s="207"/>
      <c r="B610" s="207"/>
      <c r="C610" s="207"/>
      <c r="D610" s="207"/>
      <c r="E610" s="207"/>
      <c r="F610" s="207"/>
      <c r="G610" s="207"/>
      <c r="H610" s="207"/>
      <c r="I610" s="207"/>
      <c r="J610" s="207"/>
      <c r="K610" s="207"/>
      <c r="L610" s="207"/>
      <c r="M610" s="207"/>
      <c r="N610" s="207"/>
      <c r="O610" s="207"/>
      <c r="P610" s="207"/>
      <c r="Q610" s="207"/>
      <c r="R610" s="207"/>
      <c r="S610" s="207"/>
      <c r="T610" s="207"/>
      <c r="U610" s="207"/>
      <c r="V610" s="207"/>
      <c r="W610" s="207"/>
      <c r="X610" s="207"/>
      <c r="Y610" s="207"/>
      <c r="Z610" s="207"/>
    </row>
    <row r="611" spans="1:26" ht="15.75" customHeight="1">
      <c r="A611" s="207"/>
      <c r="B611" s="207"/>
      <c r="C611" s="207"/>
      <c r="D611" s="207"/>
      <c r="E611" s="207"/>
      <c r="F611" s="207"/>
      <c r="G611" s="207"/>
      <c r="H611" s="207"/>
      <c r="I611" s="207"/>
      <c r="J611" s="207"/>
      <c r="K611" s="207"/>
      <c r="L611" s="207"/>
      <c r="M611" s="207"/>
      <c r="N611" s="207"/>
      <c r="O611" s="207"/>
      <c r="P611" s="207"/>
      <c r="Q611" s="207"/>
      <c r="R611" s="207"/>
      <c r="S611" s="207"/>
      <c r="T611" s="207"/>
      <c r="U611" s="207"/>
      <c r="V611" s="207"/>
      <c r="W611" s="207"/>
      <c r="X611" s="207"/>
      <c r="Y611" s="207"/>
      <c r="Z611" s="207"/>
    </row>
    <row r="612" spans="1:26" ht="15.75" customHeight="1">
      <c r="A612" s="207"/>
      <c r="B612" s="207"/>
      <c r="C612" s="207"/>
      <c r="D612" s="207"/>
      <c r="E612" s="207"/>
      <c r="F612" s="207"/>
      <c r="G612" s="207"/>
      <c r="H612" s="207"/>
      <c r="I612" s="207"/>
      <c r="J612" s="207"/>
      <c r="K612" s="207"/>
      <c r="L612" s="207"/>
      <c r="M612" s="207"/>
      <c r="N612" s="207"/>
      <c r="O612" s="207"/>
      <c r="P612" s="207"/>
      <c r="Q612" s="207"/>
      <c r="R612" s="207"/>
      <c r="S612" s="207"/>
      <c r="T612" s="207"/>
      <c r="U612" s="207"/>
      <c r="V612" s="207"/>
      <c r="W612" s="207"/>
      <c r="X612" s="207"/>
      <c r="Y612" s="207"/>
      <c r="Z612" s="207"/>
    </row>
    <row r="613" spans="1:26" ht="15.75" customHeight="1">
      <c r="A613" s="207"/>
      <c r="B613" s="207"/>
      <c r="C613" s="207"/>
      <c r="D613" s="207"/>
      <c r="E613" s="207"/>
      <c r="F613" s="207"/>
      <c r="G613" s="207"/>
      <c r="H613" s="207"/>
      <c r="I613" s="207"/>
      <c r="J613" s="207"/>
      <c r="K613" s="207"/>
      <c r="L613" s="207"/>
      <c r="M613" s="207"/>
      <c r="N613" s="207"/>
      <c r="O613" s="207"/>
      <c r="P613" s="207"/>
      <c r="Q613" s="207"/>
      <c r="R613" s="207"/>
      <c r="S613" s="207"/>
      <c r="T613" s="207"/>
      <c r="U613" s="207"/>
      <c r="V613" s="207"/>
      <c r="W613" s="207"/>
      <c r="X613" s="207"/>
      <c r="Y613" s="207"/>
      <c r="Z613" s="207"/>
    </row>
    <row r="614" spans="1:26" ht="15.75" customHeight="1">
      <c r="A614" s="207"/>
      <c r="B614" s="207"/>
      <c r="C614" s="207"/>
      <c r="D614" s="207"/>
      <c r="E614" s="207"/>
      <c r="F614" s="207"/>
      <c r="G614" s="207"/>
      <c r="H614" s="207"/>
      <c r="I614" s="207"/>
      <c r="J614" s="207"/>
      <c r="K614" s="207"/>
      <c r="L614" s="207"/>
      <c r="M614" s="207"/>
      <c r="N614" s="207"/>
      <c r="O614" s="207"/>
      <c r="P614" s="207"/>
      <c r="Q614" s="207"/>
      <c r="R614" s="207"/>
      <c r="S614" s="207"/>
      <c r="T614" s="207"/>
      <c r="U614" s="207"/>
      <c r="V614" s="207"/>
      <c r="W614" s="207"/>
      <c r="X614" s="207"/>
      <c r="Y614" s="207"/>
      <c r="Z614" s="207"/>
    </row>
    <row r="615" spans="1:26" ht="15.75" customHeight="1">
      <c r="A615" s="207"/>
      <c r="B615" s="207"/>
      <c r="C615" s="207"/>
      <c r="D615" s="207"/>
      <c r="E615" s="207"/>
      <c r="F615" s="207"/>
      <c r="G615" s="207"/>
      <c r="H615" s="207"/>
      <c r="I615" s="207"/>
      <c r="J615" s="207"/>
      <c r="K615" s="207"/>
      <c r="L615" s="207"/>
      <c r="M615" s="207"/>
      <c r="N615" s="207"/>
      <c r="O615" s="207"/>
      <c r="P615" s="207"/>
      <c r="Q615" s="207"/>
      <c r="R615" s="207"/>
      <c r="S615" s="207"/>
      <c r="T615" s="207"/>
      <c r="U615" s="207"/>
      <c r="V615" s="207"/>
      <c r="W615" s="207"/>
      <c r="X615" s="207"/>
      <c r="Y615" s="207"/>
      <c r="Z615" s="207"/>
    </row>
    <row r="616" spans="1:26" ht="15.75" customHeight="1">
      <c r="A616" s="207"/>
      <c r="B616" s="207"/>
      <c r="C616" s="207"/>
      <c r="D616" s="207"/>
      <c r="E616" s="207"/>
      <c r="F616" s="207"/>
      <c r="G616" s="207"/>
      <c r="H616" s="207"/>
      <c r="I616" s="207"/>
      <c r="J616" s="207"/>
      <c r="K616" s="207"/>
      <c r="L616" s="207"/>
      <c r="M616" s="207"/>
      <c r="N616" s="207"/>
      <c r="O616" s="207"/>
      <c r="P616" s="207"/>
      <c r="Q616" s="207"/>
      <c r="R616" s="207"/>
      <c r="S616" s="207"/>
      <c r="T616" s="207"/>
      <c r="U616" s="207"/>
      <c r="V616" s="207"/>
      <c r="W616" s="207"/>
      <c r="X616" s="207"/>
      <c r="Y616" s="207"/>
      <c r="Z616" s="207"/>
    </row>
    <row r="617" spans="1:26" ht="15.75" customHeight="1">
      <c r="A617" s="207"/>
      <c r="B617" s="207"/>
      <c r="C617" s="207"/>
      <c r="D617" s="207"/>
      <c r="E617" s="207"/>
      <c r="F617" s="207"/>
      <c r="G617" s="207"/>
      <c r="H617" s="207"/>
      <c r="I617" s="207"/>
      <c r="J617" s="207"/>
      <c r="K617" s="207"/>
      <c r="L617" s="207"/>
      <c r="M617" s="207"/>
      <c r="N617" s="207"/>
      <c r="O617" s="207"/>
      <c r="P617" s="207"/>
      <c r="Q617" s="207"/>
      <c r="R617" s="207"/>
      <c r="S617" s="207"/>
      <c r="T617" s="207"/>
      <c r="U617" s="207"/>
      <c r="V617" s="207"/>
      <c r="W617" s="207"/>
      <c r="X617" s="207"/>
      <c r="Y617" s="207"/>
      <c r="Z617" s="207"/>
    </row>
    <row r="618" spans="1:26" ht="15.75" customHeight="1">
      <c r="A618" s="207"/>
      <c r="B618" s="207"/>
      <c r="C618" s="207"/>
      <c r="D618" s="207"/>
      <c r="E618" s="207"/>
      <c r="F618" s="207"/>
      <c r="G618" s="207"/>
      <c r="H618" s="207"/>
      <c r="I618" s="207"/>
      <c r="J618" s="207"/>
      <c r="K618" s="207"/>
      <c r="L618" s="207"/>
      <c r="M618" s="207"/>
      <c r="N618" s="207"/>
      <c r="O618" s="207"/>
      <c r="P618" s="207"/>
      <c r="Q618" s="207"/>
      <c r="R618" s="207"/>
      <c r="S618" s="207"/>
      <c r="T618" s="207"/>
      <c r="U618" s="207"/>
      <c r="V618" s="207"/>
      <c r="W618" s="207"/>
      <c r="X618" s="207"/>
      <c r="Y618" s="207"/>
      <c r="Z618" s="207"/>
    </row>
    <row r="619" spans="1:26" ht="15.75" customHeight="1">
      <c r="A619" s="207"/>
      <c r="B619" s="207"/>
      <c r="C619" s="207"/>
      <c r="D619" s="207"/>
      <c r="E619" s="207"/>
      <c r="F619" s="207"/>
      <c r="G619" s="207"/>
      <c r="H619" s="207"/>
      <c r="I619" s="207"/>
      <c r="J619" s="207"/>
      <c r="K619" s="207"/>
      <c r="L619" s="207"/>
      <c r="M619" s="207"/>
      <c r="N619" s="207"/>
      <c r="O619" s="207"/>
      <c r="P619" s="207"/>
      <c r="Q619" s="207"/>
      <c r="R619" s="207"/>
      <c r="S619" s="207"/>
      <c r="T619" s="207"/>
      <c r="U619" s="207"/>
      <c r="V619" s="207"/>
      <c r="W619" s="207"/>
      <c r="X619" s="207"/>
      <c r="Y619" s="207"/>
      <c r="Z619" s="207"/>
    </row>
    <row r="620" spans="1:26" ht="15.75" customHeight="1">
      <c r="A620" s="207"/>
      <c r="B620" s="207"/>
      <c r="C620" s="207"/>
      <c r="D620" s="207"/>
      <c r="E620" s="207"/>
      <c r="F620" s="207"/>
      <c r="G620" s="207"/>
      <c r="H620" s="207"/>
      <c r="I620" s="207"/>
      <c r="J620" s="207"/>
      <c r="K620" s="207"/>
      <c r="L620" s="207"/>
      <c r="M620" s="207"/>
      <c r="N620" s="207"/>
      <c r="O620" s="207"/>
      <c r="P620" s="207"/>
      <c r="Q620" s="207"/>
      <c r="R620" s="207"/>
      <c r="S620" s="207"/>
      <c r="T620" s="207"/>
      <c r="U620" s="207"/>
      <c r="V620" s="207"/>
      <c r="W620" s="207"/>
      <c r="X620" s="207"/>
      <c r="Y620" s="207"/>
      <c r="Z620" s="207"/>
    </row>
    <row r="621" spans="1:26" ht="15.75" customHeight="1">
      <c r="A621" s="207"/>
      <c r="B621" s="207"/>
      <c r="C621" s="207"/>
      <c r="D621" s="207"/>
      <c r="E621" s="207"/>
      <c r="F621" s="207"/>
      <c r="G621" s="207"/>
      <c r="H621" s="207"/>
      <c r="I621" s="207"/>
      <c r="J621" s="207"/>
      <c r="K621" s="207"/>
      <c r="L621" s="207"/>
      <c r="M621" s="207"/>
      <c r="N621" s="207"/>
      <c r="O621" s="207"/>
      <c r="P621" s="207"/>
      <c r="Q621" s="207"/>
      <c r="R621" s="207"/>
      <c r="S621" s="207"/>
      <c r="T621" s="207"/>
      <c r="U621" s="207"/>
      <c r="V621" s="207"/>
      <c r="W621" s="207"/>
      <c r="X621" s="207"/>
      <c r="Y621" s="207"/>
      <c r="Z621" s="207"/>
    </row>
    <row r="622" spans="1:26" ht="15.75" customHeight="1">
      <c r="A622" s="207"/>
      <c r="B622" s="207"/>
      <c r="C622" s="207"/>
      <c r="D622" s="207"/>
      <c r="E622" s="207"/>
      <c r="F622" s="207"/>
      <c r="G622" s="207"/>
      <c r="H622" s="207"/>
      <c r="I622" s="207"/>
      <c r="J622" s="207"/>
      <c r="K622" s="207"/>
      <c r="L622" s="207"/>
      <c r="M622" s="207"/>
      <c r="N622" s="207"/>
      <c r="O622" s="207"/>
      <c r="P622" s="207"/>
      <c r="Q622" s="207"/>
      <c r="R622" s="207"/>
      <c r="S622" s="207"/>
      <c r="T622" s="207"/>
      <c r="U622" s="207"/>
      <c r="V622" s="207"/>
      <c r="W622" s="207"/>
      <c r="X622" s="207"/>
      <c r="Y622" s="207"/>
      <c r="Z622" s="207"/>
    </row>
    <row r="623" spans="1:26" ht="15.75" customHeight="1">
      <c r="A623" s="207"/>
      <c r="B623" s="207"/>
      <c r="C623" s="207"/>
      <c r="D623" s="207"/>
      <c r="E623" s="207"/>
      <c r="F623" s="207"/>
      <c r="G623" s="207"/>
      <c r="H623" s="207"/>
      <c r="I623" s="207"/>
      <c r="J623" s="207"/>
      <c r="K623" s="207"/>
      <c r="L623" s="207"/>
      <c r="M623" s="207"/>
      <c r="N623" s="207"/>
      <c r="O623" s="207"/>
      <c r="P623" s="207"/>
      <c r="Q623" s="207"/>
      <c r="R623" s="207"/>
      <c r="S623" s="207"/>
      <c r="T623" s="207"/>
      <c r="U623" s="207"/>
      <c r="V623" s="207"/>
      <c r="W623" s="207"/>
      <c r="X623" s="207"/>
      <c r="Y623" s="207"/>
      <c r="Z623" s="207"/>
    </row>
    <row r="624" spans="1:26" ht="15.75" customHeight="1">
      <c r="A624" s="207"/>
      <c r="B624" s="207"/>
      <c r="C624" s="207"/>
      <c r="D624" s="207"/>
      <c r="E624" s="207"/>
      <c r="F624" s="207"/>
      <c r="G624" s="207"/>
      <c r="H624" s="207"/>
      <c r="I624" s="207"/>
      <c r="J624" s="207"/>
      <c r="K624" s="207"/>
      <c r="L624" s="207"/>
      <c r="M624" s="207"/>
      <c r="N624" s="207"/>
      <c r="O624" s="207"/>
      <c r="P624" s="207"/>
      <c r="Q624" s="207"/>
      <c r="R624" s="207"/>
      <c r="S624" s="207"/>
      <c r="T624" s="207"/>
      <c r="U624" s="207"/>
      <c r="V624" s="207"/>
      <c r="W624" s="207"/>
      <c r="X624" s="207"/>
      <c r="Y624" s="207"/>
      <c r="Z624" s="207"/>
    </row>
    <row r="625" spans="1:26" ht="15.75" customHeight="1">
      <c r="A625" s="207"/>
      <c r="B625" s="207"/>
      <c r="C625" s="207"/>
      <c r="D625" s="207"/>
      <c r="E625" s="207"/>
      <c r="F625" s="207"/>
      <c r="G625" s="207"/>
      <c r="H625" s="207"/>
      <c r="I625" s="207"/>
      <c r="J625" s="207"/>
      <c r="K625" s="207"/>
      <c r="L625" s="207"/>
      <c r="M625" s="207"/>
      <c r="N625" s="207"/>
      <c r="O625" s="207"/>
      <c r="P625" s="207"/>
      <c r="Q625" s="207"/>
      <c r="R625" s="207"/>
      <c r="S625" s="207"/>
      <c r="T625" s="207"/>
      <c r="U625" s="207"/>
      <c r="V625" s="207"/>
      <c r="W625" s="207"/>
      <c r="X625" s="207"/>
      <c r="Y625" s="207"/>
      <c r="Z625" s="207"/>
    </row>
    <row r="626" spans="1:26" ht="15.75" customHeight="1">
      <c r="A626" s="207"/>
      <c r="B626" s="207"/>
      <c r="C626" s="207"/>
      <c r="D626" s="207"/>
      <c r="E626" s="207"/>
      <c r="F626" s="207"/>
      <c r="G626" s="207"/>
      <c r="H626" s="207"/>
      <c r="I626" s="207"/>
      <c r="J626" s="207"/>
      <c r="K626" s="207"/>
      <c r="L626" s="207"/>
      <c r="M626" s="207"/>
      <c r="N626" s="207"/>
      <c r="O626" s="207"/>
      <c r="P626" s="207"/>
      <c r="Q626" s="207"/>
      <c r="R626" s="207"/>
      <c r="S626" s="207"/>
      <c r="T626" s="207"/>
      <c r="U626" s="207"/>
      <c r="V626" s="207"/>
      <c r="W626" s="207"/>
      <c r="X626" s="207"/>
      <c r="Y626" s="207"/>
      <c r="Z626" s="207"/>
    </row>
    <row r="627" spans="1:26" ht="15.75" customHeight="1">
      <c r="A627" s="207"/>
      <c r="B627" s="207"/>
      <c r="C627" s="207"/>
      <c r="D627" s="207"/>
      <c r="E627" s="207"/>
      <c r="F627" s="207"/>
      <c r="G627" s="207"/>
      <c r="H627" s="207"/>
      <c r="I627" s="207"/>
      <c r="J627" s="207"/>
      <c r="K627" s="207"/>
      <c r="L627" s="207"/>
      <c r="M627" s="207"/>
      <c r="N627" s="207"/>
      <c r="O627" s="207"/>
      <c r="P627" s="207"/>
      <c r="Q627" s="207"/>
      <c r="R627" s="207"/>
      <c r="S627" s="207"/>
      <c r="T627" s="207"/>
      <c r="U627" s="207"/>
      <c r="V627" s="207"/>
      <c r="W627" s="207"/>
      <c r="X627" s="207"/>
      <c r="Y627" s="207"/>
      <c r="Z627" s="207"/>
    </row>
    <row r="628" spans="1:26" ht="15.75" customHeight="1">
      <c r="A628" s="207"/>
      <c r="B628" s="207"/>
      <c r="C628" s="207"/>
      <c r="D628" s="207"/>
      <c r="E628" s="207"/>
      <c r="F628" s="207"/>
      <c r="G628" s="207"/>
      <c r="H628" s="207"/>
      <c r="I628" s="207"/>
      <c r="J628" s="207"/>
      <c r="K628" s="207"/>
      <c r="L628" s="207"/>
      <c r="M628" s="207"/>
      <c r="N628" s="207"/>
      <c r="O628" s="207"/>
      <c r="P628" s="207"/>
      <c r="Q628" s="207"/>
      <c r="R628" s="207"/>
      <c r="S628" s="207"/>
      <c r="T628" s="207"/>
      <c r="U628" s="207"/>
      <c r="V628" s="207"/>
      <c r="W628" s="207"/>
      <c r="X628" s="207"/>
      <c r="Y628" s="207"/>
      <c r="Z628" s="207"/>
    </row>
    <row r="629" spans="1:26" ht="15.75" customHeight="1">
      <c r="A629" s="207"/>
      <c r="B629" s="207"/>
      <c r="C629" s="207"/>
      <c r="D629" s="207"/>
      <c r="E629" s="207"/>
      <c r="F629" s="207"/>
      <c r="G629" s="207"/>
      <c r="H629" s="207"/>
      <c r="I629" s="207"/>
      <c r="J629" s="207"/>
      <c r="K629" s="207"/>
      <c r="L629" s="207"/>
      <c r="M629" s="207"/>
      <c r="N629" s="207"/>
      <c r="O629" s="207"/>
      <c r="P629" s="207"/>
      <c r="Q629" s="207"/>
      <c r="R629" s="207"/>
      <c r="S629" s="207"/>
      <c r="T629" s="207"/>
      <c r="U629" s="207"/>
      <c r="V629" s="207"/>
      <c r="W629" s="207"/>
      <c r="X629" s="207"/>
      <c r="Y629" s="207"/>
      <c r="Z629" s="207"/>
    </row>
    <row r="630" spans="1:26" ht="15.75" customHeight="1">
      <c r="A630" s="207"/>
      <c r="B630" s="207"/>
      <c r="C630" s="207"/>
      <c r="D630" s="207"/>
      <c r="E630" s="207"/>
      <c r="F630" s="207"/>
      <c r="G630" s="207"/>
      <c r="H630" s="207"/>
      <c r="I630" s="207"/>
      <c r="J630" s="207"/>
      <c r="K630" s="207"/>
      <c r="L630" s="207"/>
      <c r="M630" s="207"/>
      <c r="N630" s="207"/>
      <c r="O630" s="207"/>
      <c r="P630" s="207"/>
      <c r="Q630" s="207"/>
      <c r="R630" s="207"/>
      <c r="S630" s="207"/>
      <c r="T630" s="207"/>
      <c r="U630" s="207"/>
      <c r="V630" s="207"/>
      <c r="W630" s="207"/>
      <c r="X630" s="207"/>
      <c r="Y630" s="207"/>
      <c r="Z630" s="207"/>
    </row>
    <row r="631" spans="1:26" ht="15.75" customHeight="1">
      <c r="A631" s="207"/>
      <c r="B631" s="207"/>
      <c r="C631" s="207"/>
      <c r="D631" s="207"/>
      <c r="E631" s="207"/>
      <c r="F631" s="207"/>
      <c r="G631" s="207"/>
      <c r="H631" s="207"/>
      <c r="I631" s="207"/>
      <c r="J631" s="207"/>
      <c r="K631" s="207"/>
      <c r="L631" s="207"/>
      <c r="M631" s="207"/>
      <c r="N631" s="207"/>
      <c r="O631" s="207"/>
      <c r="P631" s="207"/>
      <c r="Q631" s="207"/>
      <c r="R631" s="207"/>
      <c r="S631" s="207"/>
      <c r="T631" s="207"/>
      <c r="U631" s="207"/>
      <c r="V631" s="207"/>
      <c r="W631" s="207"/>
      <c r="X631" s="207"/>
      <c r="Y631" s="207"/>
      <c r="Z631" s="207"/>
    </row>
    <row r="632" spans="1:26" ht="15.75" customHeight="1">
      <c r="A632" s="207"/>
      <c r="B632" s="207"/>
      <c r="C632" s="207"/>
      <c r="D632" s="207"/>
      <c r="E632" s="207"/>
      <c r="F632" s="207"/>
      <c r="G632" s="207"/>
      <c r="H632" s="207"/>
      <c r="I632" s="207"/>
      <c r="J632" s="207"/>
      <c r="K632" s="207"/>
      <c r="L632" s="207"/>
      <c r="M632" s="207"/>
      <c r="N632" s="207"/>
      <c r="O632" s="207"/>
      <c r="P632" s="207"/>
      <c r="Q632" s="207"/>
      <c r="R632" s="207"/>
      <c r="S632" s="207"/>
      <c r="T632" s="207"/>
      <c r="U632" s="207"/>
      <c r="V632" s="207"/>
      <c r="W632" s="207"/>
      <c r="X632" s="207"/>
      <c r="Y632" s="207"/>
      <c r="Z632" s="207"/>
    </row>
    <row r="633" spans="1:26" ht="15.75" customHeight="1">
      <c r="A633" s="207"/>
      <c r="B633" s="207"/>
      <c r="C633" s="207"/>
      <c r="D633" s="207"/>
      <c r="E633" s="207"/>
      <c r="F633" s="207"/>
      <c r="G633" s="207"/>
      <c r="H633" s="207"/>
      <c r="I633" s="207"/>
      <c r="J633" s="207"/>
      <c r="K633" s="207"/>
      <c r="L633" s="207"/>
      <c r="M633" s="207"/>
      <c r="N633" s="207"/>
      <c r="O633" s="207"/>
      <c r="P633" s="207"/>
      <c r="Q633" s="207"/>
      <c r="R633" s="207"/>
      <c r="S633" s="207"/>
      <c r="T633" s="207"/>
      <c r="U633" s="207"/>
      <c r="V633" s="207"/>
      <c r="W633" s="207"/>
      <c r="X633" s="207"/>
      <c r="Y633" s="207"/>
      <c r="Z633" s="207"/>
    </row>
    <row r="634" spans="1:26" ht="15.75" customHeight="1">
      <c r="A634" s="207"/>
      <c r="B634" s="207"/>
      <c r="C634" s="207"/>
      <c r="D634" s="207"/>
      <c r="E634" s="207"/>
      <c r="F634" s="207"/>
      <c r="G634" s="207"/>
      <c r="H634" s="207"/>
      <c r="I634" s="207"/>
      <c r="J634" s="207"/>
      <c r="K634" s="207"/>
      <c r="L634" s="207"/>
      <c r="M634" s="207"/>
      <c r="N634" s="207"/>
      <c r="O634" s="207"/>
      <c r="P634" s="207"/>
      <c r="Q634" s="207"/>
      <c r="R634" s="207"/>
      <c r="S634" s="207"/>
      <c r="T634" s="207"/>
      <c r="U634" s="207"/>
      <c r="V634" s="207"/>
      <c r="W634" s="207"/>
      <c r="X634" s="207"/>
      <c r="Y634" s="207"/>
      <c r="Z634" s="207"/>
    </row>
    <row r="635" spans="1:26" ht="15.75" customHeight="1">
      <c r="A635" s="207"/>
      <c r="B635" s="207"/>
      <c r="C635" s="207"/>
      <c r="D635" s="207"/>
      <c r="E635" s="207"/>
      <c r="F635" s="207"/>
      <c r="G635" s="207"/>
      <c r="H635" s="207"/>
      <c r="I635" s="207"/>
      <c r="J635" s="207"/>
      <c r="K635" s="207"/>
      <c r="L635" s="207"/>
      <c r="M635" s="207"/>
      <c r="N635" s="207"/>
      <c r="O635" s="207"/>
      <c r="P635" s="207"/>
      <c r="Q635" s="207"/>
      <c r="R635" s="207"/>
      <c r="S635" s="207"/>
      <c r="T635" s="207"/>
      <c r="U635" s="207"/>
      <c r="V635" s="207"/>
      <c r="W635" s="207"/>
      <c r="X635" s="207"/>
      <c r="Y635" s="207"/>
      <c r="Z635" s="207"/>
    </row>
    <row r="636" spans="1:26" ht="15.75" customHeight="1">
      <c r="A636" s="207"/>
      <c r="B636" s="207"/>
      <c r="C636" s="207"/>
      <c r="D636" s="207"/>
      <c r="E636" s="207"/>
      <c r="F636" s="207"/>
      <c r="G636" s="207"/>
      <c r="H636" s="207"/>
      <c r="I636" s="207"/>
      <c r="J636" s="207"/>
      <c r="K636" s="207"/>
      <c r="L636" s="207"/>
      <c r="M636" s="207"/>
      <c r="N636" s="207"/>
      <c r="O636" s="207"/>
      <c r="P636" s="207"/>
      <c r="Q636" s="207"/>
      <c r="R636" s="207"/>
      <c r="S636" s="207"/>
      <c r="T636" s="207"/>
      <c r="U636" s="207"/>
      <c r="V636" s="207"/>
      <c r="W636" s="207"/>
      <c r="X636" s="207"/>
      <c r="Y636" s="207"/>
      <c r="Z636" s="207"/>
    </row>
    <row r="637" spans="1:26" ht="15.75" customHeight="1">
      <c r="A637" s="207"/>
      <c r="B637" s="207"/>
      <c r="C637" s="207"/>
      <c r="D637" s="207"/>
      <c r="E637" s="207"/>
      <c r="F637" s="207"/>
      <c r="G637" s="207"/>
      <c r="H637" s="207"/>
      <c r="I637" s="207"/>
      <c r="J637" s="207"/>
      <c r="K637" s="207"/>
      <c r="L637" s="207"/>
      <c r="M637" s="207"/>
      <c r="N637" s="207"/>
      <c r="O637" s="207"/>
      <c r="P637" s="207"/>
      <c r="Q637" s="207"/>
      <c r="R637" s="207"/>
      <c r="S637" s="207"/>
      <c r="T637" s="207"/>
      <c r="U637" s="207"/>
      <c r="V637" s="207"/>
      <c r="W637" s="207"/>
      <c r="X637" s="207"/>
      <c r="Y637" s="207"/>
      <c r="Z637" s="207"/>
    </row>
    <row r="638" spans="1:26" ht="15.75" customHeight="1">
      <c r="A638" s="207"/>
      <c r="B638" s="207"/>
      <c r="C638" s="207"/>
      <c r="D638" s="207"/>
      <c r="E638" s="207"/>
      <c r="F638" s="207"/>
      <c r="G638" s="207"/>
      <c r="H638" s="207"/>
      <c r="I638" s="207"/>
      <c r="J638" s="207"/>
      <c r="K638" s="207"/>
      <c r="L638" s="207"/>
      <c r="M638" s="207"/>
      <c r="N638" s="207"/>
      <c r="O638" s="207"/>
      <c r="P638" s="207"/>
      <c r="Q638" s="207"/>
      <c r="R638" s="207"/>
      <c r="S638" s="207"/>
      <c r="T638" s="207"/>
      <c r="U638" s="207"/>
      <c r="V638" s="207"/>
      <c r="W638" s="207"/>
      <c r="X638" s="207"/>
      <c r="Y638" s="207"/>
      <c r="Z638" s="207"/>
    </row>
    <row r="639" spans="1:26" ht="15.75" customHeight="1">
      <c r="A639" s="207"/>
      <c r="B639" s="207"/>
      <c r="C639" s="207"/>
      <c r="D639" s="207"/>
      <c r="E639" s="207"/>
      <c r="F639" s="207"/>
      <c r="G639" s="207"/>
      <c r="H639" s="207"/>
      <c r="I639" s="207"/>
      <c r="J639" s="207"/>
      <c r="K639" s="207"/>
      <c r="L639" s="207"/>
      <c r="M639" s="207"/>
      <c r="N639" s="207"/>
      <c r="O639" s="207"/>
      <c r="P639" s="207"/>
      <c r="Q639" s="207"/>
      <c r="R639" s="207"/>
      <c r="S639" s="207"/>
      <c r="T639" s="207"/>
      <c r="U639" s="207"/>
      <c r="V639" s="207"/>
      <c r="W639" s="207"/>
      <c r="X639" s="207"/>
      <c r="Y639" s="207"/>
      <c r="Z639" s="207"/>
    </row>
    <row r="640" spans="1:26" ht="15.75" customHeight="1">
      <c r="A640" s="207"/>
      <c r="B640" s="207"/>
      <c r="C640" s="207"/>
      <c r="D640" s="207"/>
      <c r="E640" s="207"/>
      <c r="F640" s="207"/>
      <c r="G640" s="207"/>
      <c r="H640" s="207"/>
      <c r="I640" s="207"/>
      <c r="J640" s="207"/>
      <c r="K640" s="207"/>
      <c r="L640" s="207"/>
      <c r="M640" s="207"/>
      <c r="N640" s="207"/>
      <c r="O640" s="207"/>
      <c r="P640" s="207"/>
      <c r="Q640" s="207"/>
      <c r="R640" s="207"/>
      <c r="S640" s="207"/>
      <c r="T640" s="207"/>
      <c r="U640" s="207"/>
      <c r="V640" s="207"/>
      <c r="W640" s="207"/>
      <c r="X640" s="207"/>
      <c r="Y640" s="207"/>
      <c r="Z640" s="207"/>
    </row>
    <row r="641" spans="1:26" ht="15.75" customHeight="1">
      <c r="A641" s="207"/>
      <c r="B641" s="207"/>
      <c r="C641" s="207"/>
      <c r="D641" s="207"/>
      <c r="E641" s="207"/>
      <c r="F641" s="207"/>
      <c r="G641" s="207"/>
      <c r="H641" s="207"/>
      <c r="I641" s="207"/>
      <c r="J641" s="207"/>
      <c r="K641" s="207"/>
      <c r="L641" s="207"/>
      <c r="M641" s="207"/>
      <c r="N641" s="207"/>
      <c r="O641" s="207"/>
      <c r="P641" s="207"/>
      <c r="Q641" s="207"/>
      <c r="R641" s="207"/>
      <c r="S641" s="207"/>
      <c r="T641" s="207"/>
      <c r="U641" s="207"/>
      <c r="V641" s="207"/>
      <c r="W641" s="207"/>
      <c r="X641" s="207"/>
      <c r="Y641" s="207"/>
      <c r="Z641" s="207"/>
    </row>
    <row r="642" spans="1:26" ht="15.75" customHeight="1">
      <c r="A642" s="207"/>
      <c r="B642" s="207"/>
      <c r="C642" s="207"/>
      <c r="D642" s="207"/>
      <c r="E642" s="207"/>
      <c r="F642" s="207"/>
      <c r="G642" s="207"/>
      <c r="H642" s="207"/>
      <c r="I642" s="207"/>
      <c r="J642" s="207"/>
      <c r="K642" s="207"/>
      <c r="L642" s="207"/>
      <c r="M642" s="207"/>
      <c r="N642" s="207"/>
      <c r="O642" s="207"/>
      <c r="P642" s="207"/>
      <c r="Q642" s="207"/>
      <c r="R642" s="207"/>
      <c r="S642" s="207"/>
      <c r="T642" s="207"/>
      <c r="U642" s="207"/>
      <c r="V642" s="207"/>
      <c r="W642" s="207"/>
      <c r="X642" s="207"/>
      <c r="Y642" s="207"/>
      <c r="Z642" s="207"/>
    </row>
    <row r="643" spans="1:26" ht="15.75" customHeight="1">
      <c r="A643" s="207"/>
      <c r="B643" s="207"/>
      <c r="C643" s="207"/>
      <c r="D643" s="207"/>
      <c r="E643" s="207"/>
      <c r="F643" s="207"/>
      <c r="G643" s="207"/>
      <c r="H643" s="207"/>
      <c r="I643" s="207"/>
      <c r="J643" s="207"/>
      <c r="K643" s="207"/>
      <c r="L643" s="207"/>
      <c r="M643" s="207"/>
      <c r="N643" s="207"/>
      <c r="O643" s="207"/>
      <c r="P643" s="207"/>
      <c r="Q643" s="207"/>
      <c r="R643" s="207"/>
      <c r="S643" s="207"/>
      <c r="T643" s="207"/>
      <c r="U643" s="207"/>
      <c r="V643" s="207"/>
      <c r="W643" s="207"/>
      <c r="X643" s="207"/>
      <c r="Y643" s="207"/>
      <c r="Z643" s="207"/>
    </row>
    <row r="644" spans="1:26" ht="15.75" customHeight="1">
      <c r="A644" s="207"/>
      <c r="B644" s="207"/>
      <c r="C644" s="207"/>
      <c r="D644" s="207"/>
      <c r="E644" s="207"/>
      <c r="F644" s="207"/>
      <c r="G644" s="207"/>
      <c r="H644" s="207"/>
      <c r="I644" s="207"/>
      <c r="J644" s="207"/>
      <c r="K644" s="207"/>
      <c r="L644" s="207"/>
      <c r="M644" s="207"/>
      <c r="N644" s="207"/>
      <c r="O644" s="207"/>
      <c r="P644" s="207"/>
      <c r="Q644" s="207"/>
      <c r="R644" s="207"/>
      <c r="S644" s="207"/>
      <c r="T644" s="207"/>
      <c r="U644" s="207"/>
      <c r="V644" s="207"/>
      <c r="W644" s="207"/>
      <c r="X644" s="207"/>
      <c r="Y644" s="207"/>
      <c r="Z644" s="207"/>
    </row>
    <row r="645" spans="1:26" ht="15.75" customHeight="1">
      <c r="A645" s="207"/>
      <c r="B645" s="207"/>
      <c r="C645" s="207"/>
      <c r="D645" s="207"/>
      <c r="E645" s="207"/>
      <c r="F645" s="207"/>
      <c r="G645" s="207"/>
      <c r="H645" s="207"/>
      <c r="I645" s="207"/>
      <c r="J645" s="207"/>
      <c r="K645" s="207"/>
      <c r="L645" s="207"/>
      <c r="M645" s="207"/>
      <c r="N645" s="207"/>
      <c r="O645" s="207"/>
      <c r="P645" s="207"/>
      <c r="Q645" s="207"/>
      <c r="R645" s="207"/>
      <c r="S645" s="207"/>
      <c r="T645" s="207"/>
      <c r="U645" s="207"/>
      <c r="V645" s="207"/>
      <c r="W645" s="207"/>
      <c r="X645" s="207"/>
      <c r="Y645" s="207"/>
      <c r="Z645" s="207"/>
    </row>
    <row r="646" spans="1:26" ht="15.75" customHeight="1">
      <c r="A646" s="207"/>
      <c r="B646" s="207"/>
      <c r="C646" s="207"/>
      <c r="D646" s="207"/>
      <c r="E646" s="207"/>
      <c r="F646" s="207"/>
      <c r="G646" s="207"/>
      <c r="H646" s="207"/>
      <c r="I646" s="207"/>
      <c r="J646" s="207"/>
      <c r="K646" s="207"/>
      <c r="L646" s="207"/>
      <c r="M646" s="207"/>
      <c r="N646" s="207"/>
      <c r="O646" s="207"/>
      <c r="P646" s="207"/>
      <c r="Q646" s="207"/>
      <c r="R646" s="207"/>
      <c r="S646" s="207"/>
      <c r="T646" s="207"/>
      <c r="U646" s="207"/>
      <c r="V646" s="207"/>
      <c r="W646" s="207"/>
      <c r="X646" s="207"/>
      <c r="Y646" s="207"/>
      <c r="Z646" s="207"/>
    </row>
    <row r="647" spans="1:26" ht="15.75" customHeight="1">
      <c r="A647" s="207"/>
      <c r="B647" s="207"/>
      <c r="C647" s="207"/>
      <c r="D647" s="207"/>
      <c r="E647" s="207"/>
      <c r="F647" s="207"/>
      <c r="G647" s="207"/>
      <c r="H647" s="207"/>
      <c r="I647" s="207"/>
      <c r="J647" s="207"/>
      <c r="K647" s="207"/>
      <c r="L647" s="207"/>
      <c r="M647" s="207"/>
      <c r="N647" s="207"/>
      <c r="O647" s="207"/>
      <c r="P647" s="207"/>
      <c r="Q647" s="207"/>
      <c r="R647" s="207"/>
      <c r="S647" s="207"/>
      <c r="T647" s="207"/>
      <c r="U647" s="207"/>
      <c r="V647" s="207"/>
      <c r="W647" s="207"/>
      <c r="X647" s="207"/>
      <c r="Y647" s="207"/>
      <c r="Z647" s="207"/>
    </row>
    <row r="648" spans="1:26" ht="15.75" customHeight="1">
      <c r="A648" s="207"/>
      <c r="B648" s="207"/>
      <c r="C648" s="207"/>
      <c r="D648" s="207"/>
      <c r="E648" s="207"/>
      <c r="F648" s="207"/>
      <c r="G648" s="207"/>
      <c r="H648" s="207"/>
      <c r="I648" s="207"/>
      <c r="J648" s="207"/>
      <c r="K648" s="207"/>
      <c r="L648" s="207"/>
      <c r="M648" s="207"/>
      <c r="N648" s="207"/>
      <c r="O648" s="207"/>
      <c r="P648" s="207"/>
      <c r="Q648" s="207"/>
      <c r="R648" s="207"/>
      <c r="S648" s="207"/>
      <c r="T648" s="207"/>
      <c r="U648" s="207"/>
      <c r="V648" s="207"/>
      <c r="W648" s="207"/>
      <c r="X648" s="207"/>
      <c r="Y648" s="207"/>
      <c r="Z648" s="207"/>
    </row>
    <row r="649" spans="1:26" ht="15.75" customHeight="1">
      <c r="A649" s="207"/>
      <c r="B649" s="207"/>
      <c r="C649" s="207"/>
      <c r="D649" s="207"/>
      <c r="E649" s="207"/>
      <c r="F649" s="207"/>
      <c r="G649" s="207"/>
      <c r="H649" s="207"/>
      <c r="I649" s="207"/>
      <c r="J649" s="207"/>
      <c r="K649" s="207"/>
      <c r="L649" s="207"/>
      <c r="M649" s="207"/>
      <c r="N649" s="207"/>
      <c r="O649" s="207"/>
      <c r="P649" s="207"/>
      <c r="Q649" s="207"/>
      <c r="R649" s="207"/>
      <c r="S649" s="207"/>
      <c r="T649" s="207"/>
      <c r="U649" s="207"/>
      <c r="V649" s="207"/>
      <c r="W649" s="207"/>
      <c r="X649" s="207"/>
      <c r="Y649" s="207"/>
      <c r="Z649" s="207"/>
    </row>
    <row r="650" spans="1:26" ht="15.75" customHeight="1">
      <c r="A650" s="207"/>
      <c r="B650" s="207"/>
      <c r="C650" s="207"/>
      <c r="D650" s="207"/>
      <c r="E650" s="207"/>
      <c r="F650" s="207"/>
      <c r="G650" s="207"/>
      <c r="H650" s="207"/>
      <c r="I650" s="207"/>
      <c r="J650" s="207"/>
      <c r="K650" s="207"/>
      <c r="L650" s="207"/>
      <c r="M650" s="207"/>
      <c r="N650" s="207"/>
      <c r="O650" s="207"/>
      <c r="P650" s="207"/>
      <c r="Q650" s="207"/>
      <c r="R650" s="207"/>
      <c r="S650" s="207"/>
      <c r="T650" s="207"/>
      <c r="U650" s="207"/>
      <c r="V650" s="207"/>
      <c r="W650" s="207"/>
      <c r="X650" s="207"/>
      <c r="Y650" s="207"/>
      <c r="Z650" s="207"/>
    </row>
    <row r="651" spans="1:26" ht="15.75" customHeight="1">
      <c r="A651" s="207"/>
      <c r="B651" s="207"/>
      <c r="C651" s="207"/>
      <c r="D651" s="207"/>
      <c r="E651" s="207"/>
      <c r="F651" s="207"/>
      <c r="G651" s="207"/>
      <c r="H651" s="207"/>
      <c r="I651" s="207"/>
      <c r="J651" s="207"/>
      <c r="K651" s="207"/>
      <c r="L651" s="207"/>
      <c r="M651" s="207"/>
      <c r="N651" s="207"/>
      <c r="O651" s="207"/>
      <c r="P651" s="207"/>
      <c r="Q651" s="207"/>
      <c r="R651" s="207"/>
      <c r="S651" s="207"/>
      <c r="T651" s="207"/>
      <c r="U651" s="207"/>
      <c r="V651" s="207"/>
      <c r="W651" s="207"/>
      <c r="X651" s="207"/>
      <c r="Y651" s="207"/>
      <c r="Z651" s="207"/>
    </row>
    <row r="652" spans="1:26" ht="15.75" customHeight="1">
      <c r="A652" s="207"/>
      <c r="B652" s="207"/>
      <c r="C652" s="207"/>
      <c r="D652" s="207"/>
      <c r="E652" s="207"/>
      <c r="F652" s="207"/>
      <c r="G652" s="207"/>
      <c r="H652" s="207"/>
      <c r="I652" s="207"/>
      <c r="J652" s="207"/>
      <c r="K652" s="207"/>
      <c r="L652" s="207"/>
      <c r="M652" s="207"/>
      <c r="N652" s="207"/>
      <c r="O652" s="207"/>
      <c r="P652" s="207"/>
      <c r="Q652" s="207"/>
      <c r="R652" s="207"/>
      <c r="S652" s="207"/>
      <c r="T652" s="207"/>
      <c r="U652" s="207"/>
      <c r="V652" s="207"/>
      <c r="W652" s="207"/>
      <c r="X652" s="207"/>
      <c r="Y652" s="207"/>
      <c r="Z652" s="207"/>
    </row>
    <row r="653" spans="1:26" ht="15.75" customHeight="1">
      <c r="A653" s="207"/>
      <c r="B653" s="207"/>
      <c r="C653" s="207"/>
      <c r="D653" s="207"/>
      <c r="E653" s="207"/>
      <c r="F653" s="207"/>
      <c r="G653" s="207"/>
      <c r="H653" s="207"/>
      <c r="I653" s="207"/>
      <c r="J653" s="207"/>
      <c r="K653" s="207"/>
      <c r="L653" s="207"/>
      <c r="M653" s="207"/>
      <c r="N653" s="207"/>
      <c r="O653" s="207"/>
      <c r="P653" s="207"/>
      <c r="Q653" s="207"/>
      <c r="R653" s="207"/>
      <c r="S653" s="207"/>
      <c r="T653" s="207"/>
      <c r="U653" s="207"/>
      <c r="V653" s="207"/>
      <c r="W653" s="207"/>
      <c r="X653" s="207"/>
      <c r="Y653" s="207"/>
      <c r="Z653" s="207"/>
    </row>
    <row r="654" spans="1:26" ht="15.75" customHeight="1">
      <c r="A654" s="207"/>
      <c r="B654" s="207"/>
      <c r="C654" s="207"/>
      <c r="D654" s="207"/>
      <c r="E654" s="207"/>
      <c r="F654" s="207"/>
      <c r="G654" s="207"/>
      <c r="H654" s="207"/>
      <c r="I654" s="207"/>
      <c r="J654" s="207"/>
      <c r="K654" s="207"/>
      <c r="L654" s="207"/>
      <c r="M654" s="207"/>
      <c r="N654" s="207"/>
      <c r="O654" s="207"/>
      <c r="P654" s="207"/>
      <c r="Q654" s="207"/>
      <c r="R654" s="207"/>
      <c r="S654" s="207"/>
      <c r="T654" s="207"/>
      <c r="U654" s="207"/>
      <c r="V654" s="207"/>
      <c r="W654" s="207"/>
      <c r="X654" s="207"/>
      <c r="Y654" s="207"/>
      <c r="Z654" s="207"/>
    </row>
    <row r="655" spans="1:26" ht="15.75" customHeight="1">
      <c r="A655" s="207"/>
      <c r="B655" s="207"/>
      <c r="C655" s="207"/>
      <c r="D655" s="207"/>
      <c r="E655" s="207"/>
      <c r="F655" s="207"/>
      <c r="G655" s="207"/>
      <c r="H655" s="207"/>
      <c r="I655" s="207"/>
      <c r="J655" s="207"/>
      <c r="K655" s="207"/>
      <c r="L655" s="207"/>
      <c r="M655" s="207"/>
      <c r="N655" s="207"/>
      <c r="O655" s="207"/>
      <c r="P655" s="207"/>
      <c r="Q655" s="207"/>
      <c r="R655" s="207"/>
      <c r="S655" s="207"/>
      <c r="T655" s="207"/>
      <c r="U655" s="207"/>
      <c r="V655" s="207"/>
      <c r="W655" s="207"/>
      <c r="X655" s="207"/>
      <c r="Y655" s="207"/>
      <c r="Z655" s="207"/>
    </row>
    <row r="656" spans="1:26" ht="15.75" customHeight="1">
      <c r="A656" s="207"/>
      <c r="B656" s="207"/>
      <c r="C656" s="207"/>
      <c r="D656" s="207"/>
      <c r="E656" s="207"/>
      <c r="F656" s="207"/>
      <c r="G656" s="207"/>
      <c r="H656" s="207"/>
      <c r="I656" s="207"/>
      <c r="J656" s="207"/>
      <c r="K656" s="207"/>
      <c r="L656" s="207"/>
      <c r="M656" s="207"/>
      <c r="N656" s="207"/>
      <c r="O656" s="207"/>
      <c r="P656" s="207"/>
      <c r="Q656" s="207"/>
      <c r="R656" s="207"/>
      <c r="S656" s="207"/>
      <c r="T656" s="207"/>
      <c r="U656" s="207"/>
      <c r="V656" s="207"/>
      <c r="W656" s="207"/>
      <c r="X656" s="207"/>
      <c r="Y656" s="207"/>
      <c r="Z656" s="207"/>
    </row>
    <row r="657" spans="1:26" ht="15.75" customHeight="1">
      <c r="A657" s="207"/>
      <c r="B657" s="207"/>
      <c r="C657" s="207"/>
      <c r="D657" s="207"/>
      <c r="E657" s="207"/>
      <c r="F657" s="207"/>
      <c r="G657" s="207"/>
      <c r="H657" s="207"/>
      <c r="I657" s="207"/>
      <c r="J657" s="207"/>
      <c r="K657" s="207"/>
      <c r="L657" s="207"/>
      <c r="M657" s="207"/>
      <c r="N657" s="207"/>
      <c r="O657" s="207"/>
      <c r="P657" s="207"/>
      <c r="Q657" s="207"/>
      <c r="R657" s="207"/>
      <c r="S657" s="207"/>
      <c r="T657" s="207"/>
      <c r="U657" s="207"/>
      <c r="V657" s="207"/>
      <c r="W657" s="207"/>
      <c r="X657" s="207"/>
      <c r="Y657" s="207"/>
      <c r="Z657" s="207"/>
    </row>
    <row r="658" spans="1:26" ht="15.75" customHeight="1">
      <c r="A658" s="207"/>
      <c r="B658" s="207"/>
      <c r="C658" s="207"/>
      <c r="D658" s="207"/>
      <c r="E658" s="207"/>
      <c r="F658" s="207"/>
      <c r="G658" s="207"/>
      <c r="H658" s="207"/>
      <c r="I658" s="207"/>
      <c r="J658" s="207"/>
      <c r="K658" s="207"/>
      <c r="L658" s="207"/>
      <c r="M658" s="207"/>
      <c r="N658" s="207"/>
      <c r="O658" s="207"/>
      <c r="P658" s="207"/>
      <c r="Q658" s="207"/>
      <c r="R658" s="207"/>
      <c r="S658" s="207"/>
      <c r="T658" s="207"/>
      <c r="U658" s="207"/>
      <c r="V658" s="207"/>
      <c r="W658" s="207"/>
      <c r="X658" s="207"/>
      <c r="Y658" s="207"/>
      <c r="Z658" s="207"/>
    </row>
    <row r="659" spans="1:26" ht="15.75" customHeight="1">
      <c r="A659" s="207"/>
      <c r="B659" s="207"/>
      <c r="C659" s="207"/>
      <c r="D659" s="207"/>
      <c r="E659" s="207"/>
      <c r="F659" s="207"/>
      <c r="G659" s="207"/>
      <c r="H659" s="207"/>
      <c r="I659" s="207"/>
      <c r="J659" s="207"/>
      <c r="K659" s="207"/>
      <c r="L659" s="207"/>
      <c r="M659" s="207"/>
      <c r="N659" s="207"/>
      <c r="O659" s="207"/>
      <c r="P659" s="207"/>
      <c r="Q659" s="207"/>
      <c r="R659" s="207"/>
      <c r="S659" s="207"/>
      <c r="T659" s="207"/>
      <c r="U659" s="207"/>
      <c r="V659" s="207"/>
      <c r="W659" s="207"/>
      <c r="X659" s="207"/>
      <c r="Y659" s="207"/>
      <c r="Z659" s="207"/>
    </row>
    <row r="660" spans="1:26" ht="15.75" customHeight="1">
      <c r="A660" s="207"/>
      <c r="B660" s="207"/>
      <c r="C660" s="207"/>
      <c r="D660" s="207"/>
      <c r="E660" s="207"/>
      <c r="F660" s="207"/>
      <c r="G660" s="207"/>
      <c r="H660" s="207"/>
      <c r="I660" s="207"/>
      <c r="J660" s="207"/>
      <c r="K660" s="207"/>
      <c r="L660" s="207"/>
      <c r="M660" s="207"/>
      <c r="N660" s="207"/>
      <c r="O660" s="207"/>
      <c r="P660" s="207"/>
      <c r="Q660" s="207"/>
      <c r="R660" s="207"/>
      <c r="S660" s="207"/>
      <c r="T660" s="207"/>
      <c r="U660" s="207"/>
      <c r="V660" s="207"/>
      <c r="W660" s="207"/>
      <c r="X660" s="207"/>
      <c r="Y660" s="207"/>
      <c r="Z660" s="207"/>
    </row>
    <row r="661" spans="1:26" ht="15.75" customHeight="1">
      <c r="A661" s="207"/>
      <c r="B661" s="207"/>
      <c r="C661" s="207"/>
      <c r="D661" s="207"/>
      <c r="E661" s="207"/>
      <c r="F661" s="207"/>
      <c r="G661" s="207"/>
      <c r="H661" s="207"/>
      <c r="I661" s="207"/>
      <c r="J661" s="207"/>
      <c r="K661" s="207"/>
      <c r="L661" s="207"/>
      <c r="M661" s="207"/>
      <c r="N661" s="207"/>
      <c r="O661" s="207"/>
      <c r="P661" s="207"/>
      <c r="Q661" s="207"/>
      <c r="R661" s="207"/>
      <c r="S661" s="207"/>
      <c r="T661" s="207"/>
      <c r="U661" s="207"/>
      <c r="V661" s="207"/>
      <c r="W661" s="207"/>
      <c r="X661" s="207"/>
      <c r="Y661" s="207"/>
      <c r="Z661" s="207"/>
    </row>
    <row r="662" spans="1:26" ht="15.75" customHeight="1">
      <c r="A662" s="207"/>
      <c r="B662" s="207"/>
      <c r="C662" s="207"/>
      <c r="D662" s="207"/>
      <c r="E662" s="207"/>
      <c r="F662" s="207"/>
      <c r="G662" s="207"/>
      <c r="H662" s="207"/>
      <c r="I662" s="207"/>
      <c r="J662" s="207"/>
      <c r="K662" s="207"/>
      <c r="L662" s="207"/>
      <c r="M662" s="207"/>
      <c r="N662" s="207"/>
      <c r="O662" s="207"/>
      <c r="P662" s="207"/>
      <c r="Q662" s="207"/>
      <c r="R662" s="207"/>
      <c r="S662" s="207"/>
      <c r="T662" s="207"/>
      <c r="U662" s="207"/>
      <c r="V662" s="207"/>
      <c r="W662" s="207"/>
      <c r="X662" s="207"/>
      <c r="Y662" s="207"/>
      <c r="Z662" s="207"/>
    </row>
    <row r="663" spans="1:26" ht="15.75" customHeight="1">
      <c r="A663" s="207"/>
      <c r="B663" s="207"/>
      <c r="C663" s="207"/>
      <c r="D663" s="207"/>
      <c r="E663" s="207"/>
      <c r="F663" s="207"/>
      <c r="G663" s="207"/>
      <c r="H663" s="207"/>
      <c r="I663" s="207"/>
      <c r="J663" s="207"/>
      <c r="K663" s="207"/>
      <c r="L663" s="207"/>
      <c r="M663" s="207"/>
      <c r="N663" s="207"/>
      <c r="O663" s="207"/>
      <c r="P663" s="207"/>
      <c r="Q663" s="207"/>
      <c r="R663" s="207"/>
      <c r="S663" s="207"/>
      <c r="T663" s="207"/>
      <c r="U663" s="207"/>
      <c r="V663" s="207"/>
      <c r="W663" s="207"/>
      <c r="X663" s="207"/>
      <c r="Y663" s="207"/>
      <c r="Z663" s="207"/>
    </row>
    <row r="664" spans="1:26" ht="15.75" customHeight="1">
      <c r="A664" s="207"/>
      <c r="B664" s="207"/>
      <c r="C664" s="207"/>
      <c r="D664" s="207"/>
      <c r="E664" s="207"/>
      <c r="F664" s="207"/>
      <c r="G664" s="207"/>
      <c r="H664" s="207"/>
      <c r="I664" s="207"/>
      <c r="J664" s="207"/>
      <c r="K664" s="207"/>
      <c r="L664" s="207"/>
      <c r="M664" s="207"/>
      <c r="N664" s="207"/>
      <c r="O664" s="207"/>
      <c r="P664" s="207"/>
      <c r="Q664" s="207"/>
      <c r="R664" s="207"/>
      <c r="S664" s="207"/>
      <c r="T664" s="207"/>
      <c r="U664" s="207"/>
      <c r="V664" s="207"/>
      <c r="W664" s="207"/>
      <c r="X664" s="207"/>
      <c r="Y664" s="207"/>
      <c r="Z664" s="207"/>
    </row>
    <row r="665" spans="1:26" ht="15.75" customHeight="1">
      <c r="A665" s="207"/>
      <c r="B665" s="207"/>
      <c r="C665" s="207"/>
      <c r="D665" s="207"/>
      <c r="E665" s="207"/>
      <c r="F665" s="207"/>
      <c r="G665" s="207"/>
      <c r="H665" s="207"/>
      <c r="I665" s="207"/>
      <c r="J665" s="207"/>
      <c r="K665" s="207"/>
      <c r="L665" s="207"/>
      <c r="M665" s="207"/>
      <c r="N665" s="207"/>
      <c r="O665" s="207"/>
      <c r="P665" s="207"/>
      <c r="Q665" s="207"/>
      <c r="R665" s="207"/>
      <c r="S665" s="207"/>
      <c r="T665" s="207"/>
      <c r="U665" s="207"/>
      <c r="V665" s="207"/>
      <c r="W665" s="207"/>
      <c r="X665" s="207"/>
      <c r="Y665" s="207"/>
      <c r="Z665" s="207"/>
    </row>
    <row r="666" spans="1:26" ht="15.75" customHeight="1">
      <c r="A666" s="207"/>
      <c r="B666" s="207"/>
      <c r="C666" s="207"/>
      <c r="D666" s="207"/>
      <c r="E666" s="207"/>
      <c r="F666" s="207"/>
      <c r="G666" s="207"/>
      <c r="H666" s="207"/>
      <c r="I666" s="207"/>
      <c r="J666" s="207"/>
      <c r="K666" s="207"/>
      <c r="L666" s="207"/>
      <c r="M666" s="207"/>
      <c r="N666" s="207"/>
      <c r="O666" s="207"/>
      <c r="P666" s="207"/>
      <c r="Q666" s="207"/>
      <c r="R666" s="207"/>
      <c r="S666" s="207"/>
      <c r="T666" s="207"/>
      <c r="U666" s="207"/>
      <c r="V666" s="207"/>
      <c r="W666" s="207"/>
      <c r="X666" s="207"/>
      <c r="Y666" s="207"/>
      <c r="Z666" s="207"/>
    </row>
    <row r="667" spans="1:26" ht="15.75" customHeight="1">
      <c r="A667" s="207"/>
      <c r="B667" s="207"/>
      <c r="C667" s="207"/>
      <c r="D667" s="207"/>
      <c r="E667" s="207"/>
      <c r="F667" s="207"/>
      <c r="G667" s="207"/>
      <c r="H667" s="207"/>
      <c r="I667" s="207"/>
      <c r="J667" s="207"/>
      <c r="K667" s="207"/>
      <c r="L667" s="207"/>
      <c r="M667" s="207"/>
      <c r="N667" s="207"/>
      <c r="O667" s="207"/>
      <c r="P667" s="207"/>
      <c r="Q667" s="207"/>
      <c r="R667" s="207"/>
      <c r="S667" s="207"/>
      <c r="T667" s="207"/>
      <c r="U667" s="207"/>
      <c r="V667" s="207"/>
      <c r="W667" s="207"/>
      <c r="X667" s="207"/>
      <c r="Y667" s="207"/>
      <c r="Z667" s="207"/>
    </row>
    <row r="668" spans="1:26" ht="15.75" customHeight="1">
      <c r="A668" s="207"/>
      <c r="B668" s="207"/>
      <c r="C668" s="207"/>
      <c r="D668" s="207"/>
      <c r="E668" s="207"/>
      <c r="F668" s="207"/>
      <c r="G668" s="207"/>
      <c r="H668" s="207"/>
      <c r="I668" s="207"/>
      <c r="J668" s="207"/>
      <c r="K668" s="207"/>
      <c r="L668" s="207"/>
      <c r="M668" s="207"/>
      <c r="N668" s="207"/>
      <c r="O668" s="207"/>
      <c r="P668" s="207"/>
      <c r="Q668" s="207"/>
      <c r="R668" s="207"/>
      <c r="S668" s="207"/>
      <c r="T668" s="207"/>
      <c r="U668" s="207"/>
      <c r="V668" s="207"/>
      <c r="W668" s="207"/>
      <c r="X668" s="207"/>
      <c r="Y668" s="207"/>
      <c r="Z668" s="207"/>
    </row>
    <row r="669" spans="1:26" ht="15.75" customHeight="1">
      <c r="A669" s="207"/>
      <c r="B669" s="207"/>
      <c r="C669" s="207"/>
      <c r="D669" s="207"/>
      <c r="E669" s="207"/>
      <c r="F669" s="207"/>
      <c r="G669" s="207"/>
      <c r="H669" s="207"/>
      <c r="I669" s="207"/>
      <c r="J669" s="207"/>
      <c r="K669" s="207"/>
      <c r="L669" s="207"/>
      <c r="M669" s="207"/>
      <c r="N669" s="207"/>
      <c r="O669" s="207"/>
      <c r="P669" s="207"/>
      <c r="Q669" s="207"/>
      <c r="R669" s="207"/>
      <c r="S669" s="207"/>
      <c r="T669" s="207"/>
      <c r="U669" s="207"/>
      <c r="V669" s="207"/>
      <c r="W669" s="207"/>
      <c r="X669" s="207"/>
      <c r="Y669" s="207"/>
      <c r="Z669" s="207"/>
    </row>
    <row r="670" spans="1:26" ht="15.75" customHeight="1">
      <c r="A670" s="207"/>
      <c r="B670" s="207"/>
      <c r="C670" s="207"/>
      <c r="D670" s="207"/>
      <c r="E670" s="207"/>
      <c r="F670" s="207"/>
      <c r="G670" s="207"/>
      <c r="H670" s="207"/>
      <c r="I670" s="207"/>
      <c r="J670" s="207"/>
      <c r="K670" s="207"/>
      <c r="L670" s="207"/>
      <c r="M670" s="207"/>
      <c r="N670" s="207"/>
      <c r="O670" s="207"/>
      <c r="P670" s="207"/>
      <c r="Q670" s="207"/>
      <c r="R670" s="207"/>
      <c r="S670" s="207"/>
      <c r="T670" s="207"/>
      <c r="U670" s="207"/>
      <c r="V670" s="207"/>
      <c r="W670" s="207"/>
      <c r="X670" s="207"/>
      <c r="Y670" s="207"/>
      <c r="Z670" s="207"/>
    </row>
    <row r="671" spans="1:26" ht="15.75" customHeight="1">
      <c r="A671" s="207"/>
      <c r="B671" s="207"/>
      <c r="C671" s="207"/>
      <c r="D671" s="207"/>
      <c r="E671" s="207"/>
      <c r="F671" s="207"/>
      <c r="G671" s="207"/>
      <c r="H671" s="207"/>
      <c r="I671" s="207"/>
      <c r="J671" s="207"/>
      <c r="K671" s="207"/>
      <c r="L671" s="207"/>
      <c r="M671" s="207"/>
      <c r="N671" s="207"/>
      <c r="O671" s="207"/>
      <c r="P671" s="207"/>
      <c r="Q671" s="207"/>
      <c r="R671" s="207"/>
      <c r="S671" s="207"/>
      <c r="T671" s="207"/>
      <c r="U671" s="207"/>
      <c r="V671" s="207"/>
      <c r="W671" s="207"/>
      <c r="X671" s="207"/>
      <c r="Y671" s="207"/>
      <c r="Z671" s="207"/>
    </row>
    <row r="672" spans="1:26" ht="15.75" customHeight="1">
      <c r="A672" s="207"/>
      <c r="B672" s="207"/>
      <c r="C672" s="207"/>
      <c r="D672" s="207"/>
      <c r="E672" s="207"/>
      <c r="F672" s="207"/>
      <c r="G672" s="207"/>
      <c r="H672" s="207"/>
      <c r="I672" s="207"/>
      <c r="J672" s="207"/>
      <c r="K672" s="207"/>
      <c r="L672" s="207"/>
      <c r="M672" s="207"/>
      <c r="N672" s="207"/>
      <c r="O672" s="207"/>
      <c r="P672" s="207"/>
      <c r="Q672" s="207"/>
      <c r="R672" s="207"/>
      <c r="S672" s="207"/>
      <c r="T672" s="207"/>
      <c r="U672" s="207"/>
      <c r="V672" s="207"/>
      <c r="W672" s="207"/>
      <c r="X672" s="207"/>
      <c r="Y672" s="207"/>
      <c r="Z672" s="207"/>
    </row>
    <row r="673" spans="1:26" ht="15.75" customHeight="1">
      <c r="A673" s="207"/>
      <c r="B673" s="207"/>
      <c r="C673" s="207"/>
      <c r="D673" s="207"/>
      <c r="E673" s="207"/>
      <c r="F673" s="207"/>
      <c r="G673" s="207"/>
      <c r="H673" s="207"/>
      <c r="I673" s="207"/>
      <c r="J673" s="207"/>
      <c r="K673" s="207"/>
      <c r="L673" s="207"/>
      <c r="M673" s="207"/>
      <c r="N673" s="207"/>
      <c r="O673" s="207"/>
      <c r="P673" s="207"/>
      <c r="Q673" s="207"/>
      <c r="R673" s="207"/>
      <c r="S673" s="207"/>
      <c r="T673" s="207"/>
      <c r="U673" s="207"/>
      <c r="V673" s="207"/>
      <c r="W673" s="207"/>
      <c r="X673" s="207"/>
      <c r="Y673" s="207"/>
      <c r="Z673" s="207"/>
    </row>
    <row r="674" spans="1:26" ht="15.75" customHeight="1">
      <c r="A674" s="207"/>
      <c r="B674" s="207"/>
      <c r="C674" s="207"/>
      <c r="D674" s="207"/>
      <c r="E674" s="207"/>
      <c r="F674" s="207"/>
      <c r="G674" s="207"/>
      <c r="H674" s="207"/>
      <c r="I674" s="207"/>
      <c r="J674" s="207"/>
      <c r="K674" s="207"/>
      <c r="L674" s="207"/>
      <c r="M674" s="207"/>
      <c r="N674" s="207"/>
      <c r="O674" s="207"/>
      <c r="P674" s="207"/>
      <c r="Q674" s="207"/>
      <c r="R674" s="207"/>
      <c r="S674" s="207"/>
      <c r="T674" s="207"/>
      <c r="U674" s="207"/>
      <c r="V674" s="207"/>
      <c r="W674" s="207"/>
      <c r="X674" s="207"/>
      <c r="Y674" s="207"/>
      <c r="Z674" s="207"/>
    </row>
    <row r="675" spans="1:26" ht="15.75" customHeight="1">
      <c r="A675" s="207"/>
      <c r="B675" s="207"/>
      <c r="C675" s="207"/>
      <c r="D675" s="207"/>
      <c r="E675" s="207"/>
      <c r="F675" s="207"/>
      <c r="G675" s="207"/>
      <c r="H675" s="207"/>
      <c r="I675" s="207"/>
      <c r="J675" s="207"/>
      <c r="K675" s="207"/>
      <c r="L675" s="207"/>
      <c r="M675" s="207"/>
      <c r="N675" s="207"/>
      <c r="O675" s="207"/>
      <c r="P675" s="207"/>
      <c r="Q675" s="207"/>
      <c r="R675" s="207"/>
      <c r="S675" s="207"/>
      <c r="T675" s="207"/>
      <c r="U675" s="207"/>
      <c r="V675" s="207"/>
      <c r="W675" s="207"/>
      <c r="X675" s="207"/>
      <c r="Y675" s="207"/>
      <c r="Z675" s="207"/>
    </row>
    <row r="676" spans="1:26" ht="15.75" customHeight="1">
      <c r="A676" s="207"/>
      <c r="B676" s="207"/>
      <c r="C676" s="207"/>
      <c r="D676" s="207"/>
      <c r="E676" s="207"/>
      <c r="F676" s="207"/>
      <c r="G676" s="207"/>
      <c r="H676" s="207"/>
      <c r="I676" s="207"/>
      <c r="J676" s="207"/>
      <c r="K676" s="207"/>
      <c r="L676" s="207"/>
      <c r="M676" s="207"/>
      <c r="N676" s="207"/>
      <c r="O676" s="207"/>
      <c r="P676" s="207"/>
      <c r="Q676" s="207"/>
      <c r="R676" s="207"/>
      <c r="S676" s="207"/>
      <c r="T676" s="207"/>
      <c r="U676" s="207"/>
      <c r="V676" s="207"/>
      <c r="W676" s="207"/>
      <c r="X676" s="207"/>
      <c r="Y676" s="207"/>
      <c r="Z676" s="207"/>
    </row>
    <row r="677" spans="1:26" ht="15.75" customHeight="1">
      <c r="A677" s="207"/>
      <c r="B677" s="207"/>
      <c r="C677" s="207"/>
      <c r="D677" s="207"/>
      <c r="E677" s="207"/>
      <c r="F677" s="207"/>
      <c r="G677" s="207"/>
      <c r="H677" s="207"/>
      <c r="I677" s="207"/>
      <c r="J677" s="207"/>
      <c r="K677" s="207"/>
      <c r="L677" s="207"/>
      <c r="M677" s="207"/>
      <c r="N677" s="207"/>
      <c r="O677" s="207"/>
      <c r="P677" s="207"/>
      <c r="Q677" s="207"/>
      <c r="R677" s="207"/>
      <c r="S677" s="207"/>
      <c r="T677" s="207"/>
      <c r="U677" s="207"/>
      <c r="V677" s="207"/>
      <c r="W677" s="207"/>
      <c r="X677" s="207"/>
      <c r="Y677" s="207"/>
      <c r="Z677" s="207"/>
    </row>
    <row r="678" spans="1:26" ht="15.75" customHeight="1">
      <c r="A678" s="207"/>
      <c r="B678" s="207"/>
      <c r="C678" s="207"/>
      <c r="D678" s="207"/>
      <c r="E678" s="207"/>
      <c r="F678" s="207"/>
      <c r="G678" s="207"/>
      <c r="H678" s="207"/>
      <c r="I678" s="207"/>
      <c r="J678" s="207"/>
      <c r="K678" s="207"/>
      <c r="L678" s="207"/>
      <c r="M678" s="207"/>
      <c r="N678" s="207"/>
      <c r="O678" s="207"/>
      <c r="P678" s="207"/>
      <c r="Q678" s="207"/>
      <c r="R678" s="207"/>
      <c r="S678" s="207"/>
      <c r="T678" s="207"/>
      <c r="U678" s="207"/>
      <c r="V678" s="207"/>
      <c r="W678" s="207"/>
      <c r="X678" s="207"/>
      <c r="Y678" s="207"/>
      <c r="Z678" s="207"/>
    </row>
    <row r="679" spans="1:26" ht="15.75" customHeight="1">
      <c r="A679" s="207"/>
      <c r="B679" s="207"/>
      <c r="C679" s="207"/>
      <c r="D679" s="207"/>
      <c r="E679" s="207"/>
      <c r="F679" s="207"/>
      <c r="G679" s="207"/>
      <c r="H679" s="207"/>
      <c r="I679" s="207"/>
      <c r="J679" s="207"/>
      <c r="K679" s="207"/>
      <c r="L679" s="207"/>
      <c r="M679" s="207"/>
      <c r="N679" s="207"/>
      <c r="O679" s="207"/>
      <c r="P679" s="207"/>
      <c r="Q679" s="207"/>
      <c r="R679" s="207"/>
      <c r="S679" s="207"/>
      <c r="T679" s="207"/>
      <c r="U679" s="207"/>
      <c r="V679" s="207"/>
      <c r="W679" s="207"/>
      <c r="X679" s="207"/>
      <c r="Y679" s="207"/>
      <c r="Z679" s="207"/>
    </row>
    <row r="680" spans="1:26" ht="15.75" customHeight="1">
      <c r="A680" s="207"/>
      <c r="B680" s="207"/>
      <c r="C680" s="207"/>
      <c r="D680" s="207"/>
      <c r="E680" s="207"/>
      <c r="F680" s="207"/>
      <c r="G680" s="207"/>
      <c r="H680" s="207"/>
      <c r="I680" s="207"/>
      <c r="J680" s="207"/>
      <c r="K680" s="207"/>
      <c r="L680" s="207"/>
      <c r="M680" s="207"/>
      <c r="N680" s="207"/>
      <c r="O680" s="207"/>
      <c r="P680" s="207"/>
      <c r="Q680" s="207"/>
      <c r="R680" s="207"/>
      <c r="S680" s="207"/>
      <c r="T680" s="207"/>
      <c r="U680" s="207"/>
      <c r="V680" s="207"/>
      <c r="W680" s="207"/>
      <c r="X680" s="207"/>
      <c r="Y680" s="207"/>
      <c r="Z680" s="207"/>
    </row>
    <row r="681" spans="1:26" ht="15.75" customHeight="1">
      <c r="A681" s="207"/>
      <c r="B681" s="207"/>
      <c r="C681" s="207"/>
      <c r="D681" s="207"/>
      <c r="E681" s="207"/>
      <c r="F681" s="207"/>
      <c r="G681" s="207"/>
      <c r="H681" s="207"/>
      <c r="I681" s="207"/>
      <c r="J681" s="207"/>
      <c r="K681" s="207"/>
      <c r="L681" s="207"/>
      <c r="M681" s="207"/>
      <c r="N681" s="207"/>
      <c r="O681" s="207"/>
      <c r="P681" s="207"/>
      <c r="Q681" s="207"/>
      <c r="R681" s="207"/>
      <c r="S681" s="207"/>
      <c r="T681" s="207"/>
      <c r="U681" s="207"/>
      <c r="V681" s="207"/>
      <c r="W681" s="207"/>
      <c r="X681" s="207"/>
      <c r="Y681" s="207"/>
      <c r="Z681" s="207"/>
    </row>
    <row r="682" spans="1:26" ht="15.75" customHeight="1">
      <c r="A682" s="207"/>
      <c r="B682" s="207"/>
      <c r="C682" s="207"/>
      <c r="D682" s="207"/>
      <c r="E682" s="207"/>
      <c r="F682" s="207"/>
      <c r="G682" s="207"/>
      <c r="H682" s="207"/>
      <c r="I682" s="207"/>
      <c r="J682" s="207"/>
      <c r="K682" s="207"/>
      <c r="L682" s="207"/>
      <c r="M682" s="207"/>
      <c r="N682" s="207"/>
      <c r="O682" s="207"/>
      <c r="P682" s="207"/>
      <c r="Q682" s="207"/>
      <c r="R682" s="207"/>
      <c r="S682" s="207"/>
      <c r="T682" s="207"/>
      <c r="U682" s="207"/>
      <c r="V682" s="207"/>
      <c r="W682" s="207"/>
      <c r="X682" s="207"/>
      <c r="Y682" s="207"/>
      <c r="Z682" s="207"/>
    </row>
    <row r="683" spans="1:26" ht="15.75" customHeight="1">
      <c r="A683" s="207"/>
      <c r="B683" s="207"/>
      <c r="C683" s="207"/>
      <c r="D683" s="207"/>
      <c r="E683" s="207"/>
      <c r="F683" s="207"/>
      <c r="G683" s="207"/>
      <c r="H683" s="207"/>
      <c r="I683" s="207"/>
      <c r="J683" s="207"/>
      <c r="K683" s="207"/>
      <c r="L683" s="207"/>
      <c r="M683" s="207"/>
      <c r="N683" s="207"/>
      <c r="O683" s="207"/>
      <c r="P683" s="207"/>
      <c r="Q683" s="207"/>
      <c r="R683" s="207"/>
      <c r="S683" s="207"/>
      <c r="T683" s="207"/>
      <c r="U683" s="207"/>
      <c r="V683" s="207"/>
      <c r="W683" s="207"/>
      <c r="X683" s="207"/>
      <c r="Y683" s="207"/>
      <c r="Z683" s="207"/>
    </row>
    <row r="684" spans="1:26" ht="15.75" customHeight="1">
      <c r="A684" s="207"/>
      <c r="B684" s="207"/>
      <c r="C684" s="207"/>
      <c r="D684" s="207"/>
      <c r="E684" s="207"/>
      <c r="F684" s="207"/>
      <c r="G684" s="207"/>
      <c r="H684" s="207"/>
      <c r="I684" s="207"/>
      <c r="J684" s="207"/>
      <c r="K684" s="207"/>
      <c r="L684" s="207"/>
      <c r="M684" s="207"/>
      <c r="N684" s="207"/>
      <c r="O684" s="207"/>
      <c r="P684" s="207"/>
      <c r="Q684" s="207"/>
      <c r="R684" s="207"/>
      <c r="S684" s="207"/>
      <c r="T684" s="207"/>
      <c r="U684" s="207"/>
      <c r="V684" s="207"/>
      <c r="W684" s="207"/>
      <c r="X684" s="207"/>
      <c r="Y684" s="207"/>
      <c r="Z684" s="207"/>
    </row>
    <row r="685" spans="1:26" ht="15.75" customHeight="1">
      <c r="A685" s="207"/>
      <c r="B685" s="207"/>
      <c r="C685" s="207"/>
      <c r="D685" s="207"/>
      <c r="E685" s="207"/>
      <c r="F685" s="207"/>
      <c r="G685" s="207"/>
      <c r="H685" s="207"/>
      <c r="I685" s="207"/>
      <c r="J685" s="207"/>
      <c r="K685" s="207"/>
      <c r="L685" s="207"/>
      <c r="M685" s="207"/>
      <c r="N685" s="207"/>
      <c r="O685" s="207"/>
      <c r="P685" s="207"/>
      <c r="Q685" s="207"/>
      <c r="R685" s="207"/>
      <c r="S685" s="207"/>
      <c r="T685" s="207"/>
      <c r="U685" s="207"/>
      <c r="V685" s="207"/>
      <c r="W685" s="207"/>
      <c r="X685" s="207"/>
      <c r="Y685" s="207"/>
      <c r="Z685" s="207"/>
    </row>
    <row r="686" spans="1:26" ht="15.75" customHeight="1">
      <c r="A686" s="207"/>
      <c r="B686" s="207"/>
      <c r="C686" s="207"/>
      <c r="D686" s="207"/>
      <c r="E686" s="207"/>
      <c r="F686" s="207"/>
      <c r="G686" s="207"/>
      <c r="H686" s="207"/>
      <c r="I686" s="207"/>
      <c r="J686" s="207"/>
      <c r="K686" s="207"/>
      <c r="L686" s="207"/>
      <c r="M686" s="207"/>
      <c r="N686" s="207"/>
      <c r="O686" s="207"/>
      <c r="P686" s="207"/>
      <c r="Q686" s="207"/>
      <c r="R686" s="207"/>
      <c r="S686" s="207"/>
      <c r="T686" s="207"/>
      <c r="U686" s="207"/>
      <c r="V686" s="207"/>
      <c r="W686" s="207"/>
      <c r="X686" s="207"/>
      <c r="Y686" s="207"/>
      <c r="Z686" s="207"/>
    </row>
    <row r="687" spans="1:26" ht="15.75" customHeight="1">
      <c r="A687" s="207"/>
      <c r="B687" s="207"/>
      <c r="C687" s="207"/>
      <c r="D687" s="207"/>
      <c r="E687" s="207"/>
      <c r="F687" s="207"/>
      <c r="G687" s="207"/>
      <c r="H687" s="207"/>
      <c r="I687" s="207"/>
      <c r="J687" s="207"/>
      <c r="K687" s="207"/>
      <c r="L687" s="207"/>
      <c r="M687" s="207"/>
      <c r="N687" s="207"/>
      <c r="O687" s="207"/>
      <c r="P687" s="207"/>
      <c r="Q687" s="207"/>
      <c r="R687" s="207"/>
      <c r="S687" s="207"/>
      <c r="T687" s="207"/>
      <c r="U687" s="207"/>
      <c r="V687" s="207"/>
      <c r="W687" s="207"/>
      <c r="X687" s="207"/>
      <c r="Y687" s="207"/>
      <c r="Z687" s="207"/>
    </row>
    <row r="688" spans="1:26" ht="15.75" customHeight="1">
      <c r="A688" s="207"/>
      <c r="B688" s="207"/>
      <c r="C688" s="207"/>
      <c r="D688" s="207"/>
      <c r="E688" s="207"/>
      <c r="F688" s="207"/>
      <c r="G688" s="207"/>
      <c r="H688" s="207"/>
      <c r="I688" s="207"/>
      <c r="J688" s="207"/>
      <c r="K688" s="207"/>
      <c r="L688" s="207"/>
      <c r="M688" s="207"/>
      <c r="N688" s="207"/>
      <c r="O688" s="207"/>
      <c r="P688" s="207"/>
      <c r="Q688" s="207"/>
      <c r="R688" s="207"/>
      <c r="S688" s="207"/>
      <c r="T688" s="207"/>
      <c r="U688" s="207"/>
      <c r="V688" s="207"/>
      <c r="W688" s="207"/>
      <c r="X688" s="207"/>
      <c r="Y688" s="207"/>
      <c r="Z688" s="207"/>
    </row>
    <row r="689" spans="1:26" ht="15.75" customHeight="1">
      <c r="A689" s="207"/>
      <c r="B689" s="207"/>
      <c r="C689" s="207"/>
      <c r="D689" s="207"/>
      <c r="E689" s="207"/>
      <c r="F689" s="207"/>
      <c r="G689" s="207"/>
      <c r="H689" s="207"/>
      <c r="I689" s="207"/>
      <c r="J689" s="207"/>
      <c r="K689" s="207"/>
      <c r="L689" s="207"/>
      <c r="M689" s="207"/>
      <c r="N689" s="207"/>
      <c r="O689" s="207"/>
      <c r="P689" s="207"/>
      <c r="Q689" s="207"/>
      <c r="R689" s="207"/>
      <c r="S689" s="207"/>
      <c r="T689" s="207"/>
      <c r="U689" s="207"/>
      <c r="V689" s="207"/>
      <c r="W689" s="207"/>
      <c r="X689" s="207"/>
      <c r="Y689" s="207"/>
      <c r="Z689" s="207"/>
    </row>
    <row r="690" spans="1:26" ht="15.75" customHeight="1">
      <c r="A690" s="207"/>
      <c r="B690" s="207"/>
      <c r="C690" s="207"/>
      <c r="D690" s="207"/>
      <c r="E690" s="207"/>
      <c r="F690" s="207"/>
      <c r="G690" s="207"/>
      <c r="H690" s="207"/>
      <c r="I690" s="207"/>
      <c r="J690" s="207"/>
      <c r="K690" s="207"/>
      <c r="L690" s="207"/>
      <c r="M690" s="207"/>
      <c r="N690" s="207"/>
      <c r="O690" s="207"/>
      <c r="P690" s="207"/>
      <c r="Q690" s="207"/>
      <c r="R690" s="207"/>
      <c r="S690" s="207"/>
      <c r="T690" s="207"/>
      <c r="U690" s="207"/>
      <c r="V690" s="207"/>
      <c r="W690" s="207"/>
      <c r="X690" s="207"/>
      <c r="Y690" s="207"/>
      <c r="Z690" s="207"/>
    </row>
    <row r="691" spans="1:26" ht="15.75" customHeight="1">
      <c r="A691" s="207"/>
      <c r="B691" s="207"/>
      <c r="C691" s="207"/>
      <c r="D691" s="207"/>
      <c r="E691" s="207"/>
      <c r="F691" s="207"/>
      <c r="G691" s="207"/>
      <c r="H691" s="207"/>
      <c r="I691" s="207"/>
      <c r="J691" s="207"/>
      <c r="K691" s="207"/>
      <c r="L691" s="207"/>
      <c r="M691" s="207"/>
      <c r="N691" s="207"/>
      <c r="O691" s="207"/>
      <c r="P691" s="207"/>
      <c r="Q691" s="207"/>
      <c r="R691" s="207"/>
      <c r="S691" s="207"/>
      <c r="T691" s="207"/>
      <c r="U691" s="207"/>
      <c r="V691" s="207"/>
      <c r="W691" s="207"/>
      <c r="X691" s="207"/>
      <c r="Y691" s="207"/>
      <c r="Z691" s="207"/>
    </row>
    <row r="692" spans="1:26" ht="15.75" customHeight="1">
      <c r="A692" s="207"/>
      <c r="B692" s="207"/>
      <c r="C692" s="207"/>
      <c r="D692" s="207"/>
      <c r="E692" s="207"/>
      <c r="F692" s="207"/>
      <c r="G692" s="207"/>
      <c r="H692" s="207"/>
      <c r="I692" s="207"/>
      <c r="J692" s="207"/>
      <c r="K692" s="207"/>
      <c r="L692" s="207"/>
      <c r="M692" s="207"/>
      <c r="N692" s="207"/>
      <c r="O692" s="207"/>
      <c r="P692" s="207"/>
      <c r="Q692" s="207"/>
      <c r="R692" s="207"/>
      <c r="S692" s="207"/>
      <c r="T692" s="207"/>
      <c r="U692" s="207"/>
      <c r="V692" s="207"/>
      <c r="W692" s="207"/>
      <c r="X692" s="207"/>
      <c r="Y692" s="207"/>
      <c r="Z692" s="207"/>
    </row>
    <row r="693" spans="1:26" ht="15.75" customHeight="1">
      <c r="A693" s="207"/>
      <c r="B693" s="207"/>
      <c r="C693" s="207"/>
      <c r="D693" s="207"/>
      <c r="E693" s="207"/>
      <c r="F693" s="207"/>
      <c r="G693" s="207"/>
      <c r="H693" s="207"/>
      <c r="I693" s="207"/>
      <c r="J693" s="207"/>
      <c r="K693" s="207"/>
      <c r="L693" s="207"/>
      <c r="M693" s="207"/>
      <c r="N693" s="207"/>
      <c r="O693" s="207"/>
      <c r="P693" s="207"/>
      <c r="Q693" s="207"/>
      <c r="R693" s="207"/>
      <c r="S693" s="207"/>
      <c r="T693" s="207"/>
      <c r="U693" s="207"/>
      <c r="V693" s="207"/>
      <c r="W693" s="207"/>
      <c r="X693" s="207"/>
      <c r="Y693" s="207"/>
      <c r="Z693" s="207"/>
    </row>
    <row r="694" spans="1:26" ht="15.75" customHeight="1">
      <c r="A694" s="207"/>
      <c r="B694" s="207"/>
      <c r="C694" s="207"/>
      <c r="D694" s="207"/>
      <c r="E694" s="207"/>
      <c r="F694" s="207"/>
      <c r="G694" s="207"/>
      <c r="H694" s="207"/>
      <c r="I694" s="207"/>
      <c r="J694" s="207"/>
      <c r="K694" s="207"/>
      <c r="L694" s="207"/>
      <c r="M694" s="207"/>
      <c r="N694" s="207"/>
      <c r="O694" s="207"/>
      <c r="P694" s="207"/>
      <c r="Q694" s="207"/>
      <c r="R694" s="207"/>
      <c r="S694" s="207"/>
      <c r="T694" s="207"/>
      <c r="U694" s="207"/>
      <c r="V694" s="207"/>
      <c r="W694" s="207"/>
      <c r="X694" s="207"/>
      <c r="Y694" s="207"/>
      <c r="Z694" s="207"/>
    </row>
    <row r="695" spans="1:26" ht="15.75" customHeight="1">
      <c r="A695" s="207"/>
      <c r="B695" s="207"/>
      <c r="C695" s="207"/>
      <c r="D695" s="207"/>
      <c r="E695" s="207"/>
      <c r="F695" s="207"/>
      <c r="G695" s="207"/>
      <c r="H695" s="207"/>
      <c r="I695" s="207"/>
      <c r="J695" s="207"/>
      <c r="K695" s="207"/>
      <c r="L695" s="207"/>
      <c r="M695" s="207"/>
      <c r="N695" s="207"/>
      <c r="O695" s="207"/>
      <c r="P695" s="207"/>
      <c r="Q695" s="207"/>
      <c r="R695" s="207"/>
      <c r="S695" s="207"/>
      <c r="T695" s="207"/>
      <c r="U695" s="207"/>
      <c r="V695" s="207"/>
      <c r="W695" s="207"/>
      <c r="X695" s="207"/>
      <c r="Y695" s="207"/>
      <c r="Z695" s="207"/>
    </row>
    <row r="696" spans="1:26" ht="15.75" customHeight="1">
      <c r="A696" s="207"/>
      <c r="B696" s="207"/>
      <c r="C696" s="207"/>
      <c r="D696" s="207"/>
      <c r="E696" s="207"/>
      <c r="F696" s="207"/>
      <c r="G696" s="207"/>
      <c r="H696" s="207"/>
      <c r="I696" s="207"/>
      <c r="J696" s="207"/>
      <c r="K696" s="207"/>
      <c r="L696" s="207"/>
      <c r="M696" s="207"/>
      <c r="N696" s="207"/>
      <c r="O696" s="207"/>
      <c r="P696" s="207"/>
      <c r="Q696" s="207"/>
      <c r="R696" s="207"/>
      <c r="S696" s="207"/>
      <c r="T696" s="207"/>
      <c r="U696" s="207"/>
      <c r="V696" s="207"/>
      <c r="W696" s="207"/>
      <c r="X696" s="207"/>
      <c r="Y696" s="207"/>
      <c r="Z696" s="207"/>
    </row>
    <row r="697" spans="1:26" ht="15.75" customHeight="1">
      <c r="A697" s="207"/>
      <c r="B697" s="207"/>
      <c r="C697" s="207"/>
      <c r="D697" s="207"/>
      <c r="E697" s="207"/>
      <c r="F697" s="207"/>
      <c r="G697" s="207"/>
      <c r="H697" s="207"/>
      <c r="I697" s="207"/>
      <c r="J697" s="207"/>
      <c r="K697" s="207"/>
      <c r="L697" s="207"/>
      <c r="M697" s="207"/>
      <c r="N697" s="207"/>
      <c r="O697" s="207"/>
      <c r="P697" s="207"/>
      <c r="Q697" s="207"/>
      <c r="R697" s="207"/>
      <c r="S697" s="207"/>
      <c r="T697" s="207"/>
      <c r="U697" s="207"/>
      <c r="V697" s="207"/>
      <c r="W697" s="207"/>
      <c r="X697" s="207"/>
      <c r="Y697" s="207"/>
      <c r="Z697" s="207"/>
    </row>
    <row r="698" spans="1:26" ht="15.75" customHeight="1">
      <c r="A698" s="207"/>
      <c r="B698" s="207"/>
      <c r="C698" s="207"/>
      <c r="D698" s="207"/>
      <c r="E698" s="207"/>
      <c r="F698" s="207"/>
      <c r="G698" s="207"/>
      <c r="H698" s="207"/>
      <c r="I698" s="207"/>
      <c r="J698" s="207"/>
      <c r="K698" s="207"/>
      <c r="L698" s="207"/>
      <c r="M698" s="207"/>
      <c r="N698" s="207"/>
      <c r="O698" s="207"/>
      <c r="P698" s="207"/>
      <c r="Q698" s="207"/>
      <c r="R698" s="207"/>
      <c r="S698" s="207"/>
      <c r="T698" s="207"/>
      <c r="U698" s="207"/>
      <c r="V698" s="207"/>
      <c r="W698" s="207"/>
      <c r="X698" s="207"/>
      <c r="Y698" s="207"/>
      <c r="Z698" s="207"/>
    </row>
    <row r="699" spans="1:26" ht="15.75" customHeight="1">
      <c r="A699" s="207"/>
      <c r="B699" s="207"/>
      <c r="C699" s="207"/>
      <c r="D699" s="207"/>
      <c r="E699" s="207"/>
      <c r="F699" s="207"/>
      <c r="G699" s="207"/>
      <c r="H699" s="207"/>
      <c r="I699" s="207"/>
      <c r="J699" s="207"/>
      <c r="K699" s="207"/>
      <c r="L699" s="207"/>
      <c r="M699" s="207"/>
      <c r="N699" s="207"/>
      <c r="O699" s="207"/>
      <c r="P699" s="207"/>
      <c r="Q699" s="207"/>
      <c r="R699" s="207"/>
      <c r="S699" s="207"/>
      <c r="T699" s="207"/>
      <c r="U699" s="207"/>
      <c r="V699" s="207"/>
      <c r="W699" s="207"/>
      <c r="X699" s="207"/>
      <c r="Y699" s="207"/>
      <c r="Z699" s="207"/>
    </row>
    <row r="700" spans="1:26" ht="15.75" customHeight="1">
      <c r="A700" s="207"/>
      <c r="B700" s="207"/>
      <c r="C700" s="207"/>
      <c r="D700" s="207"/>
      <c r="E700" s="207"/>
      <c r="F700" s="207"/>
      <c r="G700" s="207"/>
      <c r="H700" s="207"/>
      <c r="I700" s="207"/>
      <c r="J700" s="207"/>
      <c r="K700" s="207"/>
      <c r="L700" s="207"/>
      <c r="M700" s="207"/>
      <c r="N700" s="207"/>
      <c r="O700" s="207"/>
      <c r="P700" s="207"/>
      <c r="Q700" s="207"/>
      <c r="R700" s="207"/>
      <c r="S700" s="207"/>
      <c r="T700" s="207"/>
      <c r="U700" s="207"/>
      <c r="V700" s="207"/>
      <c r="W700" s="207"/>
      <c r="X700" s="207"/>
      <c r="Y700" s="207"/>
      <c r="Z700" s="207"/>
    </row>
    <row r="701" spans="1:26" ht="15.75" customHeight="1">
      <c r="A701" s="207"/>
      <c r="B701" s="207"/>
      <c r="C701" s="207"/>
      <c r="D701" s="207"/>
      <c r="E701" s="207"/>
      <c r="F701" s="207"/>
      <c r="G701" s="207"/>
      <c r="H701" s="207"/>
      <c r="I701" s="207"/>
      <c r="J701" s="207"/>
      <c r="K701" s="207"/>
      <c r="L701" s="207"/>
      <c r="M701" s="207"/>
      <c r="N701" s="207"/>
      <c r="O701" s="207"/>
      <c r="P701" s="207"/>
      <c r="Q701" s="207"/>
      <c r="R701" s="207"/>
      <c r="S701" s="207"/>
      <c r="T701" s="207"/>
      <c r="U701" s="207"/>
      <c r="V701" s="207"/>
      <c r="W701" s="207"/>
      <c r="X701" s="207"/>
      <c r="Y701" s="207"/>
      <c r="Z701" s="207"/>
    </row>
    <row r="702" spans="1:26" ht="15.75" customHeight="1">
      <c r="A702" s="207"/>
      <c r="B702" s="207"/>
      <c r="C702" s="207"/>
      <c r="D702" s="207"/>
      <c r="E702" s="207"/>
      <c r="F702" s="207"/>
      <c r="G702" s="207"/>
      <c r="H702" s="207"/>
      <c r="I702" s="207"/>
      <c r="J702" s="207"/>
      <c r="K702" s="207"/>
      <c r="L702" s="207"/>
      <c r="M702" s="207"/>
      <c r="N702" s="207"/>
      <c r="O702" s="207"/>
      <c r="P702" s="207"/>
      <c r="Q702" s="207"/>
      <c r="R702" s="207"/>
      <c r="S702" s="207"/>
      <c r="T702" s="207"/>
      <c r="U702" s="207"/>
      <c r="V702" s="207"/>
      <c r="W702" s="207"/>
      <c r="X702" s="207"/>
      <c r="Y702" s="207"/>
      <c r="Z702" s="207"/>
    </row>
    <row r="703" spans="1:26" ht="15.75" customHeight="1">
      <c r="A703" s="207"/>
      <c r="B703" s="207"/>
      <c r="C703" s="207"/>
      <c r="D703" s="207"/>
      <c r="E703" s="207"/>
      <c r="F703" s="207"/>
      <c r="G703" s="207"/>
      <c r="H703" s="207"/>
      <c r="I703" s="207"/>
      <c r="J703" s="207"/>
      <c r="K703" s="207"/>
      <c r="L703" s="207"/>
      <c r="M703" s="207"/>
      <c r="N703" s="207"/>
      <c r="O703" s="207"/>
      <c r="P703" s="207"/>
      <c r="Q703" s="207"/>
      <c r="R703" s="207"/>
      <c r="S703" s="207"/>
      <c r="T703" s="207"/>
      <c r="U703" s="207"/>
      <c r="V703" s="207"/>
      <c r="W703" s="207"/>
      <c r="X703" s="207"/>
      <c r="Y703" s="207"/>
      <c r="Z703" s="207"/>
    </row>
    <row r="704" spans="1:26" ht="15.75" customHeight="1">
      <c r="A704" s="207"/>
      <c r="B704" s="207"/>
      <c r="C704" s="207"/>
      <c r="D704" s="207"/>
      <c r="E704" s="207"/>
      <c r="F704" s="207"/>
      <c r="G704" s="207"/>
      <c r="H704" s="207"/>
      <c r="I704" s="207"/>
      <c r="J704" s="207"/>
      <c r="K704" s="207"/>
      <c r="L704" s="207"/>
      <c r="M704" s="207"/>
      <c r="N704" s="207"/>
      <c r="O704" s="207"/>
      <c r="P704" s="207"/>
      <c r="Q704" s="207"/>
      <c r="R704" s="207"/>
      <c r="S704" s="207"/>
      <c r="T704" s="207"/>
      <c r="U704" s="207"/>
      <c r="V704" s="207"/>
      <c r="W704" s="207"/>
      <c r="X704" s="207"/>
      <c r="Y704" s="207"/>
      <c r="Z704" s="207"/>
    </row>
    <row r="705" spans="1:26" ht="15.75" customHeight="1">
      <c r="A705" s="207"/>
      <c r="B705" s="207"/>
      <c r="C705" s="207"/>
      <c r="D705" s="207"/>
      <c r="E705" s="207"/>
      <c r="F705" s="207"/>
      <c r="G705" s="207"/>
      <c r="H705" s="207"/>
      <c r="I705" s="207"/>
      <c r="J705" s="207"/>
      <c r="K705" s="207"/>
      <c r="L705" s="207"/>
      <c r="M705" s="207"/>
      <c r="N705" s="207"/>
      <c r="O705" s="207"/>
      <c r="P705" s="207"/>
      <c r="Q705" s="207"/>
      <c r="R705" s="207"/>
      <c r="S705" s="207"/>
      <c r="T705" s="207"/>
      <c r="U705" s="207"/>
      <c r="V705" s="207"/>
      <c r="W705" s="207"/>
      <c r="X705" s="207"/>
      <c r="Y705" s="207"/>
      <c r="Z705" s="207"/>
    </row>
    <row r="706" spans="1:26" ht="15.75" customHeight="1">
      <c r="A706" s="207"/>
      <c r="B706" s="207"/>
      <c r="C706" s="207"/>
      <c r="D706" s="207"/>
      <c r="E706" s="207"/>
      <c r="F706" s="207"/>
      <c r="G706" s="207"/>
      <c r="H706" s="207"/>
      <c r="I706" s="207"/>
      <c r="J706" s="207"/>
      <c r="K706" s="207"/>
      <c r="L706" s="207"/>
      <c r="M706" s="207"/>
      <c r="N706" s="207"/>
      <c r="O706" s="207"/>
      <c r="P706" s="207"/>
      <c r="Q706" s="207"/>
      <c r="R706" s="207"/>
      <c r="S706" s="207"/>
      <c r="T706" s="207"/>
      <c r="U706" s="207"/>
      <c r="V706" s="207"/>
      <c r="W706" s="207"/>
      <c r="X706" s="207"/>
      <c r="Y706" s="207"/>
      <c r="Z706" s="207"/>
    </row>
    <row r="707" spans="1:26" ht="15.75" customHeight="1">
      <c r="A707" s="207"/>
      <c r="B707" s="207"/>
      <c r="C707" s="207"/>
      <c r="D707" s="207"/>
      <c r="E707" s="207"/>
      <c r="F707" s="207"/>
      <c r="G707" s="207"/>
      <c r="H707" s="207"/>
      <c r="I707" s="207"/>
      <c r="J707" s="207"/>
      <c r="K707" s="207"/>
      <c r="L707" s="207"/>
      <c r="M707" s="207"/>
      <c r="N707" s="207"/>
      <c r="O707" s="207"/>
      <c r="P707" s="207"/>
      <c r="Q707" s="207"/>
      <c r="R707" s="207"/>
      <c r="S707" s="207"/>
      <c r="T707" s="207"/>
      <c r="U707" s="207"/>
      <c r="V707" s="207"/>
      <c r="W707" s="207"/>
      <c r="X707" s="207"/>
      <c r="Y707" s="207"/>
      <c r="Z707" s="207"/>
    </row>
    <row r="708" spans="1:26" ht="15.75" customHeight="1">
      <c r="A708" s="207"/>
      <c r="B708" s="207"/>
      <c r="C708" s="207"/>
      <c r="D708" s="207"/>
      <c r="E708" s="207"/>
      <c r="F708" s="207"/>
      <c r="G708" s="207"/>
      <c r="H708" s="207"/>
      <c r="I708" s="207"/>
      <c r="J708" s="207"/>
      <c r="K708" s="207"/>
      <c r="L708" s="207"/>
      <c r="M708" s="207"/>
      <c r="N708" s="207"/>
      <c r="O708" s="207"/>
      <c r="P708" s="207"/>
      <c r="Q708" s="207"/>
      <c r="R708" s="207"/>
      <c r="S708" s="207"/>
      <c r="T708" s="207"/>
      <c r="U708" s="207"/>
      <c r="V708" s="207"/>
      <c r="W708" s="207"/>
      <c r="X708" s="207"/>
      <c r="Y708" s="207"/>
      <c r="Z708" s="207"/>
    </row>
    <row r="709" spans="1:26" ht="15.75" customHeight="1">
      <c r="A709" s="207"/>
      <c r="B709" s="207"/>
      <c r="C709" s="207"/>
      <c r="D709" s="207"/>
      <c r="E709" s="207"/>
      <c r="F709" s="207"/>
      <c r="G709" s="207"/>
      <c r="H709" s="207"/>
      <c r="I709" s="207"/>
      <c r="J709" s="207"/>
      <c r="K709" s="207"/>
      <c r="L709" s="207"/>
      <c r="M709" s="207"/>
      <c r="N709" s="207"/>
      <c r="O709" s="207"/>
      <c r="P709" s="207"/>
      <c r="Q709" s="207"/>
      <c r="R709" s="207"/>
      <c r="S709" s="207"/>
      <c r="T709" s="207"/>
      <c r="U709" s="207"/>
      <c r="V709" s="207"/>
      <c r="W709" s="207"/>
      <c r="X709" s="207"/>
      <c r="Y709" s="207"/>
      <c r="Z709" s="207"/>
    </row>
    <row r="710" spans="1:26" ht="15.75" customHeight="1">
      <c r="A710" s="207"/>
      <c r="B710" s="207"/>
      <c r="C710" s="207"/>
      <c r="D710" s="207"/>
      <c r="E710" s="207"/>
      <c r="F710" s="207"/>
      <c r="G710" s="207"/>
      <c r="H710" s="207"/>
      <c r="I710" s="207"/>
      <c r="J710" s="207"/>
      <c r="K710" s="207"/>
      <c r="L710" s="207"/>
      <c r="M710" s="207"/>
      <c r="N710" s="207"/>
      <c r="O710" s="207"/>
      <c r="P710" s="207"/>
      <c r="Q710" s="207"/>
      <c r="R710" s="207"/>
      <c r="S710" s="207"/>
      <c r="T710" s="207"/>
      <c r="U710" s="207"/>
      <c r="V710" s="207"/>
      <c r="W710" s="207"/>
      <c r="X710" s="207"/>
      <c r="Y710" s="207"/>
      <c r="Z710" s="207"/>
    </row>
    <row r="711" spans="1:26" ht="15.75" customHeight="1">
      <c r="A711" s="207"/>
      <c r="B711" s="207"/>
      <c r="C711" s="207"/>
      <c r="D711" s="207"/>
      <c r="E711" s="207"/>
      <c r="F711" s="207"/>
      <c r="G711" s="207"/>
      <c r="H711" s="207"/>
      <c r="I711" s="207"/>
      <c r="J711" s="207"/>
      <c r="K711" s="207"/>
      <c r="L711" s="207"/>
      <c r="M711" s="207"/>
      <c r="N711" s="207"/>
      <c r="O711" s="207"/>
      <c r="P711" s="207"/>
      <c r="Q711" s="207"/>
      <c r="R711" s="207"/>
      <c r="S711" s="207"/>
      <c r="T711" s="207"/>
      <c r="U711" s="207"/>
      <c r="V711" s="207"/>
      <c r="W711" s="207"/>
      <c r="X711" s="207"/>
      <c r="Y711" s="207"/>
      <c r="Z711" s="207"/>
    </row>
    <row r="712" spans="1:26" ht="15.75" customHeight="1">
      <c r="A712" s="207"/>
      <c r="B712" s="207"/>
      <c r="C712" s="207"/>
      <c r="D712" s="207"/>
      <c r="E712" s="207"/>
      <c r="F712" s="207"/>
      <c r="G712" s="207"/>
      <c r="H712" s="207"/>
      <c r="I712" s="207"/>
      <c r="J712" s="207"/>
      <c r="K712" s="207"/>
      <c r="L712" s="207"/>
      <c r="M712" s="207"/>
      <c r="N712" s="207"/>
      <c r="O712" s="207"/>
      <c r="P712" s="207"/>
      <c r="Q712" s="207"/>
      <c r="R712" s="207"/>
      <c r="S712" s="207"/>
      <c r="T712" s="207"/>
      <c r="U712" s="207"/>
      <c r="V712" s="207"/>
      <c r="W712" s="207"/>
      <c r="X712" s="207"/>
      <c r="Y712" s="207"/>
      <c r="Z712" s="207"/>
    </row>
    <row r="713" spans="1:26" ht="15.75" customHeight="1">
      <c r="A713" s="207"/>
      <c r="B713" s="207"/>
      <c r="C713" s="207"/>
      <c r="D713" s="207"/>
      <c r="E713" s="207"/>
      <c r="F713" s="207"/>
      <c r="G713" s="207"/>
      <c r="H713" s="207"/>
      <c r="I713" s="207"/>
      <c r="J713" s="207"/>
      <c r="K713" s="207"/>
      <c r="L713" s="207"/>
      <c r="M713" s="207"/>
      <c r="N713" s="207"/>
      <c r="O713" s="207"/>
      <c r="P713" s="207"/>
      <c r="Q713" s="207"/>
      <c r="R713" s="207"/>
      <c r="S713" s="207"/>
      <c r="T713" s="207"/>
      <c r="U713" s="207"/>
      <c r="V713" s="207"/>
      <c r="W713" s="207"/>
      <c r="X713" s="207"/>
      <c r="Y713" s="207"/>
      <c r="Z713" s="207"/>
    </row>
    <row r="714" spans="1:26" ht="15.75" customHeight="1">
      <c r="A714" s="207"/>
      <c r="B714" s="207"/>
      <c r="C714" s="207"/>
      <c r="D714" s="207"/>
      <c r="E714" s="207"/>
      <c r="F714" s="207"/>
      <c r="G714" s="207"/>
      <c r="H714" s="207"/>
      <c r="I714" s="207"/>
      <c r="J714" s="207"/>
      <c r="K714" s="207"/>
      <c r="L714" s="207"/>
      <c r="M714" s="207"/>
      <c r="N714" s="207"/>
      <c r="O714" s="207"/>
      <c r="P714" s="207"/>
      <c r="Q714" s="207"/>
      <c r="R714" s="207"/>
      <c r="S714" s="207"/>
      <c r="T714" s="207"/>
      <c r="U714" s="207"/>
      <c r="V714" s="207"/>
      <c r="W714" s="207"/>
      <c r="X714" s="207"/>
      <c r="Y714" s="207"/>
      <c r="Z714" s="207"/>
    </row>
    <row r="715" spans="1:26" ht="15.75" customHeight="1">
      <c r="A715" s="207"/>
      <c r="B715" s="207"/>
      <c r="C715" s="207"/>
      <c r="D715" s="207"/>
      <c r="E715" s="207"/>
      <c r="F715" s="207"/>
      <c r="G715" s="207"/>
      <c r="H715" s="207"/>
      <c r="I715" s="207"/>
      <c r="J715" s="207"/>
      <c r="K715" s="207"/>
      <c r="L715" s="207"/>
      <c r="M715" s="207"/>
      <c r="N715" s="207"/>
      <c r="O715" s="207"/>
      <c r="P715" s="207"/>
      <c r="Q715" s="207"/>
      <c r="R715" s="207"/>
      <c r="S715" s="207"/>
      <c r="T715" s="207"/>
      <c r="U715" s="207"/>
      <c r="V715" s="207"/>
      <c r="W715" s="207"/>
      <c r="X715" s="207"/>
      <c r="Y715" s="207"/>
      <c r="Z715" s="207"/>
    </row>
    <row r="716" spans="1:26" ht="15.75" customHeight="1">
      <c r="A716" s="207"/>
      <c r="B716" s="207"/>
      <c r="C716" s="207"/>
      <c r="D716" s="207"/>
      <c r="E716" s="207"/>
      <c r="F716" s="207"/>
      <c r="G716" s="207"/>
      <c r="H716" s="207"/>
      <c r="I716" s="207"/>
      <c r="J716" s="207"/>
      <c r="K716" s="207"/>
      <c r="L716" s="207"/>
      <c r="M716" s="207"/>
      <c r="N716" s="207"/>
      <c r="O716" s="207"/>
      <c r="P716" s="207"/>
      <c r="Q716" s="207"/>
      <c r="R716" s="207"/>
      <c r="S716" s="207"/>
      <c r="T716" s="207"/>
      <c r="U716" s="207"/>
      <c r="V716" s="207"/>
      <c r="W716" s="207"/>
      <c r="X716" s="207"/>
      <c r="Y716" s="207"/>
      <c r="Z716" s="207"/>
    </row>
    <row r="717" spans="1:26" ht="15.75" customHeight="1">
      <c r="A717" s="207"/>
      <c r="B717" s="207"/>
      <c r="C717" s="207"/>
      <c r="D717" s="207"/>
      <c r="E717" s="207"/>
      <c r="F717" s="207"/>
      <c r="G717" s="207"/>
      <c r="H717" s="207"/>
      <c r="I717" s="207"/>
      <c r="J717" s="207"/>
      <c r="K717" s="207"/>
      <c r="L717" s="207"/>
      <c r="M717" s="207"/>
      <c r="N717" s="207"/>
      <c r="O717" s="207"/>
      <c r="P717" s="207"/>
      <c r="Q717" s="207"/>
      <c r="R717" s="207"/>
      <c r="S717" s="207"/>
      <c r="T717" s="207"/>
      <c r="U717" s="207"/>
      <c r="V717" s="207"/>
      <c r="W717" s="207"/>
      <c r="X717" s="207"/>
      <c r="Y717" s="207"/>
      <c r="Z717" s="207"/>
    </row>
    <row r="718" spans="1:26" ht="15.75" customHeight="1">
      <c r="A718" s="207"/>
      <c r="B718" s="207"/>
      <c r="C718" s="207"/>
      <c r="D718" s="207"/>
      <c r="E718" s="207"/>
      <c r="F718" s="207"/>
      <c r="G718" s="207"/>
      <c r="H718" s="207"/>
      <c r="I718" s="207"/>
      <c r="J718" s="207"/>
      <c r="K718" s="207"/>
      <c r="L718" s="207"/>
      <c r="M718" s="207"/>
      <c r="N718" s="207"/>
      <c r="O718" s="207"/>
      <c r="P718" s="207"/>
      <c r="Q718" s="207"/>
      <c r="R718" s="207"/>
      <c r="S718" s="207"/>
      <c r="T718" s="207"/>
      <c r="U718" s="207"/>
      <c r="V718" s="207"/>
      <c r="W718" s="207"/>
      <c r="X718" s="207"/>
      <c r="Y718" s="207"/>
      <c r="Z718" s="207"/>
    </row>
    <row r="719" spans="1:26" ht="15.75" customHeight="1">
      <c r="A719" s="207"/>
      <c r="B719" s="207"/>
      <c r="C719" s="207"/>
      <c r="D719" s="207"/>
      <c r="E719" s="207"/>
      <c r="F719" s="207"/>
      <c r="G719" s="207"/>
      <c r="H719" s="207"/>
      <c r="I719" s="207"/>
      <c r="J719" s="207"/>
      <c r="K719" s="207"/>
      <c r="L719" s="207"/>
      <c r="M719" s="207"/>
      <c r="N719" s="207"/>
      <c r="O719" s="207"/>
      <c r="P719" s="207"/>
      <c r="Q719" s="207"/>
      <c r="R719" s="207"/>
      <c r="S719" s="207"/>
      <c r="T719" s="207"/>
      <c r="U719" s="207"/>
      <c r="V719" s="207"/>
      <c r="W719" s="207"/>
      <c r="X719" s="207"/>
      <c r="Y719" s="207"/>
      <c r="Z719" s="207"/>
    </row>
    <row r="720" spans="1:26" ht="15.75" customHeight="1">
      <c r="A720" s="207"/>
      <c r="B720" s="207"/>
      <c r="C720" s="207"/>
      <c r="D720" s="207"/>
      <c r="E720" s="207"/>
      <c r="F720" s="207"/>
      <c r="G720" s="207"/>
      <c r="H720" s="207"/>
      <c r="I720" s="207"/>
      <c r="J720" s="207"/>
      <c r="K720" s="207"/>
      <c r="L720" s="207"/>
      <c r="M720" s="207"/>
      <c r="N720" s="207"/>
      <c r="O720" s="207"/>
      <c r="P720" s="207"/>
      <c r="Q720" s="207"/>
      <c r="R720" s="207"/>
      <c r="S720" s="207"/>
      <c r="T720" s="207"/>
      <c r="U720" s="207"/>
      <c r="V720" s="207"/>
      <c r="W720" s="207"/>
      <c r="X720" s="207"/>
      <c r="Y720" s="207"/>
      <c r="Z720" s="207"/>
    </row>
    <row r="721" spans="1:26" ht="15.75" customHeight="1">
      <c r="A721" s="207"/>
      <c r="B721" s="207"/>
      <c r="C721" s="207"/>
      <c r="D721" s="207"/>
      <c r="E721" s="207"/>
      <c r="F721" s="207"/>
      <c r="G721" s="207"/>
      <c r="H721" s="207"/>
      <c r="I721" s="207"/>
      <c r="J721" s="207"/>
      <c r="K721" s="207"/>
      <c r="L721" s="207"/>
      <c r="M721" s="207"/>
      <c r="N721" s="207"/>
      <c r="O721" s="207"/>
      <c r="P721" s="207"/>
      <c r="Q721" s="207"/>
      <c r="R721" s="207"/>
      <c r="S721" s="207"/>
      <c r="T721" s="207"/>
      <c r="U721" s="207"/>
      <c r="V721" s="207"/>
      <c r="W721" s="207"/>
      <c r="X721" s="207"/>
      <c r="Y721" s="207"/>
      <c r="Z721" s="207"/>
    </row>
    <row r="722" spans="1:26" ht="15.75" customHeight="1">
      <c r="A722" s="207"/>
      <c r="B722" s="207"/>
      <c r="C722" s="207"/>
      <c r="D722" s="207"/>
      <c r="E722" s="207"/>
      <c r="F722" s="207"/>
      <c r="G722" s="207"/>
      <c r="H722" s="207"/>
      <c r="I722" s="207"/>
      <c r="J722" s="207"/>
      <c r="K722" s="207"/>
      <c r="L722" s="207"/>
      <c r="M722" s="207"/>
      <c r="N722" s="207"/>
      <c r="O722" s="207"/>
      <c r="P722" s="207"/>
      <c r="Q722" s="207"/>
      <c r="R722" s="207"/>
      <c r="S722" s="207"/>
      <c r="T722" s="207"/>
      <c r="U722" s="207"/>
      <c r="V722" s="207"/>
      <c r="W722" s="207"/>
      <c r="X722" s="207"/>
      <c r="Y722" s="207"/>
      <c r="Z722" s="207"/>
    </row>
    <row r="723" spans="1:26" ht="15.75" customHeight="1">
      <c r="A723" s="207"/>
      <c r="B723" s="207"/>
      <c r="C723" s="207"/>
      <c r="D723" s="207"/>
      <c r="E723" s="207"/>
      <c r="F723" s="207"/>
      <c r="G723" s="207"/>
      <c r="H723" s="207"/>
      <c r="I723" s="207"/>
      <c r="J723" s="207"/>
      <c r="K723" s="207"/>
      <c r="L723" s="207"/>
      <c r="M723" s="207"/>
      <c r="N723" s="207"/>
      <c r="O723" s="207"/>
      <c r="P723" s="207"/>
      <c r="Q723" s="207"/>
      <c r="R723" s="207"/>
      <c r="S723" s="207"/>
      <c r="T723" s="207"/>
      <c r="U723" s="207"/>
      <c r="V723" s="207"/>
      <c r="W723" s="207"/>
      <c r="X723" s="207"/>
      <c r="Y723" s="207"/>
      <c r="Z723" s="207"/>
    </row>
    <row r="724" spans="1:26" ht="15.75" customHeight="1">
      <c r="A724" s="207"/>
      <c r="B724" s="207"/>
      <c r="C724" s="207"/>
      <c r="D724" s="207"/>
      <c r="E724" s="207"/>
      <c r="F724" s="207"/>
      <c r="G724" s="207"/>
      <c r="H724" s="207"/>
      <c r="I724" s="207"/>
      <c r="J724" s="207"/>
      <c r="K724" s="207"/>
      <c r="L724" s="207"/>
      <c r="M724" s="207"/>
      <c r="N724" s="207"/>
      <c r="O724" s="207"/>
      <c r="P724" s="207"/>
      <c r="Q724" s="207"/>
      <c r="R724" s="207"/>
      <c r="S724" s="207"/>
      <c r="T724" s="207"/>
      <c r="U724" s="207"/>
      <c r="V724" s="207"/>
      <c r="W724" s="207"/>
      <c r="X724" s="207"/>
      <c r="Y724" s="207"/>
      <c r="Z724" s="207"/>
    </row>
    <row r="725" spans="1:26" ht="15.75" customHeight="1">
      <c r="A725" s="207"/>
      <c r="B725" s="207"/>
      <c r="C725" s="207"/>
      <c r="D725" s="207"/>
      <c r="E725" s="207"/>
      <c r="F725" s="207"/>
      <c r="G725" s="207"/>
      <c r="H725" s="207"/>
      <c r="I725" s="207"/>
      <c r="J725" s="207"/>
      <c r="K725" s="207"/>
      <c r="L725" s="207"/>
      <c r="M725" s="207"/>
      <c r="N725" s="207"/>
      <c r="O725" s="207"/>
      <c r="P725" s="207"/>
      <c r="Q725" s="207"/>
      <c r="R725" s="207"/>
      <c r="S725" s="207"/>
      <c r="T725" s="207"/>
      <c r="U725" s="207"/>
      <c r="V725" s="207"/>
      <c r="W725" s="207"/>
      <c r="X725" s="207"/>
      <c r="Y725" s="207"/>
      <c r="Z725" s="207"/>
    </row>
    <row r="726" spans="1:26" ht="15.75" customHeight="1">
      <c r="A726" s="207"/>
      <c r="B726" s="207"/>
      <c r="C726" s="207"/>
      <c r="D726" s="207"/>
      <c r="E726" s="207"/>
      <c r="F726" s="207"/>
      <c r="G726" s="207"/>
      <c r="H726" s="207"/>
      <c r="I726" s="207"/>
      <c r="J726" s="207"/>
      <c r="K726" s="207"/>
      <c r="L726" s="207"/>
      <c r="M726" s="207"/>
      <c r="N726" s="207"/>
      <c r="O726" s="207"/>
      <c r="P726" s="207"/>
      <c r="Q726" s="207"/>
      <c r="R726" s="207"/>
      <c r="S726" s="207"/>
      <c r="T726" s="207"/>
      <c r="U726" s="207"/>
      <c r="V726" s="207"/>
      <c r="W726" s="207"/>
      <c r="X726" s="207"/>
      <c r="Y726" s="207"/>
      <c r="Z726" s="207"/>
    </row>
    <row r="727" spans="1:26" ht="15.75" customHeight="1">
      <c r="A727" s="207"/>
      <c r="B727" s="207"/>
      <c r="C727" s="207"/>
      <c r="D727" s="207"/>
      <c r="E727" s="207"/>
      <c r="F727" s="207"/>
      <c r="G727" s="207"/>
      <c r="H727" s="207"/>
      <c r="I727" s="207"/>
      <c r="J727" s="207"/>
      <c r="K727" s="207"/>
      <c r="L727" s="207"/>
      <c r="M727" s="207"/>
      <c r="N727" s="207"/>
      <c r="O727" s="207"/>
      <c r="P727" s="207"/>
      <c r="Q727" s="207"/>
      <c r="R727" s="207"/>
      <c r="S727" s="207"/>
      <c r="T727" s="207"/>
      <c r="U727" s="207"/>
      <c r="V727" s="207"/>
      <c r="W727" s="207"/>
      <c r="X727" s="207"/>
      <c r="Y727" s="207"/>
      <c r="Z727" s="207"/>
    </row>
    <row r="728" spans="1:26" ht="15.75" customHeight="1">
      <c r="A728" s="207"/>
      <c r="B728" s="207"/>
      <c r="C728" s="207"/>
      <c r="D728" s="207"/>
      <c r="E728" s="207"/>
      <c r="F728" s="207"/>
      <c r="G728" s="207"/>
      <c r="H728" s="207"/>
      <c r="I728" s="207"/>
      <c r="J728" s="207"/>
      <c r="K728" s="207"/>
      <c r="L728" s="207"/>
      <c r="M728" s="207"/>
      <c r="N728" s="207"/>
      <c r="O728" s="207"/>
      <c r="P728" s="207"/>
      <c r="Q728" s="207"/>
      <c r="R728" s="207"/>
      <c r="S728" s="207"/>
      <c r="T728" s="207"/>
      <c r="U728" s="207"/>
      <c r="V728" s="207"/>
      <c r="W728" s="207"/>
      <c r="X728" s="207"/>
      <c r="Y728" s="207"/>
      <c r="Z728" s="207"/>
    </row>
    <row r="729" spans="1:26" ht="15.75" customHeight="1">
      <c r="A729" s="207"/>
      <c r="B729" s="207"/>
      <c r="C729" s="207"/>
      <c r="D729" s="207"/>
      <c r="E729" s="207"/>
      <c r="F729" s="207"/>
      <c r="G729" s="207"/>
      <c r="H729" s="207"/>
      <c r="I729" s="207"/>
      <c r="J729" s="207"/>
      <c r="K729" s="207"/>
      <c r="L729" s="207"/>
      <c r="M729" s="207"/>
      <c r="N729" s="207"/>
      <c r="O729" s="207"/>
      <c r="P729" s="207"/>
      <c r="Q729" s="207"/>
      <c r="R729" s="207"/>
      <c r="S729" s="207"/>
      <c r="T729" s="207"/>
      <c r="U729" s="207"/>
      <c r="V729" s="207"/>
      <c r="W729" s="207"/>
      <c r="X729" s="207"/>
      <c r="Y729" s="207"/>
      <c r="Z729" s="207"/>
    </row>
    <row r="730" spans="1:26" ht="15.75" customHeight="1">
      <c r="A730" s="207"/>
      <c r="B730" s="207"/>
      <c r="C730" s="207"/>
      <c r="D730" s="207"/>
      <c r="E730" s="207"/>
      <c r="F730" s="207"/>
      <c r="G730" s="207"/>
      <c r="H730" s="207"/>
      <c r="I730" s="207"/>
      <c r="J730" s="207"/>
      <c r="K730" s="207"/>
      <c r="L730" s="207"/>
      <c r="M730" s="207"/>
      <c r="N730" s="207"/>
      <c r="O730" s="207"/>
      <c r="P730" s="207"/>
      <c r="Q730" s="207"/>
      <c r="R730" s="207"/>
      <c r="S730" s="207"/>
      <c r="T730" s="207"/>
      <c r="U730" s="207"/>
      <c r="V730" s="207"/>
      <c r="W730" s="207"/>
      <c r="X730" s="207"/>
      <c r="Y730" s="207"/>
      <c r="Z730" s="207"/>
    </row>
    <row r="731" spans="1:26" ht="15.75" customHeight="1">
      <c r="A731" s="207"/>
      <c r="B731" s="207"/>
      <c r="C731" s="207"/>
      <c r="D731" s="207"/>
      <c r="E731" s="207"/>
      <c r="F731" s="207"/>
      <c r="G731" s="207"/>
      <c r="H731" s="207"/>
      <c r="I731" s="207"/>
      <c r="J731" s="207"/>
      <c r="K731" s="207"/>
      <c r="L731" s="207"/>
      <c r="M731" s="207"/>
      <c r="N731" s="207"/>
      <c r="O731" s="207"/>
      <c r="P731" s="207"/>
      <c r="Q731" s="207"/>
      <c r="R731" s="207"/>
      <c r="S731" s="207"/>
      <c r="T731" s="207"/>
      <c r="U731" s="207"/>
      <c r="V731" s="207"/>
      <c r="W731" s="207"/>
      <c r="X731" s="207"/>
      <c r="Y731" s="207"/>
      <c r="Z731" s="207"/>
    </row>
    <row r="732" spans="1:26" ht="15.75" customHeight="1">
      <c r="A732" s="207"/>
      <c r="B732" s="207"/>
      <c r="C732" s="207"/>
      <c r="D732" s="207"/>
      <c r="E732" s="207"/>
      <c r="F732" s="207"/>
      <c r="G732" s="207"/>
      <c r="H732" s="207"/>
      <c r="I732" s="207"/>
      <c r="J732" s="207"/>
      <c r="K732" s="207"/>
      <c r="L732" s="207"/>
      <c r="M732" s="207"/>
      <c r="N732" s="207"/>
      <c r="O732" s="207"/>
      <c r="P732" s="207"/>
      <c r="Q732" s="207"/>
      <c r="R732" s="207"/>
      <c r="S732" s="207"/>
      <c r="T732" s="207"/>
      <c r="U732" s="207"/>
      <c r="V732" s="207"/>
      <c r="W732" s="207"/>
      <c r="X732" s="207"/>
      <c r="Y732" s="207"/>
      <c r="Z732" s="207"/>
    </row>
    <row r="733" spans="1:26" ht="15.75" customHeight="1">
      <c r="A733" s="207"/>
      <c r="B733" s="207"/>
      <c r="C733" s="207"/>
      <c r="D733" s="207"/>
      <c r="E733" s="207"/>
      <c r="F733" s="207"/>
      <c r="G733" s="207"/>
      <c r="H733" s="207"/>
      <c r="I733" s="207"/>
      <c r="J733" s="207"/>
      <c r="K733" s="207"/>
      <c r="L733" s="207"/>
      <c r="M733" s="207"/>
      <c r="N733" s="207"/>
      <c r="O733" s="207"/>
      <c r="P733" s="207"/>
      <c r="Q733" s="207"/>
      <c r="R733" s="207"/>
      <c r="S733" s="207"/>
      <c r="T733" s="207"/>
      <c r="U733" s="207"/>
      <c r="V733" s="207"/>
      <c r="W733" s="207"/>
      <c r="X733" s="207"/>
      <c r="Y733" s="207"/>
      <c r="Z733" s="207"/>
    </row>
    <row r="734" spans="1:26" ht="15.75" customHeight="1">
      <c r="A734" s="207"/>
      <c r="B734" s="207"/>
      <c r="C734" s="207"/>
      <c r="D734" s="207"/>
      <c r="E734" s="207"/>
      <c r="F734" s="207"/>
      <c r="G734" s="207"/>
      <c r="H734" s="207"/>
      <c r="I734" s="207"/>
      <c r="J734" s="207"/>
      <c r="K734" s="207"/>
      <c r="L734" s="207"/>
      <c r="M734" s="207"/>
      <c r="N734" s="207"/>
      <c r="O734" s="207"/>
      <c r="P734" s="207"/>
      <c r="Q734" s="207"/>
      <c r="R734" s="207"/>
      <c r="S734" s="207"/>
      <c r="T734" s="207"/>
      <c r="U734" s="207"/>
      <c r="V734" s="207"/>
      <c r="W734" s="207"/>
      <c r="X734" s="207"/>
      <c r="Y734" s="207"/>
      <c r="Z734" s="207"/>
    </row>
    <row r="735" spans="1:26" ht="15.75" customHeight="1">
      <c r="A735" s="207"/>
      <c r="B735" s="207"/>
      <c r="C735" s="207"/>
      <c r="D735" s="207"/>
      <c r="E735" s="207"/>
      <c r="F735" s="207"/>
      <c r="G735" s="207"/>
      <c r="H735" s="207"/>
      <c r="I735" s="207"/>
      <c r="J735" s="207"/>
      <c r="K735" s="207"/>
      <c r="L735" s="207"/>
      <c r="M735" s="207"/>
      <c r="N735" s="207"/>
      <c r="O735" s="207"/>
      <c r="P735" s="207"/>
      <c r="Q735" s="207"/>
      <c r="R735" s="207"/>
      <c r="S735" s="207"/>
      <c r="T735" s="207"/>
      <c r="U735" s="207"/>
      <c r="V735" s="207"/>
      <c r="W735" s="207"/>
      <c r="X735" s="207"/>
      <c r="Y735" s="207"/>
      <c r="Z735" s="207"/>
    </row>
    <row r="736" spans="1:26" ht="15.75" customHeight="1">
      <c r="A736" s="207"/>
      <c r="B736" s="207"/>
      <c r="C736" s="207"/>
      <c r="D736" s="207"/>
      <c r="E736" s="207"/>
      <c r="F736" s="207"/>
      <c r="G736" s="207"/>
      <c r="H736" s="207"/>
      <c r="I736" s="207"/>
      <c r="J736" s="207"/>
      <c r="K736" s="207"/>
      <c r="L736" s="207"/>
      <c r="M736" s="207"/>
      <c r="N736" s="207"/>
      <c r="O736" s="207"/>
      <c r="P736" s="207"/>
      <c r="Q736" s="207"/>
      <c r="R736" s="207"/>
      <c r="S736" s="207"/>
      <c r="T736" s="207"/>
      <c r="U736" s="207"/>
      <c r="V736" s="207"/>
      <c r="W736" s="207"/>
      <c r="X736" s="207"/>
      <c r="Y736" s="207"/>
      <c r="Z736" s="207"/>
    </row>
    <row r="737" spans="1:26" ht="15.75" customHeight="1">
      <c r="A737" s="207"/>
      <c r="B737" s="207"/>
      <c r="C737" s="207"/>
      <c r="D737" s="207"/>
      <c r="E737" s="207"/>
      <c r="F737" s="207"/>
      <c r="G737" s="207"/>
      <c r="H737" s="207"/>
      <c r="I737" s="207"/>
      <c r="J737" s="207"/>
      <c r="K737" s="207"/>
      <c r="L737" s="207"/>
      <c r="M737" s="207"/>
      <c r="N737" s="207"/>
      <c r="O737" s="207"/>
      <c r="P737" s="207"/>
      <c r="Q737" s="207"/>
      <c r="R737" s="207"/>
      <c r="S737" s="207"/>
      <c r="T737" s="207"/>
      <c r="U737" s="207"/>
      <c r="V737" s="207"/>
      <c r="W737" s="207"/>
      <c r="X737" s="207"/>
      <c r="Y737" s="207"/>
      <c r="Z737" s="207"/>
    </row>
    <row r="738" spans="1:26" ht="15.75" customHeight="1">
      <c r="A738" s="207"/>
      <c r="B738" s="207"/>
      <c r="C738" s="207"/>
      <c r="D738" s="207"/>
      <c r="E738" s="207"/>
      <c r="F738" s="207"/>
      <c r="G738" s="207"/>
      <c r="H738" s="207"/>
      <c r="I738" s="207"/>
      <c r="J738" s="207"/>
      <c r="K738" s="207"/>
      <c r="L738" s="207"/>
      <c r="M738" s="207"/>
      <c r="N738" s="207"/>
      <c r="O738" s="207"/>
      <c r="P738" s="207"/>
      <c r="Q738" s="207"/>
      <c r="R738" s="207"/>
      <c r="S738" s="207"/>
      <c r="T738" s="207"/>
      <c r="U738" s="207"/>
      <c r="V738" s="207"/>
      <c r="W738" s="207"/>
      <c r="X738" s="207"/>
      <c r="Y738" s="207"/>
      <c r="Z738" s="207"/>
    </row>
    <row r="739" spans="1:26" ht="15.75" customHeight="1">
      <c r="A739" s="207"/>
      <c r="B739" s="207"/>
      <c r="C739" s="207"/>
      <c r="D739" s="207"/>
      <c r="E739" s="207"/>
      <c r="F739" s="207"/>
      <c r="G739" s="207"/>
      <c r="H739" s="207"/>
      <c r="I739" s="207"/>
      <c r="J739" s="207"/>
      <c r="K739" s="207"/>
      <c r="L739" s="207"/>
      <c r="M739" s="207"/>
      <c r="N739" s="207"/>
      <c r="O739" s="207"/>
      <c r="P739" s="207"/>
      <c r="Q739" s="207"/>
      <c r="R739" s="207"/>
      <c r="S739" s="207"/>
      <c r="T739" s="207"/>
      <c r="U739" s="207"/>
      <c r="V739" s="207"/>
      <c r="W739" s="207"/>
      <c r="X739" s="207"/>
      <c r="Y739" s="207"/>
      <c r="Z739" s="207"/>
    </row>
    <row r="740" spans="1:26" ht="15.75" customHeight="1">
      <c r="A740" s="207"/>
      <c r="B740" s="207"/>
      <c r="C740" s="207"/>
      <c r="D740" s="207"/>
      <c r="E740" s="207"/>
      <c r="F740" s="207"/>
      <c r="G740" s="207"/>
      <c r="H740" s="207"/>
      <c r="I740" s="207"/>
      <c r="J740" s="207"/>
      <c r="K740" s="207"/>
      <c r="L740" s="207"/>
      <c r="M740" s="207"/>
      <c r="N740" s="207"/>
      <c r="O740" s="207"/>
      <c r="P740" s="207"/>
      <c r="Q740" s="207"/>
      <c r="R740" s="207"/>
      <c r="S740" s="207"/>
      <c r="T740" s="207"/>
      <c r="U740" s="207"/>
      <c r="V740" s="207"/>
      <c r="W740" s="207"/>
      <c r="X740" s="207"/>
      <c r="Y740" s="207"/>
      <c r="Z740" s="207"/>
    </row>
    <row r="741" spans="1:26" ht="15.75" customHeight="1">
      <c r="A741" s="207"/>
      <c r="B741" s="207"/>
      <c r="C741" s="207"/>
      <c r="D741" s="207"/>
      <c r="E741" s="207"/>
      <c r="F741" s="207"/>
      <c r="G741" s="207"/>
      <c r="H741" s="207"/>
      <c r="I741" s="207"/>
      <c r="J741" s="207"/>
      <c r="K741" s="207"/>
      <c r="L741" s="207"/>
      <c r="M741" s="207"/>
      <c r="N741" s="207"/>
      <c r="O741" s="207"/>
      <c r="P741" s="207"/>
      <c r="Q741" s="207"/>
      <c r="R741" s="207"/>
      <c r="S741" s="207"/>
      <c r="T741" s="207"/>
      <c r="U741" s="207"/>
      <c r="V741" s="207"/>
      <c r="W741" s="207"/>
      <c r="X741" s="207"/>
      <c r="Y741" s="207"/>
      <c r="Z741" s="207"/>
    </row>
    <row r="742" spans="1:26" ht="15.75" customHeight="1">
      <c r="A742" s="207"/>
      <c r="B742" s="207"/>
      <c r="C742" s="207"/>
      <c r="D742" s="207"/>
      <c r="E742" s="207"/>
      <c r="F742" s="207"/>
      <c r="G742" s="207"/>
      <c r="H742" s="207"/>
      <c r="I742" s="207"/>
      <c r="J742" s="207"/>
      <c r="K742" s="207"/>
      <c r="L742" s="207"/>
      <c r="M742" s="207"/>
      <c r="N742" s="207"/>
      <c r="O742" s="207"/>
      <c r="P742" s="207"/>
      <c r="Q742" s="207"/>
      <c r="R742" s="207"/>
      <c r="S742" s="207"/>
      <c r="T742" s="207"/>
      <c r="U742" s="207"/>
      <c r="V742" s="207"/>
      <c r="W742" s="207"/>
      <c r="X742" s="207"/>
      <c r="Y742" s="207"/>
      <c r="Z742" s="207"/>
    </row>
    <row r="743" spans="1:26" ht="15.75" customHeight="1">
      <c r="A743" s="207"/>
      <c r="B743" s="207"/>
      <c r="C743" s="207"/>
      <c r="D743" s="207"/>
      <c r="E743" s="207"/>
      <c r="F743" s="207"/>
      <c r="G743" s="207"/>
      <c r="H743" s="207"/>
      <c r="I743" s="207"/>
      <c r="J743" s="207"/>
      <c r="K743" s="207"/>
      <c r="L743" s="207"/>
      <c r="M743" s="207"/>
      <c r="N743" s="207"/>
      <c r="O743" s="207"/>
      <c r="P743" s="207"/>
      <c r="Q743" s="207"/>
      <c r="R743" s="207"/>
      <c r="S743" s="207"/>
      <c r="T743" s="207"/>
      <c r="U743" s="207"/>
      <c r="V743" s="207"/>
      <c r="W743" s="207"/>
      <c r="X743" s="207"/>
      <c r="Y743" s="207"/>
      <c r="Z743" s="207"/>
    </row>
    <row r="744" spans="1:26" ht="15.75" customHeight="1">
      <c r="A744" s="207"/>
      <c r="B744" s="207"/>
      <c r="C744" s="207"/>
      <c r="D744" s="207"/>
      <c r="E744" s="207"/>
      <c r="F744" s="207"/>
      <c r="G744" s="207"/>
      <c r="H744" s="207"/>
      <c r="I744" s="207"/>
      <c r="J744" s="207"/>
      <c r="K744" s="207"/>
      <c r="L744" s="207"/>
      <c r="M744" s="207"/>
      <c r="N744" s="207"/>
      <c r="O744" s="207"/>
      <c r="P744" s="207"/>
      <c r="Q744" s="207"/>
      <c r="R744" s="207"/>
      <c r="S744" s="207"/>
      <c r="T744" s="207"/>
      <c r="U744" s="207"/>
      <c r="V744" s="207"/>
      <c r="W744" s="207"/>
      <c r="X744" s="207"/>
      <c r="Y744" s="207"/>
      <c r="Z744" s="207"/>
    </row>
    <row r="745" spans="1:26" ht="15.75" customHeight="1">
      <c r="A745" s="207"/>
      <c r="B745" s="207"/>
      <c r="C745" s="207"/>
      <c r="D745" s="207"/>
      <c r="E745" s="207"/>
      <c r="F745" s="207"/>
      <c r="G745" s="207"/>
      <c r="H745" s="207"/>
      <c r="I745" s="207"/>
      <c r="J745" s="207"/>
      <c r="K745" s="207"/>
      <c r="L745" s="207"/>
      <c r="M745" s="207"/>
      <c r="N745" s="207"/>
      <c r="O745" s="207"/>
      <c r="P745" s="207"/>
      <c r="Q745" s="207"/>
      <c r="R745" s="207"/>
      <c r="S745" s="207"/>
      <c r="T745" s="207"/>
      <c r="U745" s="207"/>
      <c r="V745" s="207"/>
      <c r="W745" s="207"/>
      <c r="X745" s="207"/>
      <c r="Y745" s="207"/>
      <c r="Z745" s="207"/>
    </row>
    <row r="746" spans="1:26" ht="15.75" customHeight="1">
      <c r="A746" s="207"/>
      <c r="B746" s="207"/>
      <c r="C746" s="207"/>
      <c r="D746" s="207"/>
      <c r="E746" s="207"/>
      <c r="F746" s="207"/>
      <c r="G746" s="207"/>
      <c r="H746" s="207"/>
      <c r="I746" s="207"/>
      <c r="J746" s="207"/>
      <c r="K746" s="207"/>
      <c r="L746" s="207"/>
      <c r="M746" s="207"/>
      <c r="N746" s="207"/>
      <c r="O746" s="207"/>
      <c r="P746" s="207"/>
      <c r="Q746" s="207"/>
      <c r="R746" s="207"/>
      <c r="S746" s="207"/>
      <c r="T746" s="207"/>
      <c r="U746" s="207"/>
      <c r="V746" s="207"/>
      <c r="W746" s="207"/>
      <c r="X746" s="207"/>
      <c r="Y746" s="207"/>
      <c r="Z746" s="207"/>
    </row>
    <row r="747" spans="1:26" ht="15.75" customHeight="1">
      <c r="A747" s="207"/>
      <c r="B747" s="207"/>
      <c r="C747" s="207"/>
      <c r="D747" s="207"/>
      <c r="E747" s="207"/>
      <c r="F747" s="207"/>
      <c r="G747" s="207"/>
      <c r="H747" s="207"/>
      <c r="I747" s="207"/>
      <c r="J747" s="207"/>
      <c r="K747" s="207"/>
      <c r="L747" s="207"/>
      <c r="M747" s="207"/>
      <c r="N747" s="207"/>
      <c r="O747" s="207"/>
      <c r="P747" s="207"/>
      <c r="Q747" s="207"/>
      <c r="R747" s="207"/>
      <c r="S747" s="207"/>
      <c r="T747" s="207"/>
      <c r="U747" s="207"/>
      <c r="V747" s="207"/>
      <c r="W747" s="207"/>
      <c r="X747" s="207"/>
      <c r="Y747" s="207"/>
      <c r="Z747" s="207"/>
    </row>
    <row r="748" spans="1:26" ht="15.75" customHeight="1">
      <c r="A748" s="207"/>
      <c r="B748" s="207"/>
      <c r="C748" s="207"/>
      <c r="D748" s="207"/>
      <c r="E748" s="207"/>
      <c r="F748" s="207"/>
      <c r="G748" s="207"/>
      <c r="H748" s="207"/>
      <c r="I748" s="207"/>
      <c r="J748" s="207"/>
      <c r="K748" s="207"/>
      <c r="L748" s="207"/>
      <c r="M748" s="207"/>
      <c r="N748" s="207"/>
      <c r="O748" s="207"/>
      <c r="P748" s="207"/>
      <c r="Q748" s="207"/>
      <c r="R748" s="207"/>
      <c r="S748" s="207"/>
      <c r="T748" s="207"/>
      <c r="U748" s="207"/>
      <c r="V748" s="207"/>
      <c r="W748" s="207"/>
      <c r="X748" s="207"/>
      <c r="Y748" s="207"/>
      <c r="Z748" s="207"/>
    </row>
    <row r="749" spans="1:26" ht="15.75" customHeight="1">
      <c r="A749" s="207"/>
      <c r="B749" s="207"/>
      <c r="C749" s="207"/>
      <c r="D749" s="207"/>
      <c r="E749" s="207"/>
      <c r="F749" s="207"/>
      <c r="G749" s="207"/>
      <c r="H749" s="207"/>
      <c r="I749" s="207"/>
      <c r="J749" s="207"/>
      <c r="K749" s="207"/>
      <c r="L749" s="207"/>
      <c r="M749" s="207"/>
      <c r="N749" s="207"/>
      <c r="O749" s="207"/>
      <c r="P749" s="207"/>
      <c r="Q749" s="207"/>
      <c r="R749" s="207"/>
      <c r="S749" s="207"/>
      <c r="T749" s="207"/>
      <c r="U749" s="207"/>
      <c r="V749" s="207"/>
      <c r="W749" s="207"/>
      <c r="X749" s="207"/>
      <c r="Y749" s="207"/>
      <c r="Z749" s="207"/>
    </row>
    <row r="750" spans="1:26" ht="15.75" customHeight="1">
      <c r="A750" s="207"/>
      <c r="B750" s="207"/>
      <c r="C750" s="207"/>
      <c r="D750" s="207"/>
      <c r="E750" s="207"/>
      <c r="F750" s="207"/>
      <c r="G750" s="207"/>
      <c r="H750" s="207"/>
      <c r="I750" s="207"/>
      <c r="J750" s="207"/>
      <c r="K750" s="207"/>
      <c r="L750" s="207"/>
      <c r="M750" s="207"/>
      <c r="N750" s="207"/>
      <c r="O750" s="207"/>
      <c r="P750" s="207"/>
      <c r="Q750" s="207"/>
      <c r="R750" s="207"/>
      <c r="S750" s="207"/>
      <c r="T750" s="207"/>
      <c r="U750" s="207"/>
      <c r="V750" s="207"/>
      <c r="W750" s="207"/>
      <c r="X750" s="207"/>
      <c r="Y750" s="207"/>
      <c r="Z750" s="207"/>
    </row>
    <row r="751" spans="1:26" ht="15.75" customHeight="1">
      <c r="A751" s="207"/>
      <c r="B751" s="207"/>
      <c r="C751" s="207"/>
      <c r="D751" s="207"/>
      <c r="E751" s="207"/>
      <c r="F751" s="207"/>
      <c r="G751" s="207"/>
      <c r="H751" s="207"/>
      <c r="I751" s="207"/>
      <c r="J751" s="207"/>
      <c r="K751" s="207"/>
      <c r="L751" s="207"/>
      <c r="M751" s="207"/>
      <c r="N751" s="207"/>
      <c r="O751" s="207"/>
      <c r="P751" s="207"/>
      <c r="Q751" s="207"/>
      <c r="R751" s="207"/>
      <c r="S751" s="207"/>
      <c r="T751" s="207"/>
      <c r="U751" s="207"/>
      <c r="V751" s="207"/>
      <c r="W751" s="207"/>
      <c r="X751" s="207"/>
      <c r="Y751" s="207"/>
      <c r="Z751" s="207"/>
    </row>
    <row r="752" spans="1:26" ht="15.75" customHeight="1">
      <c r="A752" s="207"/>
      <c r="B752" s="207"/>
      <c r="C752" s="207"/>
      <c r="D752" s="207"/>
      <c r="E752" s="207"/>
      <c r="F752" s="207"/>
      <c r="G752" s="207"/>
      <c r="H752" s="207"/>
      <c r="I752" s="207"/>
      <c r="J752" s="207"/>
      <c r="K752" s="207"/>
      <c r="L752" s="207"/>
      <c r="M752" s="207"/>
      <c r="N752" s="207"/>
      <c r="O752" s="207"/>
      <c r="P752" s="207"/>
      <c r="Q752" s="207"/>
      <c r="R752" s="207"/>
      <c r="S752" s="207"/>
      <c r="T752" s="207"/>
      <c r="U752" s="207"/>
      <c r="V752" s="207"/>
      <c r="W752" s="207"/>
      <c r="X752" s="207"/>
      <c r="Y752" s="207"/>
      <c r="Z752" s="207"/>
    </row>
    <row r="753" spans="1:26" ht="15.75" customHeight="1">
      <c r="A753" s="207"/>
      <c r="B753" s="207"/>
      <c r="C753" s="207"/>
      <c r="D753" s="207"/>
      <c r="E753" s="207"/>
      <c r="F753" s="207"/>
      <c r="G753" s="207"/>
      <c r="H753" s="207"/>
      <c r="I753" s="207"/>
      <c r="J753" s="207"/>
      <c r="K753" s="207"/>
      <c r="L753" s="207"/>
      <c r="M753" s="207"/>
      <c r="N753" s="207"/>
      <c r="O753" s="207"/>
      <c r="P753" s="207"/>
      <c r="Q753" s="207"/>
      <c r="R753" s="207"/>
      <c r="S753" s="207"/>
      <c r="T753" s="207"/>
      <c r="U753" s="207"/>
      <c r="V753" s="207"/>
      <c r="W753" s="207"/>
      <c r="X753" s="207"/>
      <c r="Y753" s="207"/>
      <c r="Z753" s="207"/>
    </row>
    <row r="754" spans="1:26" ht="15.75" customHeight="1">
      <c r="A754" s="207"/>
      <c r="B754" s="207"/>
      <c r="C754" s="207"/>
      <c r="D754" s="207"/>
      <c r="E754" s="207"/>
      <c r="F754" s="207"/>
      <c r="G754" s="207"/>
      <c r="H754" s="207"/>
      <c r="I754" s="207"/>
      <c r="J754" s="207"/>
      <c r="K754" s="207"/>
      <c r="L754" s="207"/>
      <c r="M754" s="207"/>
      <c r="N754" s="207"/>
      <c r="O754" s="207"/>
      <c r="P754" s="207"/>
      <c r="Q754" s="207"/>
      <c r="R754" s="207"/>
      <c r="S754" s="207"/>
      <c r="T754" s="207"/>
      <c r="U754" s="207"/>
      <c r="V754" s="207"/>
      <c r="W754" s="207"/>
      <c r="X754" s="207"/>
      <c r="Y754" s="207"/>
      <c r="Z754" s="207"/>
    </row>
    <row r="755" spans="1:26" ht="15.75" customHeight="1">
      <c r="A755" s="207"/>
      <c r="B755" s="207"/>
      <c r="C755" s="207"/>
      <c r="D755" s="207"/>
      <c r="E755" s="207"/>
      <c r="F755" s="207"/>
      <c r="G755" s="207"/>
      <c r="H755" s="207"/>
      <c r="I755" s="207"/>
      <c r="J755" s="207"/>
      <c r="K755" s="207"/>
      <c r="L755" s="207"/>
      <c r="M755" s="207"/>
      <c r="N755" s="207"/>
      <c r="O755" s="207"/>
      <c r="P755" s="207"/>
      <c r="Q755" s="207"/>
      <c r="R755" s="207"/>
      <c r="S755" s="207"/>
      <c r="T755" s="207"/>
      <c r="U755" s="207"/>
      <c r="V755" s="207"/>
      <c r="W755" s="207"/>
      <c r="X755" s="207"/>
      <c r="Y755" s="207"/>
      <c r="Z755" s="207"/>
    </row>
    <row r="756" spans="1:26" ht="15.75" customHeight="1">
      <c r="A756" s="207"/>
      <c r="B756" s="207"/>
      <c r="C756" s="207"/>
      <c r="D756" s="207"/>
      <c r="E756" s="207"/>
      <c r="F756" s="207"/>
      <c r="G756" s="207"/>
      <c r="H756" s="207"/>
      <c r="I756" s="207"/>
      <c r="J756" s="207"/>
      <c r="K756" s="207"/>
      <c r="L756" s="207"/>
      <c r="M756" s="207"/>
      <c r="N756" s="207"/>
      <c r="O756" s="207"/>
      <c r="P756" s="207"/>
      <c r="Q756" s="207"/>
      <c r="R756" s="207"/>
      <c r="S756" s="207"/>
      <c r="T756" s="207"/>
      <c r="U756" s="207"/>
      <c r="V756" s="207"/>
      <c r="W756" s="207"/>
      <c r="X756" s="207"/>
      <c r="Y756" s="207"/>
      <c r="Z756" s="207"/>
    </row>
    <row r="757" spans="1:26" ht="15.75" customHeight="1">
      <c r="A757" s="207"/>
      <c r="B757" s="207"/>
      <c r="C757" s="207"/>
      <c r="D757" s="207"/>
      <c r="E757" s="207"/>
      <c r="F757" s="207"/>
      <c r="G757" s="207"/>
      <c r="H757" s="207"/>
      <c r="I757" s="207"/>
      <c r="J757" s="207"/>
      <c r="K757" s="207"/>
      <c r="L757" s="207"/>
      <c r="M757" s="207"/>
      <c r="N757" s="207"/>
      <c r="O757" s="207"/>
      <c r="P757" s="207"/>
      <c r="Q757" s="207"/>
      <c r="R757" s="207"/>
      <c r="S757" s="207"/>
      <c r="T757" s="207"/>
      <c r="U757" s="207"/>
      <c r="V757" s="207"/>
      <c r="W757" s="207"/>
      <c r="X757" s="207"/>
      <c r="Y757" s="207"/>
      <c r="Z757" s="207"/>
    </row>
    <row r="758" spans="1:26" ht="15.75" customHeight="1">
      <c r="A758" s="207"/>
      <c r="B758" s="207"/>
      <c r="C758" s="207"/>
      <c r="D758" s="207"/>
      <c r="E758" s="207"/>
      <c r="F758" s="207"/>
      <c r="G758" s="207"/>
      <c r="H758" s="207"/>
      <c r="I758" s="207"/>
      <c r="J758" s="207"/>
      <c r="K758" s="207"/>
      <c r="L758" s="207"/>
      <c r="M758" s="207"/>
      <c r="N758" s="207"/>
      <c r="O758" s="207"/>
      <c r="P758" s="207"/>
      <c r="Q758" s="207"/>
      <c r="R758" s="207"/>
      <c r="S758" s="207"/>
      <c r="T758" s="207"/>
      <c r="U758" s="207"/>
      <c r="V758" s="207"/>
      <c r="W758" s="207"/>
      <c r="X758" s="207"/>
      <c r="Y758" s="207"/>
      <c r="Z758" s="207"/>
    </row>
    <row r="759" spans="1:26" ht="15.75" customHeight="1">
      <c r="A759" s="207"/>
      <c r="B759" s="207"/>
      <c r="C759" s="207"/>
      <c r="D759" s="207"/>
      <c r="E759" s="207"/>
      <c r="F759" s="207"/>
      <c r="G759" s="207"/>
      <c r="H759" s="207"/>
      <c r="I759" s="207"/>
      <c r="J759" s="207"/>
      <c r="K759" s="207"/>
      <c r="L759" s="207"/>
      <c r="M759" s="207"/>
      <c r="N759" s="207"/>
      <c r="O759" s="207"/>
      <c r="P759" s="207"/>
      <c r="Q759" s="207"/>
      <c r="R759" s="207"/>
      <c r="S759" s="207"/>
      <c r="T759" s="207"/>
      <c r="U759" s="207"/>
      <c r="V759" s="207"/>
      <c r="W759" s="207"/>
      <c r="X759" s="207"/>
      <c r="Y759" s="207"/>
      <c r="Z759" s="207"/>
    </row>
    <row r="760" spans="1:26" ht="15.75" customHeight="1">
      <c r="A760" s="207"/>
      <c r="B760" s="207"/>
      <c r="C760" s="207"/>
      <c r="D760" s="207"/>
      <c r="E760" s="207"/>
      <c r="F760" s="207"/>
      <c r="G760" s="207"/>
      <c r="H760" s="207"/>
      <c r="I760" s="207"/>
      <c r="J760" s="207"/>
      <c r="K760" s="207"/>
      <c r="L760" s="207"/>
      <c r="M760" s="207"/>
      <c r="N760" s="207"/>
      <c r="O760" s="207"/>
      <c r="P760" s="207"/>
      <c r="Q760" s="207"/>
      <c r="R760" s="207"/>
      <c r="S760" s="207"/>
      <c r="T760" s="207"/>
      <c r="U760" s="207"/>
      <c r="V760" s="207"/>
      <c r="W760" s="207"/>
      <c r="X760" s="207"/>
      <c r="Y760" s="207"/>
      <c r="Z760" s="207"/>
    </row>
    <row r="761" spans="1:26" ht="15.75" customHeight="1">
      <c r="A761" s="207"/>
      <c r="B761" s="207"/>
      <c r="C761" s="207"/>
      <c r="D761" s="207"/>
      <c r="E761" s="207"/>
      <c r="F761" s="207"/>
      <c r="G761" s="207"/>
      <c r="H761" s="207"/>
      <c r="I761" s="207"/>
      <c r="J761" s="207"/>
      <c r="K761" s="207"/>
      <c r="L761" s="207"/>
      <c r="M761" s="207"/>
      <c r="N761" s="207"/>
      <c r="O761" s="207"/>
      <c r="P761" s="207"/>
      <c r="Q761" s="207"/>
      <c r="R761" s="207"/>
      <c r="S761" s="207"/>
      <c r="T761" s="207"/>
      <c r="U761" s="207"/>
      <c r="V761" s="207"/>
      <c r="W761" s="207"/>
      <c r="X761" s="207"/>
      <c r="Y761" s="207"/>
      <c r="Z761" s="207"/>
    </row>
    <row r="762" spans="1:26" ht="15.75" customHeight="1">
      <c r="A762" s="207"/>
      <c r="B762" s="207"/>
      <c r="C762" s="207"/>
      <c r="D762" s="207"/>
      <c r="E762" s="207"/>
      <c r="F762" s="207"/>
      <c r="G762" s="207"/>
      <c r="H762" s="207"/>
      <c r="I762" s="207"/>
      <c r="J762" s="207"/>
      <c r="K762" s="207"/>
      <c r="L762" s="207"/>
      <c r="M762" s="207"/>
      <c r="N762" s="207"/>
      <c r="O762" s="207"/>
      <c r="P762" s="207"/>
      <c r="Q762" s="207"/>
      <c r="R762" s="207"/>
      <c r="S762" s="207"/>
      <c r="T762" s="207"/>
      <c r="U762" s="207"/>
      <c r="V762" s="207"/>
      <c r="W762" s="207"/>
      <c r="X762" s="207"/>
      <c r="Y762" s="207"/>
      <c r="Z762" s="207"/>
    </row>
    <row r="763" spans="1:26" ht="15.75" customHeight="1">
      <c r="A763" s="207"/>
      <c r="B763" s="207"/>
      <c r="C763" s="207"/>
      <c r="D763" s="207"/>
      <c r="E763" s="207"/>
      <c r="F763" s="207"/>
      <c r="G763" s="207"/>
      <c r="H763" s="207"/>
      <c r="I763" s="207"/>
      <c r="J763" s="207"/>
      <c r="K763" s="207"/>
      <c r="L763" s="207"/>
      <c r="M763" s="207"/>
      <c r="N763" s="207"/>
      <c r="O763" s="207"/>
      <c r="P763" s="207"/>
      <c r="Q763" s="207"/>
      <c r="R763" s="207"/>
      <c r="S763" s="207"/>
      <c r="T763" s="207"/>
      <c r="U763" s="207"/>
      <c r="V763" s="207"/>
      <c r="W763" s="207"/>
      <c r="X763" s="207"/>
      <c r="Y763" s="207"/>
      <c r="Z763" s="207"/>
    </row>
    <row r="764" spans="1:26" ht="15.75" customHeight="1">
      <c r="A764" s="207"/>
      <c r="B764" s="207"/>
      <c r="C764" s="207"/>
      <c r="D764" s="207"/>
      <c r="E764" s="207"/>
      <c r="F764" s="207"/>
      <c r="G764" s="207"/>
      <c r="H764" s="207"/>
      <c r="I764" s="207"/>
      <c r="J764" s="207"/>
      <c r="K764" s="207"/>
      <c r="L764" s="207"/>
      <c r="M764" s="207"/>
      <c r="N764" s="207"/>
      <c r="O764" s="207"/>
      <c r="P764" s="207"/>
      <c r="Q764" s="207"/>
      <c r="R764" s="207"/>
      <c r="S764" s="207"/>
      <c r="T764" s="207"/>
      <c r="U764" s="207"/>
      <c r="V764" s="207"/>
      <c r="W764" s="207"/>
      <c r="X764" s="207"/>
      <c r="Y764" s="207"/>
      <c r="Z764" s="207"/>
    </row>
    <row r="765" spans="1:26" ht="15.75" customHeight="1">
      <c r="A765" s="207"/>
      <c r="B765" s="207"/>
      <c r="C765" s="207"/>
      <c r="D765" s="207"/>
      <c r="E765" s="207"/>
      <c r="F765" s="207"/>
      <c r="G765" s="207"/>
      <c r="H765" s="207"/>
      <c r="I765" s="207"/>
      <c r="J765" s="207"/>
      <c r="K765" s="207"/>
      <c r="L765" s="207"/>
      <c r="M765" s="207"/>
      <c r="N765" s="207"/>
      <c r="O765" s="207"/>
      <c r="P765" s="207"/>
      <c r="Q765" s="207"/>
      <c r="R765" s="207"/>
      <c r="S765" s="207"/>
      <c r="T765" s="207"/>
      <c r="U765" s="207"/>
      <c r="V765" s="207"/>
      <c r="W765" s="207"/>
      <c r="X765" s="207"/>
      <c r="Y765" s="207"/>
      <c r="Z765" s="207"/>
    </row>
    <row r="766" spans="1:26" ht="15.75" customHeight="1">
      <c r="A766" s="207"/>
      <c r="B766" s="207"/>
      <c r="C766" s="207"/>
      <c r="D766" s="207"/>
      <c r="E766" s="207"/>
      <c r="F766" s="207"/>
      <c r="G766" s="207"/>
      <c r="H766" s="207"/>
      <c r="I766" s="207"/>
      <c r="J766" s="207"/>
      <c r="K766" s="207"/>
      <c r="L766" s="207"/>
      <c r="M766" s="207"/>
      <c r="N766" s="207"/>
      <c r="O766" s="207"/>
      <c r="P766" s="207"/>
      <c r="Q766" s="207"/>
      <c r="R766" s="207"/>
      <c r="S766" s="207"/>
      <c r="T766" s="207"/>
      <c r="U766" s="207"/>
      <c r="V766" s="207"/>
      <c r="W766" s="207"/>
      <c r="X766" s="207"/>
      <c r="Y766" s="207"/>
      <c r="Z766" s="207"/>
    </row>
    <row r="767" spans="1:26" ht="15.75" customHeight="1">
      <c r="A767" s="207"/>
      <c r="B767" s="207"/>
      <c r="C767" s="207"/>
      <c r="D767" s="207"/>
      <c r="E767" s="207"/>
      <c r="F767" s="207"/>
      <c r="G767" s="207"/>
      <c r="H767" s="207"/>
      <c r="I767" s="207"/>
      <c r="J767" s="207"/>
      <c r="K767" s="207"/>
      <c r="L767" s="207"/>
      <c r="M767" s="207"/>
      <c r="N767" s="207"/>
      <c r="O767" s="207"/>
      <c r="P767" s="207"/>
      <c r="Q767" s="207"/>
      <c r="R767" s="207"/>
      <c r="S767" s="207"/>
      <c r="T767" s="207"/>
      <c r="U767" s="207"/>
      <c r="V767" s="207"/>
      <c r="W767" s="207"/>
      <c r="X767" s="207"/>
      <c r="Y767" s="207"/>
      <c r="Z767" s="207"/>
    </row>
    <row r="768" spans="1:26" ht="15.75" customHeight="1">
      <c r="A768" s="207"/>
      <c r="B768" s="207"/>
      <c r="C768" s="207"/>
      <c r="D768" s="207"/>
      <c r="E768" s="207"/>
      <c r="F768" s="207"/>
      <c r="G768" s="207"/>
      <c r="H768" s="207"/>
      <c r="I768" s="207"/>
      <c r="J768" s="207"/>
      <c r="K768" s="207"/>
      <c r="L768" s="207"/>
      <c r="M768" s="207"/>
      <c r="N768" s="207"/>
      <c r="O768" s="207"/>
      <c r="P768" s="207"/>
      <c r="Q768" s="207"/>
      <c r="R768" s="207"/>
      <c r="S768" s="207"/>
      <c r="T768" s="207"/>
      <c r="U768" s="207"/>
      <c r="V768" s="207"/>
      <c r="W768" s="207"/>
      <c r="X768" s="207"/>
      <c r="Y768" s="207"/>
      <c r="Z768" s="207"/>
    </row>
    <row r="769" spans="1:26" ht="15.75" customHeight="1">
      <c r="A769" s="207"/>
      <c r="B769" s="207"/>
      <c r="C769" s="207"/>
      <c r="D769" s="207"/>
      <c r="E769" s="207"/>
      <c r="F769" s="207"/>
      <c r="G769" s="207"/>
      <c r="H769" s="207"/>
      <c r="I769" s="207"/>
      <c r="J769" s="207"/>
      <c r="K769" s="207"/>
      <c r="L769" s="207"/>
      <c r="M769" s="207"/>
      <c r="N769" s="207"/>
      <c r="O769" s="207"/>
      <c r="P769" s="207"/>
      <c r="Q769" s="207"/>
      <c r="R769" s="207"/>
      <c r="S769" s="207"/>
      <c r="T769" s="207"/>
      <c r="U769" s="207"/>
      <c r="V769" s="207"/>
      <c r="W769" s="207"/>
      <c r="X769" s="207"/>
      <c r="Y769" s="207"/>
      <c r="Z769" s="207"/>
    </row>
    <row r="770" spans="1:26" ht="15.75" customHeight="1">
      <c r="A770" s="207"/>
      <c r="B770" s="207"/>
      <c r="C770" s="207"/>
      <c r="D770" s="207"/>
      <c r="E770" s="207"/>
      <c r="F770" s="207"/>
      <c r="G770" s="207"/>
      <c r="H770" s="207"/>
      <c r="I770" s="207"/>
      <c r="J770" s="207"/>
      <c r="K770" s="207"/>
      <c r="L770" s="207"/>
      <c r="M770" s="207"/>
      <c r="N770" s="207"/>
      <c r="O770" s="207"/>
      <c r="P770" s="207"/>
      <c r="Q770" s="207"/>
      <c r="R770" s="207"/>
      <c r="S770" s="207"/>
      <c r="T770" s="207"/>
      <c r="U770" s="207"/>
      <c r="V770" s="207"/>
      <c r="W770" s="207"/>
      <c r="X770" s="207"/>
      <c r="Y770" s="207"/>
      <c r="Z770" s="207"/>
    </row>
    <row r="771" spans="1:26" ht="15.75" customHeight="1">
      <c r="A771" s="207"/>
      <c r="B771" s="207"/>
      <c r="C771" s="207"/>
      <c r="D771" s="207"/>
      <c r="E771" s="207"/>
      <c r="F771" s="207"/>
      <c r="G771" s="207"/>
      <c r="H771" s="207"/>
      <c r="I771" s="207"/>
      <c r="J771" s="207"/>
      <c r="K771" s="207"/>
      <c r="L771" s="207"/>
      <c r="M771" s="207"/>
      <c r="N771" s="207"/>
      <c r="O771" s="207"/>
      <c r="P771" s="207"/>
      <c r="Q771" s="207"/>
      <c r="R771" s="207"/>
      <c r="S771" s="207"/>
      <c r="T771" s="207"/>
      <c r="U771" s="207"/>
      <c r="V771" s="207"/>
      <c r="W771" s="207"/>
      <c r="X771" s="207"/>
      <c r="Y771" s="207"/>
      <c r="Z771" s="207"/>
    </row>
    <row r="772" spans="1:26" ht="15.75" customHeight="1">
      <c r="A772" s="207"/>
      <c r="B772" s="207"/>
      <c r="C772" s="207"/>
      <c r="D772" s="207"/>
      <c r="E772" s="207"/>
      <c r="F772" s="207"/>
      <c r="G772" s="207"/>
      <c r="H772" s="207"/>
      <c r="I772" s="207"/>
      <c r="J772" s="207"/>
      <c r="K772" s="207"/>
      <c r="L772" s="207"/>
      <c r="M772" s="207"/>
      <c r="N772" s="207"/>
      <c r="O772" s="207"/>
      <c r="P772" s="207"/>
      <c r="Q772" s="207"/>
      <c r="R772" s="207"/>
      <c r="S772" s="207"/>
      <c r="T772" s="207"/>
      <c r="U772" s="207"/>
      <c r="V772" s="207"/>
      <c r="W772" s="207"/>
      <c r="X772" s="207"/>
      <c r="Y772" s="207"/>
      <c r="Z772" s="207"/>
    </row>
    <row r="773" spans="1:26" ht="15.75" customHeight="1">
      <c r="A773" s="207"/>
      <c r="B773" s="207"/>
      <c r="C773" s="207"/>
      <c r="D773" s="207"/>
      <c r="E773" s="207"/>
      <c r="F773" s="207"/>
      <c r="G773" s="207"/>
      <c r="H773" s="207"/>
      <c r="I773" s="207"/>
      <c r="J773" s="207"/>
      <c r="K773" s="207"/>
      <c r="L773" s="207"/>
      <c r="M773" s="207"/>
      <c r="N773" s="207"/>
      <c r="O773" s="207"/>
      <c r="P773" s="207"/>
      <c r="Q773" s="207"/>
      <c r="R773" s="207"/>
      <c r="S773" s="207"/>
      <c r="T773" s="207"/>
      <c r="U773" s="207"/>
      <c r="V773" s="207"/>
      <c r="W773" s="207"/>
      <c r="X773" s="207"/>
      <c r="Y773" s="207"/>
      <c r="Z773" s="207"/>
    </row>
    <row r="774" spans="1:26" ht="15.75" customHeight="1">
      <c r="A774" s="207"/>
      <c r="B774" s="207"/>
      <c r="C774" s="207"/>
      <c r="D774" s="207"/>
      <c r="E774" s="207"/>
      <c r="F774" s="207"/>
      <c r="G774" s="207"/>
      <c r="H774" s="207"/>
      <c r="I774" s="207"/>
      <c r="J774" s="207"/>
      <c r="K774" s="207"/>
      <c r="L774" s="207"/>
      <c r="M774" s="207"/>
      <c r="N774" s="207"/>
      <c r="O774" s="207"/>
      <c r="P774" s="207"/>
      <c r="Q774" s="207"/>
      <c r="R774" s="207"/>
      <c r="S774" s="207"/>
      <c r="T774" s="207"/>
      <c r="U774" s="207"/>
      <c r="V774" s="207"/>
      <c r="W774" s="207"/>
      <c r="X774" s="207"/>
      <c r="Y774" s="207"/>
      <c r="Z774" s="207"/>
    </row>
    <row r="775" spans="1:26" ht="15.75" customHeight="1">
      <c r="A775" s="207"/>
      <c r="B775" s="207"/>
      <c r="C775" s="207"/>
      <c r="D775" s="207"/>
      <c r="E775" s="207"/>
      <c r="F775" s="207"/>
      <c r="G775" s="207"/>
      <c r="H775" s="207"/>
      <c r="I775" s="207"/>
      <c r="J775" s="207"/>
      <c r="K775" s="207"/>
      <c r="L775" s="207"/>
      <c r="M775" s="207"/>
      <c r="N775" s="207"/>
      <c r="O775" s="207"/>
      <c r="P775" s="207"/>
      <c r="Q775" s="207"/>
      <c r="R775" s="207"/>
      <c r="S775" s="207"/>
      <c r="T775" s="207"/>
      <c r="U775" s="207"/>
      <c r="V775" s="207"/>
      <c r="W775" s="207"/>
      <c r="X775" s="207"/>
      <c r="Y775" s="207"/>
      <c r="Z775" s="207"/>
    </row>
    <row r="776" spans="1:26" ht="15.75" customHeight="1">
      <c r="A776" s="207"/>
      <c r="B776" s="207"/>
      <c r="C776" s="207"/>
      <c r="D776" s="207"/>
      <c r="E776" s="207"/>
      <c r="F776" s="207"/>
      <c r="G776" s="207"/>
      <c r="H776" s="207"/>
      <c r="I776" s="207"/>
      <c r="J776" s="207"/>
      <c r="K776" s="207"/>
      <c r="L776" s="207"/>
      <c r="M776" s="207"/>
      <c r="N776" s="207"/>
      <c r="O776" s="207"/>
      <c r="P776" s="207"/>
      <c r="Q776" s="207"/>
      <c r="R776" s="207"/>
      <c r="S776" s="207"/>
      <c r="T776" s="207"/>
      <c r="U776" s="207"/>
      <c r="V776" s="207"/>
      <c r="W776" s="207"/>
      <c r="X776" s="207"/>
      <c r="Y776" s="207"/>
      <c r="Z776" s="207"/>
    </row>
    <row r="777" spans="1:26" ht="15.75" customHeight="1">
      <c r="A777" s="207"/>
      <c r="B777" s="207"/>
      <c r="C777" s="207"/>
      <c r="D777" s="207"/>
      <c r="E777" s="207"/>
      <c r="F777" s="207"/>
      <c r="G777" s="207"/>
      <c r="H777" s="207"/>
      <c r="I777" s="207"/>
      <c r="J777" s="207"/>
      <c r="K777" s="207"/>
      <c r="L777" s="207"/>
      <c r="M777" s="207"/>
      <c r="N777" s="207"/>
      <c r="O777" s="207"/>
      <c r="P777" s="207"/>
      <c r="Q777" s="207"/>
      <c r="R777" s="207"/>
      <c r="S777" s="207"/>
      <c r="T777" s="207"/>
      <c r="U777" s="207"/>
      <c r="V777" s="207"/>
      <c r="W777" s="207"/>
      <c r="X777" s="207"/>
      <c r="Y777" s="207"/>
      <c r="Z777" s="207"/>
    </row>
    <row r="778" spans="1:26" ht="15.75" customHeight="1">
      <c r="A778" s="207"/>
      <c r="B778" s="207"/>
      <c r="C778" s="207"/>
      <c r="D778" s="207"/>
      <c r="E778" s="207"/>
      <c r="F778" s="207"/>
      <c r="G778" s="207"/>
      <c r="H778" s="207"/>
      <c r="I778" s="207"/>
      <c r="J778" s="207"/>
      <c r="K778" s="207"/>
      <c r="L778" s="207"/>
      <c r="M778" s="207"/>
      <c r="N778" s="207"/>
      <c r="O778" s="207"/>
      <c r="P778" s="207"/>
      <c r="Q778" s="207"/>
      <c r="R778" s="207"/>
      <c r="S778" s="207"/>
      <c r="T778" s="207"/>
      <c r="U778" s="207"/>
      <c r="V778" s="207"/>
      <c r="W778" s="207"/>
      <c r="X778" s="207"/>
      <c r="Y778" s="207"/>
      <c r="Z778" s="207"/>
    </row>
    <row r="779" spans="1:26" ht="15.75" customHeight="1">
      <c r="A779" s="207"/>
      <c r="B779" s="207"/>
      <c r="C779" s="207"/>
      <c r="D779" s="207"/>
      <c r="E779" s="207"/>
      <c r="F779" s="207"/>
      <c r="G779" s="207"/>
      <c r="H779" s="207"/>
      <c r="I779" s="207"/>
      <c r="J779" s="207"/>
      <c r="K779" s="207"/>
      <c r="L779" s="207"/>
      <c r="M779" s="207"/>
      <c r="N779" s="207"/>
      <c r="O779" s="207"/>
      <c r="P779" s="207"/>
      <c r="Q779" s="207"/>
      <c r="R779" s="207"/>
      <c r="S779" s="207"/>
      <c r="T779" s="207"/>
      <c r="U779" s="207"/>
      <c r="V779" s="207"/>
      <c r="W779" s="207"/>
      <c r="X779" s="207"/>
      <c r="Y779" s="207"/>
      <c r="Z779" s="207"/>
    </row>
    <row r="780" spans="1:26" ht="15.75" customHeight="1">
      <c r="A780" s="207"/>
      <c r="B780" s="207"/>
      <c r="C780" s="207"/>
      <c r="D780" s="207"/>
      <c r="E780" s="207"/>
      <c r="F780" s="207"/>
      <c r="G780" s="207"/>
      <c r="H780" s="207"/>
      <c r="I780" s="207"/>
      <c r="J780" s="207"/>
      <c r="K780" s="207"/>
      <c r="L780" s="207"/>
      <c r="M780" s="207"/>
      <c r="N780" s="207"/>
      <c r="O780" s="207"/>
      <c r="P780" s="207"/>
      <c r="Q780" s="207"/>
      <c r="R780" s="207"/>
      <c r="S780" s="207"/>
      <c r="T780" s="207"/>
      <c r="U780" s="207"/>
      <c r="V780" s="207"/>
      <c r="W780" s="207"/>
      <c r="X780" s="207"/>
      <c r="Y780" s="207"/>
      <c r="Z780" s="207"/>
    </row>
    <row r="781" spans="1:26" ht="15.75" customHeight="1">
      <c r="A781" s="207"/>
      <c r="B781" s="207"/>
      <c r="C781" s="207"/>
      <c r="D781" s="207"/>
      <c r="E781" s="207"/>
      <c r="F781" s="207"/>
      <c r="G781" s="207"/>
      <c r="H781" s="207"/>
      <c r="I781" s="207"/>
      <c r="J781" s="207"/>
      <c r="K781" s="207"/>
      <c r="L781" s="207"/>
      <c r="M781" s="207"/>
      <c r="N781" s="207"/>
      <c r="O781" s="207"/>
      <c r="P781" s="207"/>
      <c r="Q781" s="207"/>
      <c r="R781" s="207"/>
      <c r="S781" s="207"/>
      <c r="T781" s="207"/>
      <c r="U781" s="207"/>
      <c r="V781" s="207"/>
      <c r="W781" s="207"/>
      <c r="X781" s="207"/>
      <c r="Y781" s="207"/>
      <c r="Z781" s="207"/>
    </row>
    <row r="782" spans="1:26" ht="15.75" customHeight="1">
      <c r="A782" s="207"/>
      <c r="B782" s="207"/>
      <c r="C782" s="207"/>
      <c r="D782" s="207"/>
      <c r="E782" s="207"/>
      <c r="F782" s="207"/>
      <c r="G782" s="207"/>
      <c r="H782" s="207"/>
      <c r="I782" s="207"/>
      <c r="J782" s="207"/>
      <c r="K782" s="207"/>
      <c r="L782" s="207"/>
      <c r="M782" s="207"/>
      <c r="N782" s="207"/>
      <c r="O782" s="207"/>
      <c r="P782" s="207"/>
      <c r="Q782" s="207"/>
      <c r="R782" s="207"/>
      <c r="S782" s="207"/>
      <c r="T782" s="207"/>
      <c r="U782" s="207"/>
      <c r="V782" s="207"/>
      <c r="W782" s="207"/>
      <c r="X782" s="207"/>
      <c r="Y782" s="207"/>
      <c r="Z782" s="207"/>
    </row>
    <row r="783" spans="1:26" ht="15.75" customHeight="1">
      <c r="A783" s="207"/>
      <c r="B783" s="207"/>
      <c r="C783" s="207"/>
      <c r="D783" s="207"/>
      <c r="E783" s="207"/>
      <c r="F783" s="207"/>
      <c r="G783" s="207"/>
      <c r="H783" s="207"/>
      <c r="I783" s="207"/>
      <c r="J783" s="207"/>
      <c r="K783" s="207"/>
      <c r="L783" s="207"/>
      <c r="M783" s="207"/>
      <c r="N783" s="207"/>
      <c r="O783" s="207"/>
      <c r="P783" s="207"/>
      <c r="Q783" s="207"/>
      <c r="R783" s="207"/>
      <c r="S783" s="207"/>
      <c r="T783" s="207"/>
      <c r="U783" s="207"/>
      <c r="V783" s="207"/>
      <c r="W783" s="207"/>
      <c r="X783" s="207"/>
      <c r="Y783" s="207"/>
      <c r="Z783" s="207"/>
    </row>
    <row r="784" spans="1:26" ht="15.75" customHeight="1">
      <c r="A784" s="207"/>
      <c r="B784" s="207"/>
      <c r="C784" s="207"/>
      <c r="D784" s="207"/>
      <c r="E784" s="207"/>
      <c r="F784" s="207"/>
      <c r="G784" s="207"/>
      <c r="H784" s="207"/>
      <c r="I784" s="207"/>
      <c r="J784" s="207"/>
      <c r="K784" s="207"/>
      <c r="L784" s="207"/>
      <c r="M784" s="207"/>
      <c r="N784" s="207"/>
      <c r="O784" s="207"/>
      <c r="P784" s="207"/>
      <c r="Q784" s="207"/>
      <c r="R784" s="207"/>
      <c r="S784" s="207"/>
      <c r="T784" s="207"/>
      <c r="U784" s="207"/>
      <c r="V784" s="207"/>
      <c r="W784" s="207"/>
      <c r="X784" s="207"/>
      <c r="Y784" s="207"/>
      <c r="Z784" s="207"/>
    </row>
    <row r="785" spans="1:26" ht="15.75" customHeight="1">
      <c r="A785" s="207"/>
      <c r="B785" s="207"/>
      <c r="C785" s="207"/>
      <c r="D785" s="207"/>
      <c r="E785" s="207"/>
      <c r="F785" s="207"/>
      <c r="G785" s="207"/>
      <c r="H785" s="207"/>
      <c r="I785" s="207"/>
      <c r="J785" s="207"/>
      <c r="K785" s="207"/>
      <c r="L785" s="207"/>
      <c r="M785" s="207"/>
      <c r="N785" s="207"/>
      <c r="O785" s="207"/>
      <c r="P785" s="207"/>
      <c r="Q785" s="207"/>
      <c r="R785" s="207"/>
      <c r="S785" s="207"/>
      <c r="T785" s="207"/>
      <c r="U785" s="207"/>
      <c r="V785" s="207"/>
      <c r="W785" s="207"/>
      <c r="X785" s="207"/>
      <c r="Y785" s="207"/>
      <c r="Z785" s="207"/>
    </row>
    <row r="786" spans="1:26" ht="15.75" customHeight="1">
      <c r="A786" s="207"/>
      <c r="B786" s="207"/>
      <c r="C786" s="207"/>
      <c r="D786" s="207"/>
      <c r="E786" s="207"/>
      <c r="F786" s="207"/>
      <c r="G786" s="207"/>
      <c r="H786" s="207"/>
      <c r="I786" s="207"/>
      <c r="J786" s="207"/>
      <c r="K786" s="207"/>
      <c r="L786" s="207"/>
      <c r="M786" s="207"/>
      <c r="N786" s="207"/>
      <c r="O786" s="207"/>
      <c r="P786" s="207"/>
      <c r="Q786" s="207"/>
      <c r="R786" s="207"/>
      <c r="S786" s="207"/>
      <c r="T786" s="207"/>
      <c r="U786" s="207"/>
      <c r="V786" s="207"/>
      <c r="W786" s="207"/>
      <c r="X786" s="207"/>
      <c r="Y786" s="207"/>
      <c r="Z786" s="207"/>
    </row>
    <row r="787" spans="1:26" ht="15.75" customHeight="1">
      <c r="A787" s="207"/>
      <c r="B787" s="207"/>
      <c r="C787" s="207"/>
      <c r="D787" s="207"/>
      <c r="E787" s="207"/>
      <c r="F787" s="207"/>
      <c r="G787" s="207"/>
      <c r="H787" s="207"/>
      <c r="I787" s="207"/>
      <c r="J787" s="207"/>
      <c r="K787" s="207"/>
      <c r="L787" s="207"/>
      <c r="M787" s="207"/>
      <c r="N787" s="207"/>
      <c r="O787" s="207"/>
      <c r="P787" s="207"/>
      <c r="Q787" s="207"/>
      <c r="R787" s="207"/>
      <c r="S787" s="207"/>
      <c r="T787" s="207"/>
      <c r="U787" s="207"/>
      <c r="V787" s="207"/>
      <c r="W787" s="207"/>
      <c r="X787" s="207"/>
      <c r="Y787" s="207"/>
      <c r="Z787" s="207"/>
    </row>
    <row r="788" spans="1:26" ht="15.75" customHeight="1">
      <c r="A788" s="207"/>
      <c r="B788" s="207"/>
      <c r="C788" s="207"/>
      <c r="D788" s="207"/>
      <c r="E788" s="207"/>
      <c r="F788" s="207"/>
      <c r="G788" s="207"/>
      <c r="H788" s="207"/>
      <c r="I788" s="207"/>
      <c r="J788" s="207"/>
      <c r="K788" s="207"/>
      <c r="L788" s="207"/>
      <c r="M788" s="207"/>
      <c r="N788" s="207"/>
      <c r="O788" s="207"/>
      <c r="P788" s="207"/>
      <c r="Q788" s="207"/>
      <c r="R788" s="207"/>
      <c r="S788" s="207"/>
      <c r="T788" s="207"/>
      <c r="U788" s="207"/>
      <c r="V788" s="207"/>
      <c r="W788" s="207"/>
      <c r="X788" s="207"/>
      <c r="Y788" s="207"/>
      <c r="Z788" s="207"/>
    </row>
    <row r="789" spans="1:26" ht="15.75" customHeight="1">
      <c r="A789" s="207"/>
      <c r="B789" s="207"/>
      <c r="C789" s="207"/>
      <c r="D789" s="207"/>
      <c r="E789" s="207"/>
      <c r="F789" s="207"/>
      <c r="G789" s="207"/>
      <c r="H789" s="207"/>
      <c r="I789" s="207"/>
      <c r="J789" s="207"/>
      <c r="K789" s="207"/>
      <c r="L789" s="207"/>
      <c r="M789" s="207"/>
      <c r="N789" s="207"/>
      <c r="O789" s="207"/>
      <c r="P789" s="207"/>
      <c r="Q789" s="207"/>
      <c r="R789" s="207"/>
      <c r="S789" s="207"/>
      <c r="T789" s="207"/>
      <c r="U789" s="207"/>
      <c r="V789" s="207"/>
      <c r="W789" s="207"/>
      <c r="X789" s="207"/>
      <c r="Y789" s="207"/>
      <c r="Z789" s="207"/>
    </row>
    <row r="790" spans="1:26" ht="15.75" customHeight="1">
      <c r="A790" s="207"/>
      <c r="B790" s="207"/>
      <c r="C790" s="207"/>
      <c r="D790" s="207"/>
      <c r="E790" s="207"/>
      <c r="F790" s="207"/>
      <c r="G790" s="207"/>
      <c r="H790" s="207"/>
      <c r="I790" s="207"/>
      <c r="J790" s="207"/>
      <c r="K790" s="207"/>
      <c r="L790" s="207"/>
      <c r="M790" s="207"/>
      <c r="N790" s="207"/>
      <c r="O790" s="207"/>
      <c r="P790" s="207"/>
      <c r="Q790" s="207"/>
      <c r="R790" s="207"/>
      <c r="S790" s="207"/>
      <c r="T790" s="207"/>
      <c r="U790" s="207"/>
      <c r="V790" s="207"/>
      <c r="W790" s="207"/>
      <c r="X790" s="207"/>
      <c r="Y790" s="207"/>
      <c r="Z790" s="207"/>
    </row>
    <row r="791" spans="1:26" ht="15.75" customHeight="1">
      <c r="A791" s="207"/>
      <c r="B791" s="207"/>
      <c r="C791" s="207"/>
      <c r="D791" s="207"/>
      <c r="E791" s="207"/>
      <c r="F791" s="207"/>
      <c r="G791" s="207"/>
      <c r="H791" s="207"/>
      <c r="I791" s="207"/>
      <c r="J791" s="207"/>
      <c r="K791" s="207"/>
      <c r="L791" s="207"/>
      <c r="M791" s="207"/>
      <c r="N791" s="207"/>
      <c r="O791" s="207"/>
      <c r="P791" s="207"/>
      <c r="Q791" s="207"/>
      <c r="R791" s="207"/>
      <c r="S791" s="207"/>
      <c r="T791" s="207"/>
      <c r="U791" s="207"/>
      <c r="V791" s="207"/>
      <c r="W791" s="207"/>
      <c r="X791" s="207"/>
      <c r="Y791" s="207"/>
      <c r="Z791" s="207"/>
    </row>
    <row r="792" spans="1:26" ht="15.75" customHeight="1">
      <c r="A792" s="207"/>
      <c r="B792" s="207"/>
      <c r="C792" s="207"/>
      <c r="D792" s="207"/>
      <c r="E792" s="207"/>
      <c r="F792" s="207"/>
      <c r="G792" s="207"/>
      <c r="H792" s="207"/>
      <c r="I792" s="207"/>
      <c r="J792" s="207"/>
      <c r="K792" s="207"/>
      <c r="L792" s="207"/>
      <c r="M792" s="207"/>
      <c r="N792" s="207"/>
      <c r="O792" s="207"/>
      <c r="P792" s="207"/>
      <c r="Q792" s="207"/>
      <c r="R792" s="207"/>
      <c r="S792" s="207"/>
      <c r="T792" s="207"/>
      <c r="U792" s="207"/>
      <c r="V792" s="207"/>
      <c r="W792" s="207"/>
      <c r="X792" s="207"/>
      <c r="Y792" s="207"/>
      <c r="Z792" s="207"/>
    </row>
    <row r="793" spans="1:26" ht="15.75" customHeight="1">
      <c r="A793" s="207"/>
      <c r="B793" s="207"/>
      <c r="C793" s="207"/>
      <c r="D793" s="207"/>
      <c r="E793" s="207"/>
      <c r="F793" s="207"/>
      <c r="G793" s="207"/>
      <c r="H793" s="207"/>
      <c r="I793" s="207"/>
      <c r="J793" s="207"/>
      <c r="K793" s="207"/>
      <c r="L793" s="207"/>
      <c r="M793" s="207"/>
      <c r="N793" s="207"/>
      <c r="O793" s="207"/>
      <c r="P793" s="207"/>
      <c r="Q793" s="207"/>
      <c r="R793" s="207"/>
      <c r="S793" s="207"/>
      <c r="T793" s="207"/>
      <c r="U793" s="207"/>
      <c r="V793" s="207"/>
      <c r="W793" s="207"/>
      <c r="X793" s="207"/>
      <c r="Y793" s="207"/>
      <c r="Z793" s="207"/>
    </row>
    <row r="794" spans="1:26" ht="15.75" customHeight="1">
      <c r="A794" s="207"/>
      <c r="B794" s="207"/>
      <c r="C794" s="207"/>
      <c r="D794" s="207"/>
      <c r="E794" s="207"/>
      <c r="F794" s="207"/>
      <c r="G794" s="207"/>
      <c r="H794" s="207"/>
      <c r="I794" s="207"/>
      <c r="J794" s="207"/>
      <c r="K794" s="207"/>
      <c r="L794" s="207"/>
      <c r="M794" s="207"/>
      <c r="N794" s="207"/>
      <c r="O794" s="207"/>
      <c r="P794" s="207"/>
      <c r="Q794" s="207"/>
      <c r="R794" s="207"/>
      <c r="S794" s="207"/>
      <c r="T794" s="207"/>
      <c r="U794" s="207"/>
      <c r="V794" s="207"/>
      <c r="W794" s="207"/>
      <c r="X794" s="207"/>
      <c r="Y794" s="207"/>
      <c r="Z794" s="207"/>
    </row>
    <row r="795" spans="1:26" ht="15.75" customHeight="1">
      <c r="A795" s="207"/>
      <c r="B795" s="207"/>
      <c r="C795" s="207"/>
      <c r="D795" s="207"/>
      <c r="E795" s="207"/>
      <c r="F795" s="207"/>
      <c r="G795" s="207"/>
      <c r="H795" s="207"/>
      <c r="I795" s="207"/>
      <c r="J795" s="207"/>
      <c r="K795" s="207"/>
      <c r="L795" s="207"/>
      <c r="M795" s="207"/>
      <c r="N795" s="207"/>
      <c r="O795" s="207"/>
      <c r="P795" s="207"/>
      <c r="Q795" s="207"/>
      <c r="R795" s="207"/>
      <c r="S795" s="207"/>
      <c r="T795" s="207"/>
      <c r="U795" s="207"/>
      <c r="V795" s="207"/>
      <c r="W795" s="207"/>
      <c r="X795" s="207"/>
      <c r="Y795" s="207"/>
      <c r="Z795" s="207"/>
    </row>
    <row r="796" spans="1:26" ht="15.75" customHeight="1">
      <c r="A796" s="207"/>
      <c r="B796" s="207"/>
      <c r="C796" s="207"/>
      <c r="D796" s="207"/>
      <c r="E796" s="207"/>
      <c r="F796" s="207"/>
      <c r="G796" s="207"/>
      <c r="H796" s="207"/>
      <c r="I796" s="207"/>
      <c r="J796" s="207"/>
      <c r="K796" s="207"/>
      <c r="L796" s="207"/>
      <c r="M796" s="207"/>
      <c r="N796" s="207"/>
      <c r="O796" s="207"/>
      <c r="P796" s="207"/>
      <c r="Q796" s="207"/>
      <c r="R796" s="207"/>
      <c r="S796" s="207"/>
      <c r="T796" s="207"/>
      <c r="U796" s="207"/>
      <c r="V796" s="207"/>
      <c r="W796" s="207"/>
      <c r="X796" s="207"/>
      <c r="Y796" s="207"/>
      <c r="Z796" s="207"/>
    </row>
    <row r="797" spans="1:26" ht="15.75" customHeight="1">
      <c r="A797" s="207"/>
      <c r="B797" s="207"/>
      <c r="C797" s="207"/>
      <c r="D797" s="207"/>
      <c r="E797" s="207"/>
      <c r="F797" s="207"/>
      <c r="G797" s="207"/>
      <c r="H797" s="207"/>
      <c r="I797" s="207"/>
      <c r="J797" s="207"/>
      <c r="K797" s="207"/>
      <c r="L797" s="207"/>
      <c r="M797" s="207"/>
      <c r="N797" s="207"/>
      <c r="O797" s="207"/>
      <c r="P797" s="207"/>
      <c r="Q797" s="207"/>
      <c r="R797" s="207"/>
      <c r="S797" s="207"/>
      <c r="T797" s="207"/>
      <c r="U797" s="207"/>
      <c r="V797" s="207"/>
      <c r="W797" s="207"/>
      <c r="X797" s="207"/>
      <c r="Y797" s="207"/>
      <c r="Z797" s="207"/>
    </row>
    <row r="798" spans="1:26" ht="15.75" customHeight="1">
      <c r="A798" s="207"/>
      <c r="B798" s="207"/>
      <c r="C798" s="207"/>
      <c r="D798" s="207"/>
      <c r="E798" s="207"/>
      <c r="F798" s="207"/>
      <c r="G798" s="207"/>
      <c r="H798" s="207"/>
      <c r="I798" s="207"/>
      <c r="J798" s="207"/>
      <c r="K798" s="207"/>
      <c r="L798" s="207"/>
      <c r="M798" s="207"/>
      <c r="N798" s="207"/>
      <c r="O798" s="207"/>
      <c r="P798" s="207"/>
      <c r="Q798" s="207"/>
      <c r="R798" s="207"/>
      <c r="S798" s="207"/>
      <c r="T798" s="207"/>
      <c r="U798" s="207"/>
      <c r="V798" s="207"/>
      <c r="W798" s="207"/>
      <c r="X798" s="207"/>
      <c r="Y798" s="207"/>
      <c r="Z798" s="207"/>
    </row>
    <row r="799" spans="1:26" ht="15.75" customHeight="1">
      <c r="A799" s="207"/>
      <c r="B799" s="207"/>
      <c r="C799" s="207"/>
      <c r="D799" s="207"/>
      <c r="E799" s="207"/>
      <c r="F799" s="207"/>
      <c r="G799" s="207"/>
      <c r="H799" s="207"/>
      <c r="I799" s="207"/>
      <c r="J799" s="207"/>
      <c r="K799" s="207"/>
      <c r="L799" s="207"/>
      <c r="M799" s="207"/>
      <c r="N799" s="207"/>
      <c r="O799" s="207"/>
      <c r="P799" s="207"/>
      <c r="Q799" s="207"/>
      <c r="R799" s="207"/>
      <c r="S799" s="207"/>
      <c r="T799" s="207"/>
      <c r="U799" s="207"/>
      <c r="V799" s="207"/>
      <c r="W799" s="207"/>
      <c r="X799" s="207"/>
      <c r="Y799" s="207"/>
      <c r="Z799" s="207"/>
    </row>
    <row r="800" spans="1:26" ht="15.75" customHeight="1">
      <c r="A800" s="207"/>
      <c r="B800" s="207"/>
      <c r="C800" s="207"/>
      <c r="D800" s="207"/>
      <c r="E800" s="207"/>
      <c r="F800" s="207"/>
      <c r="G800" s="207"/>
      <c r="H800" s="207"/>
      <c r="I800" s="207"/>
      <c r="J800" s="207"/>
      <c r="K800" s="207"/>
      <c r="L800" s="207"/>
      <c r="M800" s="207"/>
      <c r="N800" s="207"/>
      <c r="O800" s="207"/>
      <c r="P800" s="207"/>
      <c r="Q800" s="207"/>
      <c r="R800" s="207"/>
      <c r="S800" s="207"/>
      <c r="T800" s="207"/>
      <c r="U800" s="207"/>
      <c r="V800" s="207"/>
      <c r="W800" s="207"/>
      <c r="X800" s="207"/>
      <c r="Y800" s="207"/>
      <c r="Z800" s="207"/>
    </row>
    <row r="801" spans="1:26" ht="15.75" customHeight="1">
      <c r="A801" s="207"/>
      <c r="B801" s="207"/>
      <c r="C801" s="207"/>
      <c r="D801" s="207"/>
      <c r="E801" s="207"/>
      <c r="F801" s="207"/>
      <c r="G801" s="207"/>
      <c r="H801" s="207"/>
      <c r="I801" s="207"/>
      <c r="J801" s="207"/>
      <c r="K801" s="207"/>
      <c r="L801" s="207"/>
      <c r="M801" s="207"/>
      <c r="N801" s="207"/>
      <c r="O801" s="207"/>
      <c r="P801" s="207"/>
      <c r="Q801" s="207"/>
      <c r="R801" s="207"/>
      <c r="S801" s="207"/>
      <c r="T801" s="207"/>
      <c r="U801" s="207"/>
      <c r="V801" s="207"/>
      <c r="W801" s="207"/>
      <c r="X801" s="207"/>
      <c r="Y801" s="207"/>
      <c r="Z801" s="207"/>
    </row>
    <row r="802" spans="1:26" ht="15.75" customHeight="1">
      <c r="A802" s="207"/>
      <c r="B802" s="207"/>
      <c r="C802" s="207"/>
      <c r="D802" s="207"/>
      <c r="E802" s="207"/>
      <c r="F802" s="207"/>
      <c r="G802" s="207"/>
      <c r="H802" s="207"/>
      <c r="I802" s="207"/>
      <c r="J802" s="207"/>
      <c r="K802" s="207"/>
      <c r="L802" s="207"/>
      <c r="M802" s="207"/>
      <c r="N802" s="207"/>
      <c r="O802" s="207"/>
      <c r="P802" s="207"/>
      <c r="Q802" s="207"/>
      <c r="R802" s="207"/>
      <c r="S802" s="207"/>
      <c r="T802" s="207"/>
      <c r="U802" s="207"/>
      <c r="V802" s="207"/>
      <c r="W802" s="207"/>
      <c r="X802" s="207"/>
      <c r="Y802" s="207"/>
      <c r="Z802" s="207"/>
    </row>
    <row r="803" spans="1:26" ht="15.75" customHeight="1">
      <c r="A803" s="207"/>
      <c r="B803" s="207"/>
      <c r="C803" s="207"/>
      <c r="D803" s="207"/>
      <c r="E803" s="207"/>
      <c r="F803" s="207"/>
      <c r="G803" s="207"/>
      <c r="H803" s="207"/>
      <c r="I803" s="207"/>
      <c r="J803" s="207"/>
      <c r="K803" s="207"/>
      <c r="L803" s="207"/>
      <c r="M803" s="207"/>
      <c r="N803" s="207"/>
      <c r="O803" s="207"/>
      <c r="P803" s="207"/>
      <c r="Q803" s="207"/>
      <c r="R803" s="207"/>
      <c r="S803" s="207"/>
      <c r="T803" s="207"/>
      <c r="U803" s="207"/>
      <c r="V803" s="207"/>
      <c r="W803" s="207"/>
      <c r="X803" s="207"/>
      <c r="Y803" s="207"/>
      <c r="Z803" s="207"/>
    </row>
    <row r="804" spans="1:26" ht="15.75" customHeight="1">
      <c r="A804" s="207"/>
      <c r="B804" s="207"/>
      <c r="C804" s="207"/>
      <c r="D804" s="207"/>
      <c r="E804" s="207"/>
      <c r="F804" s="207"/>
      <c r="G804" s="207"/>
      <c r="H804" s="207"/>
      <c r="I804" s="207"/>
      <c r="J804" s="207"/>
      <c r="K804" s="207"/>
      <c r="L804" s="207"/>
      <c r="M804" s="207"/>
      <c r="N804" s="207"/>
      <c r="O804" s="207"/>
      <c r="P804" s="207"/>
      <c r="Q804" s="207"/>
      <c r="R804" s="207"/>
      <c r="S804" s="207"/>
      <c r="T804" s="207"/>
      <c r="U804" s="207"/>
      <c r="V804" s="207"/>
      <c r="W804" s="207"/>
      <c r="X804" s="207"/>
      <c r="Y804" s="207"/>
      <c r="Z804" s="207"/>
    </row>
    <row r="805" spans="1:26" ht="15.75" customHeight="1">
      <c r="A805" s="207"/>
      <c r="B805" s="207"/>
      <c r="C805" s="207"/>
      <c r="D805" s="207"/>
      <c r="E805" s="207"/>
      <c r="F805" s="207"/>
      <c r="G805" s="207"/>
      <c r="H805" s="207"/>
      <c r="I805" s="207"/>
      <c r="J805" s="207"/>
      <c r="K805" s="207"/>
      <c r="L805" s="207"/>
      <c r="M805" s="207"/>
      <c r="N805" s="207"/>
      <c r="O805" s="207"/>
      <c r="P805" s="207"/>
      <c r="Q805" s="207"/>
      <c r="R805" s="207"/>
      <c r="S805" s="207"/>
      <c r="T805" s="207"/>
      <c r="U805" s="207"/>
      <c r="V805" s="207"/>
      <c r="W805" s="207"/>
      <c r="X805" s="207"/>
      <c r="Y805" s="207"/>
      <c r="Z805" s="207"/>
    </row>
    <row r="806" spans="1:26" ht="15.75" customHeight="1">
      <c r="A806" s="207"/>
      <c r="B806" s="207"/>
      <c r="C806" s="207"/>
      <c r="D806" s="207"/>
      <c r="E806" s="207"/>
      <c r="F806" s="207"/>
      <c r="G806" s="207"/>
      <c r="H806" s="207"/>
      <c r="I806" s="207"/>
      <c r="J806" s="207"/>
      <c r="K806" s="207"/>
      <c r="L806" s="207"/>
      <c r="M806" s="207"/>
      <c r="N806" s="207"/>
      <c r="O806" s="207"/>
      <c r="P806" s="207"/>
      <c r="Q806" s="207"/>
      <c r="R806" s="207"/>
      <c r="S806" s="207"/>
      <c r="T806" s="207"/>
      <c r="U806" s="207"/>
      <c r="V806" s="207"/>
      <c r="W806" s="207"/>
      <c r="X806" s="207"/>
      <c r="Y806" s="207"/>
      <c r="Z806" s="207"/>
    </row>
    <row r="807" spans="1:26" ht="15.75" customHeight="1">
      <c r="A807" s="207"/>
      <c r="B807" s="207"/>
      <c r="C807" s="207"/>
      <c r="D807" s="207"/>
      <c r="E807" s="207"/>
      <c r="F807" s="207"/>
      <c r="G807" s="207"/>
      <c r="H807" s="207"/>
      <c r="I807" s="207"/>
      <c r="J807" s="207"/>
      <c r="K807" s="207"/>
      <c r="L807" s="207"/>
      <c r="M807" s="207"/>
      <c r="N807" s="207"/>
      <c r="O807" s="207"/>
      <c r="P807" s="207"/>
      <c r="Q807" s="207"/>
      <c r="R807" s="207"/>
      <c r="S807" s="207"/>
      <c r="T807" s="207"/>
      <c r="U807" s="207"/>
      <c r="V807" s="207"/>
      <c r="W807" s="207"/>
      <c r="X807" s="207"/>
      <c r="Y807" s="207"/>
      <c r="Z807" s="207"/>
    </row>
    <row r="808" spans="1:26" ht="15.75" customHeight="1">
      <c r="A808" s="207"/>
      <c r="B808" s="207"/>
      <c r="C808" s="207"/>
      <c r="D808" s="207"/>
      <c r="E808" s="207"/>
      <c r="F808" s="207"/>
      <c r="G808" s="207"/>
      <c r="H808" s="207"/>
      <c r="I808" s="207"/>
      <c r="J808" s="207"/>
      <c r="K808" s="207"/>
      <c r="L808" s="207"/>
      <c r="M808" s="207"/>
      <c r="N808" s="207"/>
      <c r="O808" s="207"/>
      <c r="P808" s="207"/>
      <c r="Q808" s="207"/>
      <c r="R808" s="207"/>
      <c r="S808" s="207"/>
      <c r="T808" s="207"/>
      <c r="U808" s="207"/>
      <c r="V808" s="207"/>
      <c r="W808" s="207"/>
      <c r="X808" s="207"/>
      <c r="Y808" s="207"/>
      <c r="Z808" s="207"/>
    </row>
    <row r="809" spans="1:26" ht="15.75" customHeight="1">
      <c r="A809" s="207"/>
      <c r="B809" s="207"/>
      <c r="C809" s="207"/>
      <c r="D809" s="207"/>
      <c r="E809" s="207"/>
      <c r="F809" s="207"/>
      <c r="G809" s="207"/>
      <c r="H809" s="207"/>
      <c r="I809" s="207"/>
      <c r="J809" s="207"/>
      <c r="K809" s="207"/>
      <c r="L809" s="207"/>
      <c r="M809" s="207"/>
      <c r="N809" s="207"/>
      <c r="O809" s="207"/>
      <c r="P809" s="207"/>
      <c r="Q809" s="207"/>
      <c r="R809" s="207"/>
      <c r="S809" s="207"/>
      <c r="T809" s="207"/>
      <c r="U809" s="207"/>
      <c r="V809" s="207"/>
      <c r="W809" s="207"/>
      <c r="X809" s="207"/>
      <c r="Y809" s="207"/>
      <c r="Z809" s="207"/>
    </row>
    <row r="810" spans="1:26" ht="15.75" customHeight="1">
      <c r="A810" s="207"/>
      <c r="B810" s="207"/>
      <c r="C810" s="207"/>
      <c r="D810" s="207"/>
      <c r="E810" s="207"/>
      <c r="F810" s="207"/>
      <c r="G810" s="207"/>
      <c r="H810" s="207"/>
      <c r="I810" s="207"/>
      <c r="J810" s="207"/>
      <c r="K810" s="207"/>
      <c r="L810" s="207"/>
      <c r="M810" s="207"/>
      <c r="N810" s="207"/>
      <c r="O810" s="207"/>
      <c r="P810" s="207"/>
      <c r="Q810" s="207"/>
      <c r="R810" s="207"/>
      <c r="S810" s="207"/>
      <c r="T810" s="207"/>
      <c r="U810" s="207"/>
      <c r="V810" s="207"/>
      <c r="W810" s="207"/>
      <c r="X810" s="207"/>
      <c r="Y810" s="207"/>
      <c r="Z810" s="207"/>
    </row>
    <row r="811" spans="1:26" ht="15.75" customHeight="1">
      <c r="A811" s="207"/>
      <c r="B811" s="207"/>
      <c r="C811" s="207"/>
      <c r="D811" s="207"/>
      <c r="E811" s="207"/>
      <c r="F811" s="207"/>
      <c r="G811" s="207"/>
      <c r="H811" s="207"/>
      <c r="I811" s="207"/>
      <c r="J811" s="207"/>
      <c r="K811" s="207"/>
      <c r="L811" s="207"/>
      <c r="M811" s="207"/>
      <c r="N811" s="207"/>
      <c r="O811" s="207"/>
      <c r="P811" s="207"/>
      <c r="Q811" s="207"/>
      <c r="R811" s="207"/>
      <c r="S811" s="207"/>
      <c r="T811" s="207"/>
      <c r="U811" s="207"/>
      <c r="V811" s="207"/>
      <c r="W811" s="207"/>
      <c r="X811" s="207"/>
      <c r="Y811" s="207"/>
      <c r="Z811" s="207"/>
    </row>
    <row r="812" spans="1:26" ht="15.75" customHeight="1">
      <c r="A812" s="207"/>
      <c r="B812" s="207"/>
      <c r="C812" s="207"/>
      <c r="D812" s="207"/>
      <c r="E812" s="207"/>
      <c r="F812" s="207"/>
      <c r="G812" s="207"/>
      <c r="H812" s="207"/>
      <c r="I812" s="207"/>
      <c r="J812" s="207"/>
      <c r="K812" s="207"/>
      <c r="L812" s="207"/>
      <c r="M812" s="207"/>
      <c r="N812" s="207"/>
      <c r="O812" s="207"/>
      <c r="P812" s="207"/>
      <c r="Q812" s="207"/>
      <c r="R812" s="207"/>
      <c r="S812" s="207"/>
      <c r="T812" s="207"/>
      <c r="U812" s="207"/>
      <c r="V812" s="207"/>
      <c r="W812" s="207"/>
      <c r="X812" s="207"/>
      <c r="Y812" s="207"/>
      <c r="Z812" s="207"/>
    </row>
    <row r="813" spans="1:26" ht="15.75" customHeight="1">
      <c r="A813" s="207"/>
      <c r="B813" s="207"/>
      <c r="C813" s="207"/>
      <c r="D813" s="207"/>
      <c r="E813" s="207"/>
      <c r="F813" s="207"/>
      <c r="G813" s="207"/>
      <c r="H813" s="207"/>
      <c r="I813" s="207"/>
      <c r="J813" s="207"/>
      <c r="K813" s="207"/>
      <c r="L813" s="207"/>
      <c r="M813" s="207"/>
      <c r="N813" s="207"/>
      <c r="O813" s="207"/>
      <c r="P813" s="207"/>
      <c r="Q813" s="207"/>
      <c r="R813" s="207"/>
      <c r="S813" s="207"/>
      <c r="T813" s="207"/>
      <c r="U813" s="207"/>
      <c r="V813" s="207"/>
      <c r="W813" s="207"/>
      <c r="X813" s="207"/>
      <c r="Y813" s="207"/>
      <c r="Z813" s="207"/>
    </row>
    <row r="814" spans="1:26" ht="15.75" customHeight="1">
      <c r="A814" s="207"/>
      <c r="B814" s="207"/>
      <c r="C814" s="207"/>
      <c r="D814" s="207"/>
      <c r="E814" s="207"/>
      <c r="F814" s="207"/>
      <c r="G814" s="207"/>
      <c r="H814" s="207"/>
      <c r="I814" s="207"/>
      <c r="J814" s="207"/>
      <c r="K814" s="207"/>
      <c r="L814" s="207"/>
      <c r="M814" s="207"/>
      <c r="N814" s="207"/>
      <c r="O814" s="207"/>
      <c r="P814" s="207"/>
      <c r="Q814" s="207"/>
      <c r="R814" s="207"/>
      <c r="S814" s="207"/>
      <c r="T814" s="207"/>
      <c r="U814" s="207"/>
      <c r="V814" s="207"/>
      <c r="W814" s="207"/>
      <c r="X814" s="207"/>
      <c r="Y814" s="207"/>
      <c r="Z814" s="207"/>
    </row>
    <row r="815" spans="1:26" ht="15.75" customHeight="1">
      <c r="A815" s="207"/>
      <c r="B815" s="207"/>
      <c r="C815" s="207"/>
      <c r="D815" s="207"/>
      <c r="E815" s="207"/>
      <c r="F815" s="207"/>
      <c r="G815" s="207"/>
      <c r="H815" s="207"/>
      <c r="I815" s="207"/>
      <c r="J815" s="207"/>
      <c r="K815" s="207"/>
      <c r="L815" s="207"/>
      <c r="M815" s="207"/>
      <c r="N815" s="207"/>
      <c r="O815" s="207"/>
      <c r="P815" s="207"/>
      <c r="Q815" s="207"/>
      <c r="R815" s="207"/>
      <c r="S815" s="207"/>
      <c r="T815" s="207"/>
      <c r="U815" s="207"/>
      <c r="V815" s="207"/>
      <c r="W815" s="207"/>
      <c r="X815" s="207"/>
      <c r="Y815" s="207"/>
      <c r="Z815" s="207"/>
    </row>
    <row r="816" spans="1:26" ht="15.75" customHeight="1">
      <c r="A816" s="207"/>
      <c r="B816" s="207"/>
      <c r="C816" s="207"/>
      <c r="D816" s="207"/>
      <c r="E816" s="207"/>
      <c r="F816" s="207"/>
      <c r="G816" s="207"/>
      <c r="H816" s="207"/>
      <c r="I816" s="207"/>
      <c r="J816" s="207"/>
      <c r="K816" s="207"/>
      <c r="L816" s="207"/>
      <c r="M816" s="207"/>
      <c r="N816" s="207"/>
      <c r="O816" s="207"/>
      <c r="P816" s="207"/>
      <c r="Q816" s="207"/>
      <c r="R816" s="207"/>
      <c r="S816" s="207"/>
      <c r="T816" s="207"/>
      <c r="U816" s="207"/>
      <c r="V816" s="207"/>
      <c r="W816" s="207"/>
      <c r="X816" s="207"/>
      <c r="Y816" s="207"/>
      <c r="Z816" s="207"/>
    </row>
    <row r="817" spans="1:26" ht="15.75" customHeight="1">
      <c r="A817" s="207"/>
      <c r="B817" s="207"/>
      <c r="C817" s="207"/>
      <c r="D817" s="207"/>
      <c r="E817" s="207"/>
      <c r="F817" s="207"/>
      <c r="G817" s="207"/>
      <c r="H817" s="207"/>
      <c r="I817" s="207"/>
      <c r="J817" s="207"/>
      <c r="K817" s="207"/>
      <c r="L817" s="207"/>
      <c r="M817" s="207"/>
      <c r="N817" s="207"/>
      <c r="O817" s="207"/>
      <c r="P817" s="207"/>
      <c r="Q817" s="207"/>
      <c r="R817" s="207"/>
      <c r="S817" s="207"/>
      <c r="T817" s="207"/>
      <c r="U817" s="207"/>
      <c r="V817" s="207"/>
      <c r="W817" s="207"/>
      <c r="X817" s="207"/>
      <c r="Y817" s="207"/>
      <c r="Z817" s="207"/>
    </row>
    <row r="818" spans="1:26" ht="15.75" customHeight="1">
      <c r="A818" s="207"/>
      <c r="B818" s="207"/>
      <c r="C818" s="207"/>
      <c r="D818" s="207"/>
      <c r="E818" s="207"/>
      <c r="F818" s="207"/>
      <c r="G818" s="207"/>
      <c r="H818" s="207"/>
      <c r="I818" s="207"/>
      <c r="J818" s="207"/>
      <c r="K818" s="207"/>
      <c r="L818" s="207"/>
      <c r="M818" s="207"/>
      <c r="N818" s="207"/>
      <c r="O818" s="207"/>
      <c r="P818" s="207"/>
      <c r="Q818" s="207"/>
      <c r="R818" s="207"/>
      <c r="S818" s="207"/>
      <c r="T818" s="207"/>
      <c r="U818" s="207"/>
      <c r="V818" s="207"/>
      <c r="W818" s="207"/>
      <c r="X818" s="207"/>
      <c r="Y818" s="207"/>
      <c r="Z818" s="207"/>
    </row>
    <row r="819" spans="1:26" ht="15.75" customHeight="1">
      <c r="A819" s="207"/>
      <c r="B819" s="207"/>
      <c r="C819" s="207"/>
      <c r="D819" s="207"/>
      <c r="E819" s="207"/>
      <c r="F819" s="207"/>
      <c r="G819" s="207"/>
      <c r="H819" s="207"/>
      <c r="I819" s="207"/>
      <c r="J819" s="207"/>
      <c r="K819" s="207"/>
      <c r="L819" s="207"/>
      <c r="M819" s="207"/>
      <c r="N819" s="207"/>
      <c r="O819" s="207"/>
      <c r="P819" s="207"/>
      <c r="Q819" s="207"/>
      <c r="R819" s="207"/>
      <c r="S819" s="207"/>
      <c r="T819" s="207"/>
      <c r="U819" s="207"/>
      <c r="V819" s="207"/>
      <c r="W819" s="207"/>
      <c r="X819" s="207"/>
      <c r="Y819" s="207"/>
      <c r="Z819" s="207"/>
    </row>
    <row r="820" spans="1:26" ht="15.75" customHeight="1">
      <c r="A820" s="207"/>
      <c r="B820" s="207"/>
      <c r="C820" s="207"/>
      <c r="D820" s="207"/>
      <c r="E820" s="207"/>
      <c r="F820" s="207"/>
      <c r="G820" s="207"/>
      <c r="H820" s="207"/>
      <c r="I820" s="207"/>
      <c r="J820" s="207"/>
      <c r="K820" s="207"/>
      <c r="L820" s="207"/>
      <c r="M820" s="207"/>
      <c r="N820" s="207"/>
      <c r="O820" s="207"/>
      <c r="P820" s="207"/>
      <c r="Q820" s="207"/>
      <c r="R820" s="207"/>
      <c r="S820" s="207"/>
      <c r="T820" s="207"/>
      <c r="U820" s="207"/>
      <c r="V820" s="207"/>
      <c r="W820" s="207"/>
      <c r="X820" s="207"/>
      <c r="Y820" s="207"/>
      <c r="Z820" s="207"/>
    </row>
    <row r="821" spans="1:26" ht="15.75" customHeight="1">
      <c r="A821" s="207"/>
      <c r="B821" s="207"/>
      <c r="C821" s="207"/>
      <c r="D821" s="207"/>
      <c r="E821" s="207"/>
      <c r="F821" s="207"/>
      <c r="G821" s="207"/>
      <c r="H821" s="207"/>
      <c r="I821" s="207"/>
      <c r="J821" s="207"/>
      <c r="K821" s="207"/>
      <c r="L821" s="207"/>
      <c r="M821" s="207"/>
      <c r="N821" s="207"/>
      <c r="O821" s="207"/>
      <c r="P821" s="207"/>
      <c r="Q821" s="207"/>
      <c r="R821" s="207"/>
      <c r="S821" s="207"/>
      <c r="T821" s="207"/>
      <c r="U821" s="207"/>
      <c r="V821" s="207"/>
      <c r="W821" s="207"/>
      <c r="X821" s="207"/>
      <c r="Y821" s="207"/>
      <c r="Z821" s="207"/>
    </row>
    <row r="822" spans="1:26" ht="15.75" customHeight="1">
      <c r="A822" s="207"/>
      <c r="B822" s="207"/>
      <c r="C822" s="207"/>
      <c r="D822" s="207"/>
      <c r="E822" s="207"/>
      <c r="F822" s="207"/>
      <c r="G822" s="207"/>
      <c r="H822" s="207"/>
      <c r="I822" s="207"/>
      <c r="J822" s="207"/>
      <c r="K822" s="207"/>
      <c r="L822" s="207"/>
      <c r="M822" s="207"/>
      <c r="N822" s="207"/>
      <c r="O822" s="207"/>
      <c r="P822" s="207"/>
      <c r="Q822" s="207"/>
      <c r="R822" s="207"/>
      <c r="S822" s="207"/>
      <c r="T822" s="207"/>
      <c r="U822" s="207"/>
      <c r="V822" s="207"/>
      <c r="W822" s="207"/>
      <c r="X822" s="207"/>
      <c r="Y822" s="207"/>
      <c r="Z822" s="207"/>
    </row>
    <row r="823" spans="1:26" ht="15.75" customHeight="1">
      <c r="A823" s="207"/>
      <c r="B823" s="207"/>
      <c r="C823" s="207"/>
      <c r="D823" s="207"/>
      <c r="E823" s="207"/>
      <c r="F823" s="207"/>
      <c r="G823" s="207"/>
      <c r="H823" s="207"/>
      <c r="I823" s="207"/>
      <c r="J823" s="207"/>
      <c r="K823" s="207"/>
      <c r="L823" s="207"/>
      <c r="M823" s="207"/>
      <c r="N823" s="207"/>
      <c r="O823" s="207"/>
      <c r="P823" s="207"/>
      <c r="Q823" s="207"/>
      <c r="R823" s="207"/>
      <c r="S823" s="207"/>
      <c r="T823" s="207"/>
      <c r="U823" s="207"/>
      <c r="V823" s="207"/>
      <c r="W823" s="207"/>
      <c r="X823" s="207"/>
      <c r="Y823" s="207"/>
      <c r="Z823" s="207"/>
    </row>
    <row r="824" spans="1:26" ht="15.75" customHeight="1">
      <c r="A824" s="207"/>
      <c r="B824" s="207"/>
      <c r="C824" s="207"/>
      <c r="D824" s="207"/>
      <c r="E824" s="207"/>
      <c r="F824" s="207"/>
      <c r="G824" s="207"/>
      <c r="H824" s="207"/>
      <c r="I824" s="207"/>
      <c r="J824" s="207"/>
      <c r="K824" s="207"/>
      <c r="L824" s="207"/>
      <c r="M824" s="207"/>
      <c r="N824" s="207"/>
      <c r="O824" s="207"/>
      <c r="P824" s="207"/>
      <c r="Q824" s="207"/>
      <c r="R824" s="207"/>
      <c r="S824" s="207"/>
      <c r="T824" s="207"/>
      <c r="U824" s="207"/>
      <c r="V824" s="207"/>
      <c r="W824" s="207"/>
      <c r="X824" s="207"/>
      <c r="Y824" s="207"/>
      <c r="Z824" s="207"/>
    </row>
    <row r="825" spans="1:26" ht="15.75" customHeight="1">
      <c r="A825" s="207"/>
      <c r="B825" s="207"/>
      <c r="C825" s="207"/>
      <c r="D825" s="207"/>
      <c r="E825" s="207"/>
      <c r="F825" s="207"/>
      <c r="G825" s="207"/>
      <c r="H825" s="207"/>
      <c r="I825" s="207"/>
      <c r="J825" s="207"/>
      <c r="K825" s="207"/>
      <c r="L825" s="207"/>
      <c r="M825" s="207"/>
      <c r="N825" s="207"/>
      <c r="O825" s="207"/>
      <c r="P825" s="207"/>
      <c r="Q825" s="207"/>
      <c r="R825" s="207"/>
      <c r="S825" s="207"/>
      <c r="T825" s="207"/>
      <c r="U825" s="207"/>
      <c r="V825" s="207"/>
      <c r="W825" s="207"/>
      <c r="X825" s="207"/>
      <c r="Y825" s="207"/>
      <c r="Z825" s="207"/>
    </row>
    <row r="826" spans="1:26" ht="15.75" customHeight="1">
      <c r="A826" s="207"/>
      <c r="B826" s="207"/>
      <c r="C826" s="207"/>
      <c r="D826" s="207"/>
      <c r="E826" s="207"/>
      <c r="F826" s="207"/>
      <c r="G826" s="207"/>
      <c r="H826" s="207"/>
      <c r="I826" s="207"/>
      <c r="J826" s="207"/>
      <c r="K826" s="207"/>
      <c r="L826" s="207"/>
      <c r="M826" s="207"/>
      <c r="N826" s="207"/>
      <c r="O826" s="207"/>
      <c r="P826" s="207"/>
      <c r="Q826" s="207"/>
      <c r="R826" s="207"/>
      <c r="S826" s="207"/>
      <c r="T826" s="207"/>
      <c r="U826" s="207"/>
      <c r="V826" s="207"/>
      <c r="W826" s="207"/>
      <c r="X826" s="207"/>
      <c r="Y826" s="207"/>
      <c r="Z826" s="207"/>
    </row>
    <row r="827" spans="1:26" ht="15.75" customHeight="1">
      <c r="A827" s="207"/>
      <c r="B827" s="207"/>
      <c r="C827" s="207"/>
      <c r="D827" s="207"/>
      <c r="E827" s="207"/>
      <c r="F827" s="207"/>
      <c r="G827" s="207"/>
      <c r="H827" s="207"/>
      <c r="I827" s="207"/>
      <c r="J827" s="207"/>
      <c r="K827" s="207"/>
      <c r="L827" s="207"/>
      <c r="M827" s="207"/>
      <c r="N827" s="207"/>
      <c r="O827" s="207"/>
      <c r="P827" s="207"/>
      <c r="Q827" s="207"/>
      <c r="R827" s="207"/>
      <c r="S827" s="207"/>
      <c r="T827" s="207"/>
      <c r="U827" s="207"/>
      <c r="V827" s="207"/>
      <c r="W827" s="207"/>
      <c r="X827" s="207"/>
      <c r="Y827" s="207"/>
      <c r="Z827" s="207"/>
    </row>
    <row r="828" spans="1:26" ht="15.75" customHeight="1">
      <c r="A828" s="207"/>
      <c r="B828" s="207"/>
      <c r="C828" s="207"/>
      <c r="D828" s="207"/>
      <c r="E828" s="207"/>
      <c r="F828" s="207"/>
      <c r="G828" s="207"/>
      <c r="H828" s="207"/>
      <c r="I828" s="207"/>
      <c r="J828" s="207"/>
      <c r="K828" s="207"/>
      <c r="L828" s="207"/>
      <c r="M828" s="207"/>
      <c r="N828" s="207"/>
      <c r="O828" s="207"/>
      <c r="P828" s="207"/>
      <c r="Q828" s="207"/>
      <c r="R828" s="207"/>
      <c r="S828" s="207"/>
      <c r="T828" s="207"/>
      <c r="U828" s="207"/>
      <c r="V828" s="207"/>
      <c r="W828" s="207"/>
      <c r="X828" s="207"/>
      <c r="Y828" s="207"/>
      <c r="Z828" s="207"/>
    </row>
    <row r="829" spans="1:26" ht="15.75" customHeight="1">
      <c r="A829" s="207"/>
      <c r="B829" s="207"/>
      <c r="C829" s="207"/>
      <c r="D829" s="207"/>
      <c r="E829" s="207"/>
      <c r="F829" s="207"/>
      <c r="G829" s="207"/>
      <c r="H829" s="207"/>
      <c r="I829" s="207"/>
      <c r="J829" s="207"/>
      <c r="K829" s="207"/>
      <c r="L829" s="207"/>
      <c r="M829" s="207"/>
      <c r="N829" s="207"/>
      <c r="O829" s="207"/>
      <c r="P829" s="207"/>
      <c r="Q829" s="207"/>
      <c r="R829" s="207"/>
      <c r="S829" s="207"/>
      <c r="T829" s="207"/>
      <c r="U829" s="207"/>
      <c r="V829" s="207"/>
      <c r="W829" s="207"/>
      <c r="X829" s="207"/>
      <c r="Y829" s="207"/>
      <c r="Z829" s="207"/>
    </row>
    <row r="830" spans="1:26" ht="15.75" customHeight="1">
      <c r="A830" s="207"/>
      <c r="B830" s="207"/>
      <c r="C830" s="207"/>
      <c r="D830" s="207"/>
      <c r="E830" s="207"/>
      <c r="F830" s="207"/>
      <c r="G830" s="207"/>
      <c r="H830" s="207"/>
      <c r="I830" s="207"/>
      <c r="J830" s="207"/>
      <c r="K830" s="207"/>
      <c r="L830" s="207"/>
      <c r="M830" s="207"/>
      <c r="N830" s="207"/>
      <c r="O830" s="207"/>
      <c r="P830" s="207"/>
      <c r="Q830" s="207"/>
      <c r="R830" s="207"/>
      <c r="S830" s="207"/>
      <c r="T830" s="207"/>
      <c r="U830" s="207"/>
      <c r="V830" s="207"/>
      <c r="W830" s="207"/>
      <c r="X830" s="207"/>
      <c r="Y830" s="207"/>
      <c r="Z830" s="207"/>
    </row>
    <row r="831" spans="1:26" ht="15.75" customHeight="1">
      <c r="A831" s="207"/>
      <c r="B831" s="207"/>
      <c r="C831" s="207"/>
      <c r="D831" s="207"/>
      <c r="E831" s="207"/>
      <c r="F831" s="207"/>
      <c r="G831" s="207"/>
      <c r="H831" s="207"/>
      <c r="I831" s="207"/>
      <c r="J831" s="207"/>
      <c r="K831" s="207"/>
      <c r="L831" s="207"/>
      <c r="M831" s="207"/>
      <c r="N831" s="207"/>
      <c r="O831" s="207"/>
      <c r="P831" s="207"/>
      <c r="Q831" s="207"/>
      <c r="R831" s="207"/>
      <c r="S831" s="207"/>
      <c r="T831" s="207"/>
      <c r="U831" s="207"/>
      <c r="V831" s="207"/>
      <c r="W831" s="207"/>
      <c r="X831" s="207"/>
      <c r="Y831" s="207"/>
      <c r="Z831" s="207"/>
    </row>
    <row r="832" spans="1:26" ht="15.75" customHeight="1">
      <c r="A832" s="207"/>
      <c r="B832" s="207"/>
      <c r="C832" s="207"/>
      <c r="D832" s="207"/>
      <c r="E832" s="207"/>
      <c r="F832" s="207"/>
      <c r="G832" s="207"/>
      <c r="H832" s="207"/>
      <c r="I832" s="207"/>
      <c r="J832" s="207"/>
      <c r="K832" s="207"/>
      <c r="L832" s="207"/>
      <c r="M832" s="207"/>
      <c r="N832" s="207"/>
      <c r="O832" s="207"/>
      <c r="P832" s="207"/>
      <c r="Q832" s="207"/>
      <c r="R832" s="207"/>
      <c r="S832" s="207"/>
      <c r="T832" s="207"/>
      <c r="U832" s="207"/>
      <c r="V832" s="207"/>
      <c r="W832" s="207"/>
      <c r="X832" s="207"/>
      <c r="Y832" s="207"/>
      <c r="Z832" s="207"/>
    </row>
    <row r="833" spans="1:26" ht="15.75" customHeight="1">
      <c r="A833" s="207"/>
      <c r="B833" s="207"/>
      <c r="C833" s="207"/>
      <c r="D833" s="207"/>
      <c r="E833" s="207"/>
      <c r="F833" s="207"/>
      <c r="G833" s="207"/>
      <c r="H833" s="207"/>
      <c r="I833" s="207"/>
      <c r="J833" s="207"/>
      <c r="K833" s="207"/>
      <c r="L833" s="207"/>
      <c r="M833" s="207"/>
      <c r="N833" s="207"/>
      <c r="O833" s="207"/>
      <c r="P833" s="207"/>
      <c r="Q833" s="207"/>
      <c r="R833" s="207"/>
      <c r="S833" s="207"/>
      <c r="T833" s="207"/>
      <c r="U833" s="207"/>
      <c r="V833" s="207"/>
      <c r="W833" s="207"/>
      <c r="X833" s="207"/>
      <c r="Y833" s="207"/>
      <c r="Z833" s="207"/>
    </row>
    <row r="834" spans="1:26" ht="15.75" customHeight="1">
      <c r="A834" s="207"/>
      <c r="B834" s="207"/>
      <c r="C834" s="207"/>
      <c r="D834" s="207"/>
      <c r="E834" s="207"/>
      <c r="F834" s="207"/>
      <c r="G834" s="207"/>
      <c r="H834" s="207"/>
      <c r="I834" s="207"/>
      <c r="J834" s="207"/>
      <c r="K834" s="207"/>
      <c r="L834" s="207"/>
      <c r="M834" s="207"/>
      <c r="N834" s="207"/>
      <c r="O834" s="207"/>
      <c r="P834" s="207"/>
      <c r="Q834" s="207"/>
      <c r="R834" s="207"/>
      <c r="S834" s="207"/>
      <c r="T834" s="207"/>
      <c r="U834" s="207"/>
      <c r="V834" s="207"/>
      <c r="W834" s="207"/>
      <c r="X834" s="207"/>
      <c r="Y834" s="207"/>
      <c r="Z834" s="207"/>
    </row>
    <row r="835" spans="1:26" ht="15.75" customHeight="1">
      <c r="A835" s="207"/>
      <c r="B835" s="207"/>
      <c r="C835" s="207"/>
      <c r="D835" s="207"/>
      <c r="E835" s="207"/>
      <c r="F835" s="207"/>
      <c r="G835" s="207"/>
      <c r="H835" s="207"/>
      <c r="I835" s="207"/>
      <c r="J835" s="207"/>
      <c r="K835" s="207"/>
      <c r="L835" s="207"/>
      <c r="M835" s="207"/>
      <c r="N835" s="207"/>
      <c r="O835" s="207"/>
      <c r="P835" s="207"/>
      <c r="Q835" s="207"/>
      <c r="R835" s="207"/>
      <c r="S835" s="207"/>
      <c r="T835" s="207"/>
      <c r="U835" s="207"/>
      <c r="V835" s="207"/>
      <c r="W835" s="207"/>
      <c r="X835" s="207"/>
      <c r="Y835" s="207"/>
      <c r="Z835" s="207"/>
    </row>
    <row r="836" spans="1:26" ht="15.75" customHeight="1">
      <c r="A836" s="207"/>
      <c r="B836" s="207"/>
      <c r="C836" s="207"/>
      <c r="D836" s="207"/>
      <c r="E836" s="207"/>
      <c r="F836" s="207"/>
      <c r="G836" s="207"/>
      <c r="H836" s="207"/>
      <c r="I836" s="207"/>
      <c r="J836" s="207"/>
      <c r="K836" s="207"/>
      <c r="L836" s="207"/>
      <c r="M836" s="207"/>
      <c r="N836" s="207"/>
      <c r="O836" s="207"/>
      <c r="P836" s="207"/>
      <c r="Q836" s="207"/>
      <c r="R836" s="207"/>
      <c r="S836" s="207"/>
      <c r="T836" s="207"/>
      <c r="U836" s="207"/>
      <c r="V836" s="207"/>
      <c r="W836" s="207"/>
      <c r="X836" s="207"/>
      <c r="Y836" s="207"/>
      <c r="Z836" s="207"/>
    </row>
    <row r="837" spans="1:26" ht="15.75" customHeight="1">
      <c r="A837" s="207"/>
      <c r="B837" s="207"/>
      <c r="C837" s="207"/>
      <c r="D837" s="207"/>
      <c r="E837" s="207"/>
      <c r="F837" s="207"/>
      <c r="G837" s="207"/>
      <c r="H837" s="207"/>
      <c r="I837" s="207"/>
      <c r="J837" s="207"/>
      <c r="K837" s="207"/>
      <c r="L837" s="207"/>
      <c r="M837" s="207"/>
      <c r="N837" s="207"/>
      <c r="O837" s="207"/>
      <c r="P837" s="207"/>
      <c r="Q837" s="207"/>
      <c r="R837" s="207"/>
      <c r="S837" s="207"/>
      <c r="T837" s="207"/>
      <c r="U837" s="207"/>
      <c r="V837" s="207"/>
      <c r="W837" s="207"/>
      <c r="X837" s="207"/>
      <c r="Y837" s="207"/>
      <c r="Z837" s="207"/>
    </row>
    <row r="838" spans="1:26" ht="15.75" customHeight="1">
      <c r="A838" s="207"/>
      <c r="B838" s="207"/>
      <c r="C838" s="207"/>
      <c r="D838" s="207"/>
      <c r="E838" s="207"/>
      <c r="F838" s="207"/>
      <c r="G838" s="207"/>
      <c r="H838" s="207"/>
      <c r="I838" s="207"/>
      <c r="J838" s="207"/>
      <c r="K838" s="207"/>
      <c r="L838" s="207"/>
      <c r="M838" s="207"/>
      <c r="N838" s="207"/>
      <c r="O838" s="207"/>
      <c r="P838" s="207"/>
      <c r="Q838" s="207"/>
      <c r="R838" s="207"/>
      <c r="S838" s="207"/>
      <c r="T838" s="207"/>
      <c r="U838" s="207"/>
      <c r="V838" s="207"/>
      <c r="W838" s="207"/>
      <c r="X838" s="207"/>
      <c r="Y838" s="207"/>
      <c r="Z838" s="207"/>
    </row>
    <row r="839" spans="1:26" ht="15.75" customHeight="1">
      <c r="A839" s="207"/>
      <c r="B839" s="207"/>
      <c r="C839" s="207"/>
      <c r="D839" s="207"/>
      <c r="E839" s="207"/>
      <c r="F839" s="207"/>
      <c r="G839" s="207"/>
      <c r="H839" s="207"/>
      <c r="I839" s="207"/>
      <c r="J839" s="207"/>
      <c r="K839" s="207"/>
      <c r="L839" s="207"/>
      <c r="M839" s="207"/>
      <c r="N839" s="207"/>
      <c r="O839" s="207"/>
      <c r="P839" s="207"/>
      <c r="Q839" s="207"/>
      <c r="R839" s="207"/>
      <c r="S839" s="207"/>
      <c r="T839" s="207"/>
      <c r="U839" s="207"/>
      <c r="V839" s="207"/>
      <c r="W839" s="207"/>
      <c r="X839" s="207"/>
      <c r="Y839" s="207"/>
      <c r="Z839" s="207"/>
    </row>
    <row r="840" spans="1:26" ht="15.75" customHeight="1">
      <c r="A840" s="207"/>
      <c r="B840" s="207"/>
      <c r="C840" s="207"/>
      <c r="D840" s="207"/>
      <c r="E840" s="207"/>
      <c r="F840" s="207"/>
      <c r="G840" s="207"/>
      <c r="H840" s="207"/>
      <c r="I840" s="207"/>
      <c r="J840" s="207"/>
      <c r="K840" s="207"/>
      <c r="L840" s="207"/>
      <c r="M840" s="207"/>
      <c r="N840" s="207"/>
      <c r="O840" s="207"/>
      <c r="P840" s="207"/>
      <c r="Q840" s="207"/>
      <c r="R840" s="207"/>
      <c r="S840" s="207"/>
      <c r="T840" s="207"/>
      <c r="U840" s="207"/>
      <c r="V840" s="207"/>
      <c r="W840" s="207"/>
      <c r="X840" s="207"/>
      <c r="Y840" s="207"/>
      <c r="Z840" s="207"/>
    </row>
    <row r="841" spans="1:26" ht="15.75" customHeight="1">
      <c r="A841" s="207"/>
      <c r="B841" s="207"/>
      <c r="C841" s="207"/>
      <c r="D841" s="207"/>
      <c r="E841" s="207"/>
      <c r="F841" s="207"/>
      <c r="G841" s="207"/>
      <c r="H841" s="207"/>
      <c r="I841" s="207"/>
      <c r="J841" s="207"/>
      <c r="K841" s="207"/>
      <c r="L841" s="207"/>
      <c r="M841" s="207"/>
      <c r="N841" s="207"/>
      <c r="O841" s="207"/>
      <c r="P841" s="207"/>
      <c r="Q841" s="207"/>
      <c r="R841" s="207"/>
      <c r="S841" s="207"/>
      <c r="T841" s="207"/>
      <c r="U841" s="207"/>
      <c r="V841" s="207"/>
      <c r="W841" s="207"/>
      <c r="X841" s="207"/>
      <c r="Y841" s="207"/>
      <c r="Z841" s="207"/>
    </row>
    <row r="842" spans="1:26" ht="15.75" customHeight="1">
      <c r="A842" s="207"/>
      <c r="B842" s="207"/>
      <c r="C842" s="207"/>
      <c r="D842" s="207"/>
      <c r="E842" s="207"/>
      <c r="F842" s="207"/>
      <c r="G842" s="207"/>
      <c r="H842" s="207"/>
      <c r="I842" s="207"/>
      <c r="J842" s="207"/>
      <c r="K842" s="207"/>
      <c r="L842" s="207"/>
      <c r="M842" s="207"/>
      <c r="N842" s="207"/>
      <c r="O842" s="207"/>
      <c r="P842" s="207"/>
      <c r="Q842" s="207"/>
      <c r="R842" s="207"/>
      <c r="S842" s="207"/>
      <c r="T842" s="207"/>
      <c r="U842" s="207"/>
      <c r="V842" s="207"/>
      <c r="W842" s="207"/>
      <c r="X842" s="207"/>
      <c r="Y842" s="207"/>
      <c r="Z842" s="207"/>
    </row>
    <row r="843" spans="1:26" ht="15.75" customHeight="1">
      <c r="A843" s="207"/>
      <c r="B843" s="207"/>
      <c r="C843" s="207"/>
      <c r="D843" s="207"/>
      <c r="E843" s="207"/>
      <c r="F843" s="207"/>
      <c r="G843" s="207"/>
      <c r="H843" s="207"/>
      <c r="I843" s="207"/>
      <c r="J843" s="207"/>
      <c r="K843" s="207"/>
      <c r="L843" s="207"/>
      <c r="M843" s="207"/>
      <c r="N843" s="207"/>
      <c r="O843" s="207"/>
      <c r="P843" s="207"/>
      <c r="Q843" s="207"/>
      <c r="R843" s="207"/>
      <c r="S843" s="207"/>
      <c r="T843" s="207"/>
      <c r="U843" s="207"/>
      <c r="V843" s="207"/>
      <c r="W843" s="207"/>
      <c r="X843" s="207"/>
      <c r="Y843" s="207"/>
      <c r="Z843" s="207"/>
    </row>
    <row r="844" spans="1:26" ht="15.75" customHeight="1">
      <c r="A844" s="207"/>
      <c r="B844" s="207"/>
      <c r="C844" s="207"/>
      <c r="D844" s="207"/>
      <c r="E844" s="207"/>
      <c r="F844" s="207"/>
      <c r="G844" s="207"/>
      <c r="H844" s="207"/>
      <c r="I844" s="207"/>
      <c r="J844" s="207"/>
      <c r="K844" s="207"/>
      <c r="L844" s="207"/>
      <c r="M844" s="207"/>
      <c r="N844" s="207"/>
      <c r="O844" s="207"/>
      <c r="P844" s="207"/>
      <c r="Q844" s="207"/>
      <c r="R844" s="207"/>
      <c r="S844" s="207"/>
      <c r="T844" s="207"/>
      <c r="U844" s="207"/>
      <c r="V844" s="207"/>
      <c r="W844" s="207"/>
      <c r="X844" s="207"/>
      <c r="Y844" s="207"/>
      <c r="Z844" s="207"/>
    </row>
    <row r="845" spans="1:26" ht="15.75" customHeight="1">
      <c r="A845" s="207"/>
      <c r="B845" s="207"/>
      <c r="C845" s="207"/>
      <c r="D845" s="207"/>
      <c r="E845" s="207"/>
      <c r="F845" s="207"/>
      <c r="G845" s="207"/>
      <c r="H845" s="207"/>
      <c r="I845" s="207"/>
      <c r="J845" s="207"/>
      <c r="K845" s="207"/>
      <c r="L845" s="207"/>
      <c r="M845" s="207"/>
      <c r="N845" s="207"/>
      <c r="O845" s="207"/>
      <c r="P845" s="207"/>
      <c r="Q845" s="207"/>
      <c r="R845" s="207"/>
      <c r="S845" s="207"/>
      <c r="T845" s="207"/>
      <c r="U845" s="207"/>
      <c r="V845" s="207"/>
      <c r="W845" s="207"/>
      <c r="X845" s="207"/>
      <c r="Y845" s="207"/>
      <c r="Z845" s="207"/>
    </row>
    <row r="846" spans="1:26" ht="15.75" customHeight="1">
      <c r="A846" s="207"/>
      <c r="B846" s="207"/>
      <c r="C846" s="207"/>
      <c r="D846" s="207"/>
      <c r="E846" s="207"/>
      <c r="F846" s="207"/>
      <c r="G846" s="207"/>
      <c r="H846" s="207"/>
      <c r="I846" s="207"/>
      <c r="J846" s="207"/>
      <c r="K846" s="207"/>
      <c r="L846" s="207"/>
      <c r="M846" s="207"/>
      <c r="N846" s="207"/>
      <c r="O846" s="207"/>
      <c r="P846" s="207"/>
      <c r="Q846" s="207"/>
      <c r="R846" s="207"/>
      <c r="S846" s="207"/>
      <c r="T846" s="207"/>
      <c r="U846" s="207"/>
      <c r="V846" s="207"/>
      <c r="W846" s="207"/>
      <c r="X846" s="207"/>
      <c r="Y846" s="207"/>
      <c r="Z846" s="207"/>
    </row>
    <row r="847" spans="1:26" ht="15.75" customHeight="1">
      <c r="A847" s="207"/>
      <c r="B847" s="207"/>
      <c r="C847" s="207"/>
      <c r="D847" s="207"/>
      <c r="E847" s="207"/>
      <c r="F847" s="207"/>
      <c r="G847" s="207"/>
      <c r="H847" s="207"/>
      <c r="I847" s="207"/>
      <c r="J847" s="207"/>
      <c r="K847" s="207"/>
      <c r="L847" s="207"/>
      <c r="M847" s="207"/>
      <c r="N847" s="207"/>
      <c r="O847" s="207"/>
      <c r="P847" s="207"/>
      <c r="Q847" s="207"/>
      <c r="R847" s="207"/>
      <c r="S847" s="207"/>
      <c r="T847" s="207"/>
      <c r="U847" s="207"/>
      <c r="V847" s="207"/>
      <c r="W847" s="207"/>
      <c r="X847" s="207"/>
      <c r="Y847" s="207"/>
      <c r="Z847" s="207"/>
    </row>
    <row r="848" spans="1:26" ht="15.75" customHeight="1">
      <c r="A848" s="207"/>
      <c r="B848" s="207"/>
      <c r="C848" s="207"/>
      <c r="D848" s="207"/>
      <c r="E848" s="207"/>
      <c r="F848" s="207"/>
      <c r="G848" s="207"/>
      <c r="H848" s="207"/>
      <c r="I848" s="207"/>
      <c r="J848" s="207"/>
      <c r="K848" s="207"/>
      <c r="L848" s="207"/>
      <c r="M848" s="207"/>
      <c r="N848" s="207"/>
      <c r="O848" s="207"/>
      <c r="P848" s="207"/>
      <c r="Q848" s="207"/>
      <c r="R848" s="207"/>
      <c r="S848" s="207"/>
      <c r="T848" s="207"/>
      <c r="U848" s="207"/>
      <c r="V848" s="207"/>
      <c r="W848" s="207"/>
      <c r="X848" s="207"/>
      <c r="Y848" s="207"/>
      <c r="Z848" s="207"/>
    </row>
    <row r="849" spans="1:26" ht="15.75" customHeight="1">
      <c r="A849" s="207"/>
      <c r="B849" s="207"/>
      <c r="C849" s="207"/>
      <c r="D849" s="207"/>
      <c r="E849" s="207"/>
      <c r="F849" s="207"/>
      <c r="G849" s="207"/>
      <c r="H849" s="207"/>
      <c r="I849" s="207"/>
      <c r="J849" s="207"/>
      <c r="K849" s="207"/>
      <c r="L849" s="207"/>
      <c r="M849" s="207"/>
      <c r="N849" s="207"/>
      <c r="O849" s="207"/>
      <c r="P849" s="207"/>
      <c r="Q849" s="207"/>
      <c r="R849" s="207"/>
      <c r="S849" s="207"/>
      <c r="T849" s="207"/>
      <c r="U849" s="207"/>
      <c r="V849" s="207"/>
      <c r="W849" s="207"/>
      <c r="X849" s="207"/>
      <c r="Y849" s="207"/>
      <c r="Z849" s="207"/>
    </row>
    <row r="850" spans="1:26" ht="15.75" customHeight="1">
      <c r="A850" s="207"/>
      <c r="B850" s="207"/>
      <c r="C850" s="207"/>
      <c r="D850" s="207"/>
      <c r="E850" s="207"/>
      <c r="F850" s="207"/>
      <c r="G850" s="207"/>
      <c r="H850" s="207"/>
      <c r="I850" s="207"/>
      <c r="J850" s="207"/>
      <c r="K850" s="207"/>
      <c r="L850" s="207"/>
      <c r="M850" s="207"/>
      <c r="N850" s="207"/>
      <c r="O850" s="207"/>
      <c r="P850" s="207"/>
      <c r="Q850" s="207"/>
      <c r="R850" s="207"/>
      <c r="S850" s="207"/>
      <c r="T850" s="207"/>
      <c r="U850" s="207"/>
      <c r="V850" s="207"/>
      <c r="W850" s="207"/>
      <c r="X850" s="207"/>
      <c r="Y850" s="207"/>
      <c r="Z850" s="207"/>
    </row>
    <row r="851" spans="1:26" ht="15.75" customHeight="1">
      <c r="A851" s="207"/>
      <c r="B851" s="207"/>
      <c r="C851" s="207"/>
      <c r="D851" s="207"/>
      <c r="E851" s="207"/>
      <c r="F851" s="207"/>
      <c r="G851" s="207"/>
      <c r="H851" s="207"/>
      <c r="I851" s="207"/>
      <c r="J851" s="207"/>
      <c r="K851" s="207"/>
      <c r="L851" s="207"/>
      <c r="M851" s="207"/>
      <c r="N851" s="207"/>
      <c r="O851" s="207"/>
      <c r="P851" s="207"/>
      <c r="Q851" s="207"/>
      <c r="R851" s="207"/>
      <c r="S851" s="207"/>
      <c r="T851" s="207"/>
      <c r="U851" s="207"/>
      <c r="V851" s="207"/>
      <c r="W851" s="207"/>
      <c r="X851" s="207"/>
      <c r="Y851" s="207"/>
      <c r="Z851" s="207"/>
    </row>
    <row r="852" spans="1:26" ht="15.75" customHeight="1">
      <c r="A852" s="207"/>
      <c r="B852" s="207"/>
      <c r="C852" s="207"/>
      <c r="D852" s="207"/>
      <c r="E852" s="207"/>
      <c r="F852" s="207"/>
      <c r="G852" s="207"/>
      <c r="H852" s="207"/>
      <c r="I852" s="207"/>
      <c r="J852" s="207"/>
      <c r="K852" s="207"/>
      <c r="L852" s="207"/>
      <c r="M852" s="207"/>
      <c r="N852" s="207"/>
      <c r="O852" s="207"/>
      <c r="P852" s="207"/>
      <c r="Q852" s="207"/>
      <c r="R852" s="207"/>
      <c r="S852" s="207"/>
      <c r="T852" s="207"/>
      <c r="U852" s="207"/>
      <c r="V852" s="207"/>
      <c r="W852" s="207"/>
      <c r="X852" s="207"/>
      <c r="Y852" s="207"/>
      <c r="Z852" s="207"/>
    </row>
    <row r="853" spans="1:26" ht="15.75" customHeight="1">
      <c r="A853" s="207"/>
      <c r="B853" s="207"/>
      <c r="C853" s="207"/>
      <c r="D853" s="207"/>
      <c r="E853" s="207"/>
      <c r="F853" s="207"/>
      <c r="G853" s="207"/>
      <c r="H853" s="207"/>
      <c r="I853" s="207"/>
      <c r="J853" s="207"/>
      <c r="K853" s="207"/>
      <c r="L853" s="207"/>
      <c r="M853" s="207"/>
      <c r="N853" s="207"/>
      <c r="O853" s="207"/>
      <c r="P853" s="207"/>
      <c r="Q853" s="207"/>
      <c r="R853" s="207"/>
      <c r="S853" s="207"/>
      <c r="T853" s="207"/>
      <c r="U853" s="207"/>
      <c r="V853" s="207"/>
      <c r="W853" s="207"/>
      <c r="X853" s="207"/>
      <c r="Y853" s="207"/>
      <c r="Z853" s="207"/>
    </row>
    <row r="854" spans="1:26" ht="15.75" customHeight="1">
      <c r="A854" s="207"/>
      <c r="B854" s="207"/>
      <c r="C854" s="207"/>
      <c r="D854" s="207"/>
      <c r="E854" s="207"/>
      <c r="F854" s="207"/>
      <c r="G854" s="207"/>
      <c r="H854" s="207"/>
      <c r="I854" s="207"/>
      <c r="J854" s="207"/>
      <c r="K854" s="207"/>
      <c r="L854" s="207"/>
      <c r="M854" s="207"/>
      <c r="N854" s="207"/>
      <c r="O854" s="207"/>
      <c r="P854" s="207"/>
      <c r="Q854" s="207"/>
      <c r="R854" s="207"/>
      <c r="S854" s="207"/>
      <c r="T854" s="207"/>
      <c r="U854" s="207"/>
      <c r="V854" s="207"/>
      <c r="W854" s="207"/>
      <c r="X854" s="207"/>
      <c r="Y854" s="207"/>
      <c r="Z854" s="207"/>
    </row>
    <row r="855" spans="1:26" ht="15.75" customHeight="1">
      <c r="A855" s="207"/>
      <c r="B855" s="207"/>
      <c r="C855" s="207"/>
      <c r="D855" s="207"/>
      <c r="E855" s="207"/>
      <c r="F855" s="207"/>
      <c r="G855" s="207"/>
      <c r="H855" s="207"/>
      <c r="I855" s="207"/>
      <c r="J855" s="207"/>
      <c r="K855" s="207"/>
      <c r="L855" s="207"/>
      <c r="M855" s="207"/>
      <c r="N855" s="207"/>
      <c r="O855" s="207"/>
      <c r="P855" s="207"/>
      <c r="Q855" s="207"/>
      <c r="R855" s="207"/>
      <c r="S855" s="207"/>
      <c r="T855" s="207"/>
      <c r="U855" s="207"/>
      <c r="V855" s="207"/>
      <c r="W855" s="207"/>
      <c r="X855" s="207"/>
      <c r="Y855" s="207"/>
      <c r="Z855" s="207"/>
    </row>
    <row r="856" spans="1:26" ht="15.75" customHeight="1">
      <c r="A856" s="207"/>
      <c r="B856" s="207"/>
      <c r="C856" s="207"/>
      <c r="D856" s="207"/>
      <c r="E856" s="207"/>
      <c r="F856" s="207"/>
      <c r="G856" s="207"/>
      <c r="H856" s="207"/>
      <c r="I856" s="207"/>
      <c r="J856" s="207"/>
      <c r="K856" s="207"/>
      <c r="L856" s="207"/>
      <c r="M856" s="207"/>
      <c r="N856" s="207"/>
      <c r="O856" s="207"/>
      <c r="P856" s="207"/>
      <c r="Q856" s="207"/>
      <c r="R856" s="207"/>
      <c r="S856" s="207"/>
      <c r="T856" s="207"/>
      <c r="U856" s="207"/>
      <c r="V856" s="207"/>
      <c r="W856" s="207"/>
      <c r="X856" s="207"/>
      <c r="Y856" s="207"/>
      <c r="Z856" s="207"/>
    </row>
    <row r="857" spans="1:26" ht="15.75" customHeight="1">
      <c r="A857" s="207"/>
      <c r="B857" s="207"/>
      <c r="C857" s="207"/>
      <c r="D857" s="207"/>
      <c r="E857" s="207"/>
      <c r="F857" s="207"/>
      <c r="G857" s="207"/>
      <c r="H857" s="207"/>
      <c r="I857" s="207"/>
      <c r="J857" s="207"/>
      <c r="K857" s="207"/>
      <c r="L857" s="207"/>
      <c r="M857" s="207"/>
      <c r="N857" s="207"/>
      <c r="O857" s="207"/>
      <c r="P857" s="207"/>
      <c r="Q857" s="207"/>
      <c r="R857" s="207"/>
      <c r="S857" s="207"/>
      <c r="T857" s="207"/>
      <c r="U857" s="207"/>
      <c r="V857" s="207"/>
      <c r="W857" s="207"/>
      <c r="X857" s="207"/>
      <c r="Y857" s="207"/>
      <c r="Z857" s="207"/>
    </row>
    <row r="858" spans="1:26" ht="15.75" customHeight="1">
      <c r="A858" s="207"/>
      <c r="B858" s="207"/>
      <c r="C858" s="207"/>
      <c r="D858" s="207"/>
      <c r="E858" s="207"/>
      <c r="F858" s="207"/>
      <c r="G858" s="207"/>
      <c r="H858" s="207"/>
      <c r="I858" s="207"/>
      <c r="J858" s="207"/>
      <c r="K858" s="207"/>
      <c r="L858" s="207"/>
      <c r="M858" s="207"/>
      <c r="N858" s="207"/>
      <c r="O858" s="207"/>
      <c r="P858" s="207"/>
      <c r="Q858" s="207"/>
      <c r="R858" s="207"/>
      <c r="S858" s="207"/>
      <c r="T858" s="207"/>
      <c r="U858" s="207"/>
      <c r="V858" s="207"/>
      <c r="W858" s="207"/>
      <c r="X858" s="207"/>
      <c r="Y858" s="207"/>
      <c r="Z858" s="207"/>
    </row>
    <row r="859" spans="1:26" ht="15.75" customHeight="1">
      <c r="A859" s="207"/>
      <c r="B859" s="207"/>
      <c r="C859" s="207"/>
      <c r="D859" s="207"/>
      <c r="E859" s="207"/>
      <c r="F859" s="207"/>
      <c r="G859" s="207"/>
      <c r="H859" s="207"/>
      <c r="I859" s="207"/>
      <c r="J859" s="207"/>
      <c r="K859" s="207"/>
      <c r="L859" s="207"/>
      <c r="M859" s="207"/>
      <c r="N859" s="207"/>
      <c r="O859" s="207"/>
      <c r="P859" s="207"/>
      <c r="Q859" s="207"/>
      <c r="R859" s="207"/>
      <c r="S859" s="207"/>
      <c r="T859" s="207"/>
      <c r="U859" s="207"/>
      <c r="V859" s="207"/>
      <c r="W859" s="207"/>
      <c r="X859" s="207"/>
      <c r="Y859" s="207"/>
      <c r="Z859" s="207"/>
    </row>
    <row r="860" spans="1:26" ht="15.75" customHeight="1">
      <c r="A860" s="207"/>
      <c r="B860" s="207"/>
      <c r="C860" s="207"/>
      <c r="D860" s="207"/>
      <c r="E860" s="207"/>
      <c r="F860" s="207"/>
      <c r="G860" s="207"/>
      <c r="H860" s="207"/>
      <c r="I860" s="207"/>
      <c r="J860" s="207"/>
      <c r="K860" s="207"/>
      <c r="L860" s="207"/>
      <c r="M860" s="207"/>
      <c r="N860" s="207"/>
      <c r="O860" s="207"/>
      <c r="P860" s="207"/>
      <c r="Q860" s="207"/>
      <c r="R860" s="207"/>
      <c r="S860" s="207"/>
      <c r="T860" s="207"/>
      <c r="U860" s="207"/>
      <c r="V860" s="207"/>
      <c r="W860" s="207"/>
      <c r="X860" s="207"/>
      <c r="Y860" s="207"/>
      <c r="Z860" s="207"/>
    </row>
    <row r="861" spans="1:26" ht="15.75" customHeight="1">
      <c r="A861" s="207"/>
      <c r="B861" s="207"/>
      <c r="C861" s="207"/>
      <c r="D861" s="207"/>
      <c r="E861" s="207"/>
      <c r="F861" s="207"/>
      <c r="G861" s="207"/>
      <c r="H861" s="207"/>
      <c r="I861" s="207"/>
      <c r="J861" s="207"/>
      <c r="K861" s="207"/>
      <c r="L861" s="207"/>
      <c r="M861" s="207"/>
      <c r="N861" s="207"/>
      <c r="O861" s="207"/>
      <c r="P861" s="207"/>
      <c r="Q861" s="207"/>
      <c r="R861" s="207"/>
      <c r="S861" s="207"/>
      <c r="T861" s="207"/>
      <c r="U861" s="207"/>
      <c r="V861" s="207"/>
      <c r="W861" s="207"/>
      <c r="X861" s="207"/>
      <c r="Y861" s="207"/>
      <c r="Z861" s="207"/>
    </row>
    <row r="862" spans="1:26" ht="15.75" customHeight="1">
      <c r="A862" s="207"/>
      <c r="B862" s="207"/>
      <c r="C862" s="207"/>
      <c r="D862" s="207"/>
      <c r="E862" s="207"/>
      <c r="F862" s="207"/>
      <c r="G862" s="207"/>
      <c r="H862" s="207"/>
      <c r="I862" s="207"/>
      <c r="J862" s="207"/>
      <c r="K862" s="207"/>
      <c r="L862" s="207"/>
      <c r="M862" s="207"/>
      <c r="N862" s="207"/>
      <c r="O862" s="207"/>
      <c r="P862" s="207"/>
      <c r="Q862" s="207"/>
      <c r="R862" s="207"/>
      <c r="S862" s="207"/>
      <c r="T862" s="207"/>
      <c r="U862" s="207"/>
      <c r="V862" s="207"/>
      <c r="W862" s="207"/>
      <c r="X862" s="207"/>
      <c r="Y862" s="207"/>
      <c r="Z862" s="207"/>
    </row>
    <row r="863" spans="1:26" ht="15.75" customHeight="1">
      <c r="A863" s="207"/>
      <c r="B863" s="207"/>
      <c r="C863" s="207"/>
      <c r="D863" s="207"/>
      <c r="E863" s="207"/>
      <c r="F863" s="207"/>
      <c r="G863" s="207"/>
      <c r="H863" s="207"/>
      <c r="I863" s="207"/>
      <c r="J863" s="207"/>
      <c r="K863" s="207"/>
      <c r="L863" s="207"/>
      <c r="M863" s="207"/>
      <c r="N863" s="207"/>
      <c r="O863" s="207"/>
      <c r="P863" s="207"/>
      <c r="Q863" s="207"/>
      <c r="R863" s="207"/>
      <c r="S863" s="207"/>
      <c r="T863" s="207"/>
      <c r="U863" s="207"/>
      <c r="V863" s="207"/>
      <c r="W863" s="207"/>
      <c r="X863" s="207"/>
      <c r="Y863" s="207"/>
      <c r="Z863" s="207"/>
    </row>
    <row r="864" spans="1:26" ht="15.75" customHeight="1">
      <c r="A864" s="207"/>
      <c r="B864" s="207"/>
      <c r="C864" s="207"/>
      <c r="D864" s="207"/>
      <c r="E864" s="207"/>
      <c r="F864" s="207"/>
      <c r="G864" s="207"/>
      <c r="H864" s="207"/>
      <c r="I864" s="207"/>
      <c r="J864" s="207"/>
      <c r="K864" s="207"/>
      <c r="L864" s="207"/>
      <c r="M864" s="207"/>
      <c r="N864" s="207"/>
      <c r="O864" s="207"/>
      <c r="P864" s="207"/>
      <c r="Q864" s="207"/>
      <c r="R864" s="207"/>
      <c r="S864" s="207"/>
      <c r="T864" s="207"/>
      <c r="U864" s="207"/>
      <c r="V864" s="207"/>
      <c r="W864" s="207"/>
      <c r="X864" s="207"/>
      <c r="Y864" s="207"/>
      <c r="Z864" s="207"/>
    </row>
    <row r="865" spans="1:26" ht="15.75" customHeight="1">
      <c r="A865" s="207"/>
      <c r="B865" s="207"/>
      <c r="C865" s="207"/>
      <c r="D865" s="207"/>
      <c r="E865" s="207"/>
      <c r="F865" s="207"/>
      <c r="G865" s="207"/>
      <c r="H865" s="207"/>
      <c r="I865" s="207"/>
      <c r="J865" s="207"/>
      <c r="K865" s="207"/>
      <c r="L865" s="207"/>
      <c r="M865" s="207"/>
      <c r="N865" s="207"/>
      <c r="O865" s="207"/>
      <c r="P865" s="207"/>
      <c r="Q865" s="207"/>
      <c r="R865" s="207"/>
      <c r="S865" s="207"/>
      <c r="T865" s="207"/>
      <c r="U865" s="207"/>
      <c r="V865" s="207"/>
      <c r="W865" s="207"/>
      <c r="X865" s="207"/>
      <c r="Y865" s="207"/>
      <c r="Z865" s="207"/>
    </row>
    <row r="866" spans="1:26" ht="15.75" customHeight="1">
      <c r="A866" s="207"/>
      <c r="B866" s="207"/>
      <c r="C866" s="207"/>
      <c r="D866" s="207"/>
      <c r="E866" s="207"/>
      <c r="F866" s="207"/>
      <c r="G866" s="207"/>
      <c r="H866" s="207"/>
      <c r="I866" s="207"/>
      <c r="J866" s="207"/>
      <c r="K866" s="207"/>
      <c r="L866" s="207"/>
      <c r="M866" s="207"/>
      <c r="N866" s="207"/>
      <c r="O866" s="207"/>
      <c r="P866" s="207"/>
      <c r="Q866" s="207"/>
      <c r="R866" s="207"/>
      <c r="S866" s="207"/>
      <c r="T866" s="207"/>
      <c r="U866" s="207"/>
      <c r="V866" s="207"/>
      <c r="W866" s="207"/>
      <c r="X866" s="207"/>
      <c r="Y866" s="207"/>
      <c r="Z866" s="207"/>
    </row>
    <row r="867" spans="1:26" ht="15.75" customHeight="1">
      <c r="A867" s="207"/>
      <c r="B867" s="207"/>
      <c r="C867" s="207"/>
      <c r="D867" s="207"/>
      <c r="E867" s="207"/>
      <c r="F867" s="207"/>
      <c r="G867" s="207"/>
      <c r="H867" s="207"/>
      <c r="I867" s="207"/>
      <c r="J867" s="207"/>
      <c r="K867" s="207"/>
      <c r="L867" s="207"/>
      <c r="M867" s="207"/>
      <c r="N867" s="207"/>
      <c r="O867" s="207"/>
      <c r="P867" s="207"/>
      <c r="Q867" s="207"/>
      <c r="R867" s="207"/>
      <c r="S867" s="207"/>
      <c r="T867" s="207"/>
      <c r="U867" s="207"/>
      <c r="V867" s="207"/>
      <c r="W867" s="207"/>
      <c r="X867" s="207"/>
      <c r="Y867" s="207"/>
      <c r="Z867" s="207"/>
    </row>
    <row r="868" spans="1:26" ht="15.75" customHeight="1">
      <c r="A868" s="207"/>
      <c r="B868" s="207"/>
      <c r="C868" s="207"/>
      <c r="D868" s="207"/>
      <c r="E868" s="207"/>
      <c r="F868" s="207"/>
      <c r="G868" s="207"/>
      <c r="H868" s="207"/>
      <c r="I868" s="207"/>
      <c r="J868" s="207"/>
      <c r="K868" s="207"/>
      <c r="L868" s="207"/>
      <c r="M868" s="207"/>
      <c r="N868" s="207"/>
      <c r="O868" s="207"/>
      <c r="P868" s="207"/>
      <c r="Q868" s="207"/>
      <c r="R868" s="207"/>
      <c r="S868" s="207"/>
      <c r="T868" s="207"/>
      <c r="U868" s="207"/>
      <c r="V868" s="207"/>
      <c r="W868" s="207"/>
      <c r="X868" s="207"/>
      <c r="Y868" s="207"/>
      <c r="Z868" s="207"/>
    </row>
    <row r="869" spans="1:26" ht="15.75" customHeight="1">
      <c r="A869" s="207"/>
      <c r="B869" s="207"/>
      <c r="C869" s="207"/>
      <c r="D869" s="207"/>
      <c r="E869" s="207"/>
      <c r="F869" s="207"/>
      <c r="G869" s="207"/>
      <c r="H869" s="207"/>
      <c r="I869" s="207"/>
      <c r="J869" s="207"/>
      <c r="K869" s="207"/>
      <c r="L869" s="207"/>
      <c r="M869" s="207"/>
      <c r="N869" s="207"/>
      <c r="O869" s="207"/>
      <c r="P869" s="207"/>
      <c r="Q869" s="207"/>
      <c r="R869" s="207"/>
      <c r="S869" s="207"/>
      <c r="T869" s="207"/>
      <c r="U869" s="207"/>
      <c r="V869" s="207"/>
      <c r="W869" s="207"/>
      <c r="X869" s="207"/>
      <c r="Y869" s="207"/>
      <c r="Z869" s="207"/>
    </row>
    <row r="870" spans="1:26" ht="15.75" customHeight="1">
      <c r="A870" s="207"/>
      <c r="B870" s="207"/>
      <c r="C870" s="207"/>
      <c r="D870" s="207"/>
      <c r="E870" s="207"/>
      <c r="F870" s="207"/>
      <c r="G870" s="207"/>
      <c r="H870" s="207"/>
      <c r="I870" s="207"/>
      <c r="J870" s="207"/>
      <c r="K870" s="207"/>
      <c r="L870" s="207"/>
      <c r="M870" s="207"/>
      <c r="N870" s="207"/>
      <c r="O870" s="207"/>
      <c r="P870" s="207"/>
      <c r="Q870" s="207"/>
      <c r="R870" s="207"/>
      <c r="S870" s="207"/>
      <c r="T870" s="207"/>
      <c r="U870" s="207"/>
      <c r="V870" s="207"/>
      <c r="W870" s="207"/>
      <c r="X870" s="207"/>
      <c r="Y870" s="207"/>
      <c r="Z870" s="207"/>
    </row>
    <row r="871" spans="1:26" ht="15.75" customHeight="1">
      <c r="A871" s="207"/>
      <c r="B871" s="207"/>
      <c r="C871" s="207"/>
      <c r="D871" s="207"/>
      <c r="E871" s="207"/>
      <c r="F871" s="207"/>
      <c r="G871" s="207"/>
      <c r="H871" s="207"/>
      <c r="I871" s="207"/>
      <c r="J871" s="207"/>
      <c r="K871" s="207"/>
      <c r="L871" s="207"/>
      <c r="M871" s="207"/>
      <c r="N871" s="207"/>
      <c r="O871" s="207"/>
      <c r="P871" s="207"/>
      <c r="Q871" s="207"/>
      <c r="R871" s="207"/>
      <c r="S871" s="207"/>
      <c r="T871" s="207"/>
      <c r="U871" s="207"/>
      <c r="V871" s="207"/>
      <c r="W871" s="207"/>
      <c r="X871" s="207"/>
      <c r="Y871" s="207"/>
      <c r="Z871" s="207"/>
    </row>
    <row r="872" spans="1:26" ht="15.75" customHeight="1">
      <c r="A872" s="207"/>
      <c r="B872" s="207"/>
      <c r="C872" s="207"/>
      <c r="D872" s="207"/>
      <c r="E872" s="207"/>
      <c r="F872" s="207"/>
      <c r="G872" s="207"/>
      <c r="H872" s="207"/>
      <c r="I872" s="207"/>
      <c r="J872" s="207"/>
      <c r="K872" s="207"/>
      <c r="L872" s="207"/>
      <c r="M872" s="207"/>
      <c r="N872" s="207"/>
      <c r="O872" s="207"/>
      <c r="P872" s="207"/>
      <c r="Q872" s="207"/>
      <c r="R872" s="207"/>
      <c r="S872" s="207"/>
      <c r="T872" s="207"/>
      <c r="U872" s="207"/>
      <c r="V872" s="207"/>
      <c r="W872" s="207"/>
      <c r="X872" s="207"/>
      <c r="Y872" s="207"/>
      <c r="Z872" s="207"/>
    </row>
    <row r="873" spans="1:26" ht="15.75" customHeight="1">
      <c r="A873" s="207"/>
      <c r="B873" s="207"/>
      <c r="C873" s="207"/>
      <c r="D873" s="207"/>
      <c r="E873" s="207"/>
      <c r="F873" s="207"/>
      <c r="G873" s="207"/>
      <c r="H873" s="207"/>
      <c r="I873" s="207"/>
      <c r="J873" s="207"/>
      <c r="K873" s="207"/>
      <c r="L873" s="207"/>
      <c r="M873" s="207"/>
      <c r="N873" s="207"/>
      <c r="O873" s="207"/>
      <c r="P873" s="207"/>
      <c r="Q873" s="207"/>
      <c r="R873" s="207"/>
      <c r="S873" s="207"/>
      <c r="T873" s="207"/>
      <c r="U873" s="207"/>
      <c r="V873" s="207"/>
      <c r="W873" s="207"/>
      <c r="X873" s="207"/>
      <c r="Y873" s="207"/>
      <c r="Z873" s="207"/>
    </row>
    <row r="874" spans="1:26" ht="15.75" customHeight="1">
      <c r="A874" s="207"/>
      <c r="B874" s="207"/>
      <c r="C874" s="207"/>
      <c r="D874" s="207"/>
      <c r="E874" s="207"/>
      <c r="F874" s="207"/>
      <c r="G874" s="207"/>
      <c r="H874" s="207"/>
      <c r="I874" s="207"/>
      <c r="J874" s="207"/>
      <c r="K874" s="207"/>
      <c r="L874" s="207"/>
      <c r="M874" s="207"/>
      <c r="N874" s="207"/>
      <c r="O874" s="207"/>
      <c r="P874" s="207"/>
      <c r="Q874" s="207"/>
      <c r="R874" s="207"/>
      <c r="S874" s="207"/>
      <c r="T874" s="207"/>
      <c r="U874" s="207"/>
      <c r="V874" s="207"/>
      <c r="W874" s="207"/>
      <c r="X874" s="207"/>
      <c r="Y874" s="207"/>
      <c r="Z874" s="207"/>
    </row>
    <row r="875" spans="1:26" ht="15.75" customHeight="1">
      <c r="A875" s="207"/>
      <c r="B875" s="207"/>
      <c r="C875" s="207"/>
      <c r="D875" s="207"/>
      <c r="E875" s="207"/>
      <c r="F875" s="207"/>
      <c r="G875" s="207"/>
      <c r="H875" s="207"/>
      <c r="I875" s="207"/>
      <c r="J875" s="207"/>
      <c r="K875" s="207"/>
      <c r="L875" s="207"/>
      <c r="M875" s="207"/>
      <c r="N875" s="207"/>
      <c r="O875" s="207"/>
      <c r="P875" s="207"/>
      <c r="Q875" s="207"/>
      <c r="R875" s="207"/>
      <c r="S875" s="207"/>
      <c r="T875" s="207"/>
      <c r="U875" s="207"/>
      <c r="V875" s="207"/>
      <c r="W875" s="207"/>
      <c r="X875" s="207"/>
      <c r="Y875" s="207"/>
      <c r="Z875" s="207"/>
    </row>
    <row r="876" spans="1:26" ht="15.75" customHeight="1">
      <c r="A876" s="207"/>
      <c r="B876" s="207"/>
      <c r="C876" s="207"/>
      <c r="D876" s="207"/>
      <c r="E876" s="207"/>
      <c r="F876" s="207"/>
      <c r="G876" s="207"/>
      <c r="H876" s="207"/>
      <c r="I876" s="207"/>
      <c r="J876" s="207"/>
      <c r="K876" s="207"/>
      <c r="L876" s="207"/>
      <c r="M876" s="207"/>
      <c r="N876" s="207"/>
      <c r="O876" s="207"/>
      <c r="P876" s="207"/>
      <c r="Q876" s="207"/>
      <c r="R876" s="207"/>
      <c r="S876" s="207"/>
      <c r="T876" s="207"/>
      <c r="U876" s="207"/>
      <c r="V876" s="207"/>
      <c r="W876" s="207"/>
      <c r="X876" s="207"/>
      <c r="Y876" s="207"/>
      <c r="Z876" s="207"/>
    </row>
    <row r="877" spans="1:26" ht="15.75" customHeight="1">
      <c r="A877" s="207"/>
      <c r="B877" s="207"/>
      <c r="C877" s="207"/>
      <c r="D877" s="207"/>
      <c r="E877" s="207"/>
      <c r="F877" s="207"/>
      <c r="G877" s="207"/>
      <c r="H877" s="207"/>
      <c r="I877" s="207"/>
      <c r="J877" s="207"/>
      <c r="K877" s="207"/>
      <c r="L877" s="207"/>
      <c r="M877" s="207"/>
      <c r="N877" s="207"/>
      <c r="O877" s="207"/>
      <c r="P877" s="207"/>
      <c r="Q877" s="207"/>
      <c r="R877" s="207"/>
      <c r="S877" s="207"/>
      <c r="T877" s="207"/>
      <c r="U877" s="207"/>
      <c r="V877" s="207"/>
      <c r="W877" s="207"/>
      <c r="X877" s="207"/>
      <c r="Y877" s="207"/>
      <c r="Z877" s="207"/>
    </row>
    <row r="878" spans="1:26" ht="15.75" customHeight="1">
      <c r="A878" s="207"/>
      <c r="B878" s="207"/>
      <c r="C878" s="207"/>
      <c r="D878" s="207"/>
      <c r="E878" s="207"/>
      <c r="F878" s="207"/>
      <c r="G878" s="207"/>
      <c r="H878" s="207"/>
      <c r="I878" s="207"/>
      <c r="J878" s="207"/>
      <c r="K878" s="207"/>
      <c r="L878" s="207"/>
      <c r="M878" s="207"/>
      <c r="N878" s="207"/>
      <c r="O878" s="207"/>
      <c r="P878" s="207"/>
      <c r="Q878" s="207"/>
      <c r="R878" s="207"/>
      <c r="S878" s="207"/>
      <c r="T878" s="207"/>
      <c r="U878" s="207"/>
      <c r="V878" s="207"/>
      <c r="W878" s="207"/>
      <c r="X878" s="207"/>
      <c r="Y878" s="207"/>
      <c r="Z878" s="207"/>
    </row>
    <row r="879" spans="1:26" ht="15.75" customHeight="1">
      <c r="A879" s="207"/>
      <c r="B879" s="207"/>
      <c r="C879" s="207"/>
      <c r="D879" s="207"/>
      <c r="E879" s="207"/>
      <c r="F879" s="207"/>
      <c r="G879" s="207"/>
      <c r="H879" s="207"/>
      <c r="I879" s="207"/>
      <c r="J879" s="207"/>
      <c r="K879" s="207"/>
      <c r="L879" s="207"/>
      <c r="M879" s="207"/>
      <c r="N879" s="207"/>
      <c r="O879" s="207"/>
      <c r="P879" s="207"/>
      <c r="Q879" s="207"/>
      <c r="R879" s="207"/>
      <c r="S879" s="207"/>
      <c r="T879" s="207"/>
      <c r="U879" s="207"/>
      <c r="V879" s="207"/>
      <c r="W879" s="207"/>
      <c r="X879" s="207"/>
      <c r="Y879" s="207"/>
      <c r="Z879" s="207"/>
    </row>
    <row r="880" spans="1:26" ht="15.75" customHeight="1">
      <c r="A880" s="207"/>
      <c r="B880" s="207"/>
      <c r="C880" s="207"/>
      <c r="D880" s="207"/>
      <c r="E880" s="207"/>
      <c r="F880" s="207"/>
      <c r="G880" s="207"/>
      <c r="H880" s="207"/>
      <c r="I880" s="207"/>
      <c r="J880" s="207"/>
      <c r="K880" s="207"/>
      <c r="L880" s="207"/>
      <c r="M880" s="207"/>
      <c r="N880" s="207"/>
      <c r="O880" s="207"/>
      <c r="P880" s="207"/>
      <c r="Q880" s="207"/>
      <c r="R880" s="207"/>
      <c r="S880" s="207"/>
      <c r="T880" s="207"/>
      <c r="U880" s="207"/>
      <c r="V880" s="207"/>
      <c r="W880" s="207"/>
      <c r="X880" s="207"/>
      <c r="Y880" s="207"/>
      <c r="Z880" s="207"/>
    </row>
    <row r="881" spans="1:26" ht="15.75" customHeight="1">
      <c r="A881" s="207"/>
      <c r="B881" s="207"/>
      <c r="C881" s="207"/>
      <c r="D881" s="207"/>
      <c r="E881" s="207"/>
      <c r="F881" s="207"/>
      <c r="G881" s="207"/>
      <c r="H881" s="207"/>
      <c r="I881" s="207"/>
      <c r="J881" s="207"/>
      <c r="K881" s="207"/>
      <c r="L881" s="207"/>
      <c r="M881" s="207"/>
      <c r="N881" s="207"/>
      <c r="O881" s="207"/>
      <c r="P881" s="207"/>
      <c r="Q881" s="207"/>
      <c r="R881" s="207"/>
      <c r="S881" s="207"/>
      <c r="T881" s="207"/>
      <c r="U881" s="207"/>
      <c r="V881" s="207"/>
      <c r="W881" s="207"/>
      <c r="X881" s="207"/>
      <c r="Y881" s="207"/>
      <c r="Z881" s="207"/>
    </row>
    <row r="882" spans="1:26" ht="15.75" customHeight="1">
      <c r="A882" s="207"/>
      <c r="B882" s="207"/>
      <c r="C882" s="207"/>
      <c r="D882" s="207"/>
      <c r="E882" s="207"/>
      <c r="F882" s="207"/>
      <c r="G882" s="207"/>
      <c r="H882" s="207"/>
      <c r="I882" s="207"/>
      <c r="J882" s="207"/>
      <c r="K882" s="207"/>
      <c r="L882" s="207"/>
      <c r="M882" s="207"/>
      <c r="N882" s="207"/>
      <c r="O882" s="207"/>
      <c r="P882" s="207"/>
      <c r="Q882" s="207"/>
      <c r="R882" s="207"/>
      <c r="S882" s="207"/>
      <c r="T882" s="207"/>
      <c r="U882" s="207"/>
      <c r="V882" s="207"/>
      <c r="W882" s="207"/>
      <c r="X882" s="207"/>
      <c r="Y882" s="207"/>
      <c r="Z882" s="207"/>
    </row>
    <row r="883" spans="1:26" ht="15.75" customHeight="1">
      <c r="A883" s="207"/>
      <c r="B883" s="207"/>
      <c r="C883" s="207"/>
      <c r="D883" s="207"/>
      <c r="E883" s="207"/>
      <c r="F883" s="207"/>
      <c r="G883" s="207"/>
      <c r="H883" s="207"/>
      <c r="I883" s="207"/>
      <c r="J883" s="207"/>
      <c r="K883" s="207"/>
      <c r="L883" s="207"/>
      <c r="M883" s="207"/>
      <c r="N883" s="207"/>
      <c r="O883" s="207"/>
      <c r="P883" s="207"/>
      <c r="Q883" s="207"/>
      <c r="R883" s="207"/>
      <c r="S883" s="207"/>
      <c r="T883" s="207"/>
      <c r="U883" s="207"/>
      <c r="V883" s="207"/>
      <c r="W883" s="207"/>
      <c r="X883" s="207"/>
      <c r="Y883" s="207"/>
      <c r="Z883" s="207"/>
    </row>
    <row r="884" spans="1:26" ht="15.75" customHeight="1">
      <c r="A884" s="207"/>
      <c r="B884" s="207"/>
      <c r="C884" s="207"/>
      <c r="D884" s="207"/>
      <c r="E884" s="207"/>
      <c r="F884" s="207"/>
      <c r="G884" s="207"/>
      <c r="H884" s="207"/>
      <c r="I884" s="207"/>
      <c r="J884" s="207"/>
      <c r="K884" s="207"/>
      <c r="L884" s="207"/>
      <c r="M884" s="207"/>
      <c r="N884" s="207"/>
      <c r="O884" s="207"/>
      <c r="P884" s="207"/>
      <c r="Q884" s="207"/>
      <c r="R884" s="207"/>
      <c r="S884" s="207"/>
      <c r="T884" s="207"/>
      <c r="U884" s="207"/>
      <c r="V884" s="207"/>
      <c r="W884" s="207"/>
      <c r="X884" s="207"/>
      <c r="Y884" s="207"/>
      <c r="Z884" s="207"/>
    </row>
    <row r="885" spans="1:26" ht="15.75" customHeight="1">
      <c r="A885" s="207"/>
      <c r="B885" s="207"/>
      <c r="C885" s="207"/>
      <c r="D885" s="207"/>
      <c r="E885" s="207"/>
      <c r="F885" s="207"/>
      <c r="G885" s="207"/>
      <c r="H885" s="207"/>
      <c r="I885" s="207"/>
      <c r="J885" s="207"/>
      <c r="K885" s="207"/>
      <c r="L885" s="207"/>
      <c r="M885" s="207"/>
      <c r="N885" s="207"/>
      <c r="O885" s="207"/>
      <c r="P885" s="207"/>
      <c r="Q885" s="207"/>
      <c r="R885" s="207"/>
      <c r="S885" s="207"/>
      <c r="T885" s="207"/>
      <c r="U885" s="207"/>
      <c r="V885" s="207"/>
      <c r="W885" s="207"/>
      <c r="X885" s="207"/>
      <c r="Y885" s="207"/>
      <c r="Z885" s="207"/>
    </row>
    <row r="886" spans="1:26" ht="15.75" customHeight="1">
      <c r="A886" s="207"/>
      <c r="B886" s="207"/>
      <c r="C886" s="207"/>
      <c r="D886" s="207"/>
      <c r="E886" s="207"/>
      <c r="F886" s="207"/>
      <c r="G886" s="207"/>
      <c r="H886" s="207"/>
      <c r="I886" s="207"/>
      <c r="J886" s="207"/>
      <c r="K886" s="207"/>
      <c r="L886" s="207"/>
      <c r="M886" s="207"/>
      <c r="N886" s="207"/>
      <c r="O886" s="207"/>
      <c r="P886" s="207"/>
      <c r="Q886" s="207"/>
      <c r="R886" s="207"/>
      <c r="S886" s="207"/>
      <c r="T886" s="207"/>
      <c r="U886" s="207"/>
      <c r="V886" s="207"/>
      <c r="W886" s="207"/>
      <c r="X886" s="207"/>
      <c r="Y886" s="207"/>
      <c r="Z886" s="207"/>
    </row>
    <row r="887" spans="1:26" ht="15.75" customHeight="1">
      <c r="A887" s="207"/>
      <c r="B887" s="207"/>
      <c r="C887" s="207"/>
      <c r="D887" s="207"/>
      <c r="E887" s="207"/>
      <c r="F887" s="207"/>
      <c r="G887" s="207"/>
      <c r="H887" s="207"/>
      <c r="I887" s="207"/>
      <c r="J887" s="207"/>
      <c r="K887" s="207"/>
      <c r="L887" s="207"/>
      <c r="M887" s="207"/>
      <c r="N887" s="207"/>
      <c r="O887" s="207"/>
      <c r="P887" s="207"/>
      <c r="Q887" s="207"/>
      <c r="R887" s="207"/>
      <c r="S887" s="207"/>
      <c r="T887" s="207"/>
      <c r="U887" s="207"/>
      <c r="V887" s="207"/>
      <c r="W887" s="207"/>
      <c r="X887" s="207"/>
      <c r="Y887" s="207"/>
      <c r="Z887" s="207"/>
    </row>
    <row r="888" spans="1:26" ht="15.75" customHeight="1">
      <c r="A888" s="207"/>
      <c r="B888" s="207"/>
      <c r="C888" s="207"/>
      <c r="D888" s="207"/>
      <c r="E888" s="207"/>
      <c r="F888" s="207"/>
      <c r="G888" s="207"/>
      <c r="H888" s="207"/>
      <c r="I888" s="207"/>
      <c r="J888" s="207"/>
      <c r="K888" s="207"/>
      <c r="L888" s="207"/>
      <c r="M888" s="207"/>
      <c r="N888" s="207"/>
      <c r="O888" s="207"/>
      <c r="P888" s="207"/>
      <c r="Q888" s="207"/>
      <c r="R888" s="207"/>
      <c r="S888" s="207"/>
      <c r="T888" s="207"/>
      <c r="U888" s="207"/>
      <c r="V888" s="207"/>
      <c r="W888" s="207"/>
      <c r="X888" s="207"/>
      <c r="Y888" s="207"/>
      <c r="Z888" s="207"/>
    </row>
    <row r="889" spans="1:26" ht="15.75" customHeight="1">
      <c r="A889" s="207"/>
      <c r="B889" s="207"/>
      <c r="C889" s="207"/>
      <c r="D889" s="207"/>
      <c r="E889" s="207"/>
      <c r="F889" s="207"/>
      <c r="G889" s="207"/>
      <c r="H889" s="207"/>
      <c r="I889" s="207"/>
      <c r="J889" s="207"/>
      <c r="K889" s="207"/>
      <c r="L889" s="207"/>
      <c r="M889" s="207"/>
      <c r="N889" s="207"/>
      <c r="O889" s="207"/>
      <c r="P889" s="207"/>
      <c r="Q889" s="207"/>
      <c r="R889" s="207"/>
      <c r="S889" s="207"/>
      <c r="T889" s="207"/>
      <c r="U889" s="207"/>
      <c r="V889" s="207"/>
      <c r="W889" s="207"/>
      <c r="X889" s="207"/>
      <c r="Y889" s="207"/>
      <c r="Z889" s="207"/>
    </row>
    <row r="890" spans="1:26" ht="15.75" customHeight="1">
      <c r="A890" s="207"/>
      <c r="B890" s="207"/>
      <c r="C890" s="207"/>
      <c r="D890" s="207"/>
      <c r="E890" s="207"/>
      <c r="F890" s="207"/>
      <c r="G890" s="207"/>
      <c r="H890" s="207"/>
      <c r="I890" s="207"/>
      <c r="J890" s="207"/>
      <c r="K890" s="207"/>
      <c r="L890" s="207"/>
      <c r="M890" s="207"/>
      <c r="N890" s="207"/>
      <c r="O890" s="207"/>
      <c r="P890" s="207"/>
      <c r="Q890" s="207"/>
      <c r="R890" s="207"/>
      <c r="S890" s="207"/>
      <c r="T890" s="207"/>
      <c r="U890" s="207"/>
      <c r="V890" s="207"/>
      <c r="W890" s="207"/>
      <c r="X890" s="207"/>
      <c r="Y890" s="207"/>
      <c r="Z890" s="207"/>
    </row>
    <row r="891" spans="1:26" ht="15.75" customHeight="1">
      <c r="A891" s="207"/>
      <c r="B891" s="207"/>
      <c r="C891" s="207"/>
      <c r="D891" s="207"/>
      <c r="E891" s="207"/>
      <c r="F891" s="207"/>
      <c r="G891" s="207"/>
      <c r="H891" s="207"/>
      <c r="I891" s="207"/>
      <c r="J891" s="207"/>
      <c r="K891" s="207"/>
      <c r="L891" s="207"/>
      <c r="M891" s="207"/>
      <c r="N891" s="207"/>
      <c r="O891" s="207"/>
      <c r="P891" s="207"/>
      <c r="Q891" s="207"/>
      <c r="R891" s="207"/>
      <c r="S891" s="207"/>
      <c r="T891" s="207"/>
      <c r="U891" s="207"/>
      <c r="V891" s="207"/>
      <c r="W891" s="207"/>
      <c r="X891" s="207"/>
      <c r="Y891" s="207"/>
      <c r="Z891" s="207"/>
    </row>
    <row r="892" spans="1:26" ht="15.75" customHeight="1">
      <c r="A892" s="207"/>
      <c r="B892" s="207"/>
      <c r="C892" s="207"/>
      <c r="D892" s="207"/>
      <c r="E892" s="207"/>
      <c r="F892" s="207"/>
      <c r="G892" s="207"/>
      <c r="H892" s="207"/>
      <c r="I892" s="207"/>
      <c r="J892" s="207"/>
      <c r="K892" s="207"/>
      <c r="L892" s="207"/>
      <c r="M892" s="207"/>
      <c r="N892" s="207"/>
      <c r="O892" s="207"/>
      <c r="P892" s="207"/>
      <c r="Q892" s="207"/>
      <c r="R892" s="207"/>
      <c r="S892" s="207"/>
      <c r="T892" s="207"/>
      <c r="U892" s="207"/>
      <c r="V892" s="207"/>
      <c r="W892" s="207"/>
      <c r="X892" s="207"/>
      <c r="Y892" s="207"/>
      <c r="Z892" s="207"/>
    </row>
    <row r="893" spans="1:26" ht="15.75" customHeight="1">
      <c r="A893" s="207"/>
      <c r="B893" s="207"/>
      <c r="C893" s="207"/>
      <c r="D893" s="207"/>
      <c r="E893" s="207"/>
      <c r="F893" s="207"/>
      <c r="G893" s="207"/>
      <c r="H893" s="207"/>
      <c r="I893" s="207"/>
      <c r="J893" s="207"/>
      <c r="K893" s="207"/>
      <c r="L893" s="207"/>
      <c r="M893" s="207"/>
      <c r="N893" s="207"/>
      <c r="O893" s="207"/>
      <c r="P893" s="207"/>
      <c r="Q893" s="207"/>
      <c r="R893" s="207"/>
      <c r="S893" s="207"/>
      <c r="T893" s="207"/>
      <c r="U893" s="207"/>
      <c r="V893" s="207"/>
      <c r="W893" s="207"/>
      <c r="X893" s="207"/>
      <c r="Y893" s="207"/>
      <c r="Z893" s="207"/>
    </row>
    <row r="894" spans="1:26" ht="15.75" customHeight="1">
      <c r="A894" s="207"/>
      <c r="B894" s="207"/>
      <c r="C894" s="207"/>
      <c r="D894" s="207"/>
      <c r="E894" s="207"/>
      <c r="F894" s="207"/>
      <c r="G894" s="207"/>
      <c r="H894" s="207"/>
      <c r="I894" s="207"/>
      <c r="J894" s="207"/>
      <c r="K894" s="207"/>
      <c r="L894" s="207"/>
      <c r="M894" s="207"/>
      <c r="N894" s="207"/>
      <c r="O894" s="207"/>
      <c r="P894" s="207"/>
      <c r="Q894" s="207"/>
      <c r="R894" s="207"/>
      <c r="S894" s="207"/>
      <c r="T894" s="207"/>
      <c r="U894" s="207"/>
      <c r="V894" s="207"/>
      <c r="W894" s="207"/>
      <c r="X894" s="207"/>
      <c r="Y894" s="207"/>
      <c r="Z894" s="207"/>
    </row>
    <row r="895" spans="1:26" ht="15.75" customHeight="1">
      <c r="A895" s="207"/>
      <c r="B895" s="207"/>
      <c r="C895" s="207"/>
      <c r="D895" s="207"/>
      <c r="E895" s="207"/>
      <c r="F895" s="207"/>
      <c r="G895" s="207"/>
      <c r="H895" s="207"/>
      <c r="I895" s="207"/>
      <c r="J895" s="207"/>
      <c r="K895" s="207"/>
      <c r="L895" s="207"/>
      <c r="M895" s="207"/>
      <c r="N895" s="207"/>
      <c r="O895" s="207"/>
      <c r="P895" s="207"/>
      <c r="Q895" s="207"/>
      <c r="R895" s="207"/>
      <c r="S895" s="207"/>
      <c r="T895" s="207"/>
      <c r="U895" s="207"/>
      <c r="V895" s="207"/>
      <c r="W895" s="207"/>
      <c r="X895" s="207"/>
      <c r="Y895" s="207"/>
      <c r="Z895" s="207"/>
    </row>
    <row r="896" spans="1:26" ht="15.75" customHeight="1">
      <c r="A896" s="207"/>
      <c r="B896" s="207"/>
      <c r="C896" s="207"/>
      <c r="D896" s="207"/>
      <c r="E896" s="207"/>
      <c r="F896" s="207"/>
      <c r="G896" s="207"/>
      <c r="H896" s="207"/>
      <c r="I896" s="207"/>
      <c r="J896" s="207"/>
      <c r="K896" s="207"/>
      <c r="L896" s="207"/>
      <c r="M896" s="207"/>
      <c r="N896" s="207"/>
      <c r="O896" s="207"/>
      <c r="P896" s="207"/>
      <c r="Q896" s="207"/>
      <c r="R896" s="207"/>
      <c r="S896" s="207"/>
      <c r="T896" s="207"/>
      <c r="U896" s="207"/>
      <c r="V896" s="207"/>
      <c r="W896" s="207"/>
      <c r="X896" s="207"/>
      <c r="Y896" s="207"/>
      <c r="Z896" s="207"/>
    </row>
    <row r="897" spans="1:26" ht="15.75" customHeight="1">
      <c r="A897" s="207"/>
      <c r="B897" s="207"/>
      <c r="C897" s="207"/>
      <c r="D897" s="207"/>
      <c r="E897" s="207"/>
      <c r="F897" s="207"/>
      <c r="G897" s="207"/>
      <c r="H897" s="207"/>
      <c r="I897" s="207"/>
      <c r="J897" s="207"/>
      <c r="K897" s="207"/>
      <c r="L897" s="207"/>
      <c r="M897" s="207"/>
      <c r="N897" s="207"/>
      <c r="O897" s="207"/>
      <c r="P897" s="207"/>
      <c r="Q897" s="207"/>
      <c r="R897" s="207"/>
      <c r="S897" s="207"/>
      <c r="T897" s="207"/>
      <c r="U897" s="207"/>
      <c r="V897" s="207"/>
      <c r="W897" s="207"/>
      <c r="X897" s="207"/>
      <c r="Y897" s="207"/>
      <c r="Z897" s="207"/>
    </row>
    <row r="898" spans="1:26" ht="15.75" customHeight="1">
      <c r="A898" s="207"/>
      <c r="B898" s="207"/>
      <c r="C898" s="207"/>
      <c r="D898" s="207"/>
      <c r="E898" s="207"/>
      <c r="F898" s="207"/>
      <c r="G898" s="207"/>
      <c r="H898" s="207"/>
      <c r="I898" s="207"/>
      <c r="J898" s="207"/>
      <c r="K898" s="207"/>
      <c r="L898" s="207"/>
      <c r="M898" s="207"/>
      <c r="N898" s="207"/>
      <c r="O898" s="207"/>
      <c r="P898" s="207"/>
      <c r="Q898" s="207"/>
      <c r="R898" s="207"/>
      <c r="S898" s="207"/>
      <c r="T898" s="207"/>
      <c r="U898" s="207"/>
      <c r="V898" s="207"/>
      <c r="W898" s="207"/>
      <c r="X898" s="207"/>
      <c r="Y898" s="207"/>
      <c r="Z898" s="207"/>
    </row>
    <row r="899" spans="1:26" ht="15.75" customHeight="1">
      <c r="A899" s="207"/>
      <c r="B899" s="207"/>
      <c r="C899" s="207"/>
      <c r="D899" s="207"/>
      <c r="E899" s="207"/>
      <c r="F899" s="207"/>
      <c r="G899" s="207"/>
      <c r="H899" s="207"/>
      <c r="I899" s="207"/>
      <c r="J899" s="207"/>
      <c r="K899" s="207"/>
      <c r="L899" s="207"/>
      <c r="M899" s="207"/>
      <c r="N899" s="207"/>
      <c r="O899" s="207"/>
      <c r="P899" s="207"/>
      <c r="Q899" s="207"/>
      <c r="R899" s="207"/>
      <c r="S899" s="207"/>
      <c r="T899" s="207"/>
      <c r="U899" s="207"/>
      <c r="V899" s="207"/>
      <c r="W899" s="207"/>
      <c r="X899" s="207"/>
      <c r="Y899" s="207"/>
      <c r="Z899" s="207"/>
    </row>
    <row r="900" spans="1:26" ht="15.75" customHeight="1">
      <c r="A900" s="207"/>
      <c r="B900" s="207"/>
      <c r="C900" s="207"/>
      <c r="D900" s="207"/>
      <c r="E900" s="207"/>
      <c r="F900" s="207"/>
      <c r="G900" s="207"/>
      <c r="H900" s="207"/>
      <c r="I900" s="207"/>
      <c r="J900" s="207"/>
      <c r="K900" s="207"/>
      <c r="L900" s="207"/>
      <c r="M900" s="207"/>
      <c r="N900" s="207"/>
      <c r="O900" s="207"/>
      <c r="P900" s="207"/>
      <c r="Q900" s="207"/>
      <c r="R900" s="207"/>
      <c r="S900" s="207"/>
      <c r="T900" s="207"/>
      <c r="U900" s="207"/>
      <c r="V900" s="207"/>
      <c r="W900" s="207"/>
      <c r="X900" s="207"/>
      <c r="Y900" s="207"/>
      <c r="Z900" s="207"/>
    </row>
    <row r="901" spans="1:26" ht="15.75" customHeight="1">
      <c r="A901" s="207"/>
      <c r="B901" s="207"/>
      <c r="C901" s="207"/>
      <c r="D901" s="207"/>
      <c r="E901" s="207"/>
      <c r="F901" s="207"/>
      <c r="G901" s="207"/>
      <c r="H901" s="207"/>
      <c r="I901" s="207"/>
      <c r="J901" s="207"/>
      <c r="K901" s="207"/>
      <c r="L901" s="207"/>
      <c r="M901" s="207"/>
      <c r="N901" s="207"/>
      <c r="O901" s="207"/>
      <c r="P901" s="207"/>
      <c r="Q901" s="207"/>
      <c r="R901" s="207"/>
      <c r="S901" s="207"/>
      <c r="T901" s="207"/>
      <c r="U901" s="207"/>
      <c r="V901" s="207"/>
      <c r="W901" s="207"/>
      <c r="X901" s="207"/>
      <c r="Y901" s="207"/>
      <c r="Z901" s="207"/>
    </row>
    <row r="902" spans="1:26" ht="15.75" customHeight="1">
      <c r="A902" s="207"/>
      <c r="B902" s="207"/>
      <c r="C902" s="207"/>
      <c r="D902" s="207"/>
      <c r="E902" s="207"/>
      <c r="F902" s="207"/>
      <c r="G902" s="207"/>
      <c r="H902" s="207"/>
      <c r="I902" s="207"/>
      <c r="J902" s="207"/>
      <c r="K902" s="207"/>
      <c r="L902" s="207"/>
      <c r="M902" s="207"/>
      <c r="N902" s="207"/>
      <c r="O902" s="207"/>
      <c r="P902" s="207"/>
      <c r="Q902" s="207"/>
      <c r="R902" s="207"/>
      <c r="S902" s="207"/>
      <c r="T902" s="207"/>
      <c r="U902" s="207"/>
      <c r="V902" s="207"/>
      <c r="W902" s="207"/>
      <c r="X902" s="207"/>
      <c r="Y902" s="207"/>
      <c r="Z902" s="207"/>
    </row>
    <row r="903" spans="1:26" ht="15.75" customHeight="1">
      <c r="A903" s="207"/>
      <c r="B903" s="207"/>
      <c r="C903" s="207"/>
      <c r="D903" s="207"/>
      <c r="E903" s="207"/>
      <c r="F903" s="207"/>
      <c r="G903" s="207"/>
      <c r="H903" s="207"/>
      <c r="I903" s="207"/>
      <c r="J903" s="207"/>
      <c r="K903" s="207"/>
      <c r="L903" s="207"/>
      <c r="M903" s="207"/>
      <c r="N903" s="207"/>
      <c r="O903" s="207"/>
      <c r="P903" s="207"/>
      <c r="Q903" s="207"/>
      <c r="R903" s="207"/>
      <c r="S903" s="207"/>
      <c r="T903" s="207"/>
      <c r="U903" s="207"/>
      <c r="V903" s="207"/>
      <c r="W903" s="207"/>
      <c r="X903" s="207"/>
      <c r="Y903" s="207"/>
      <c r="Z903" s="207"/>
    </row>
    <row r="904" spans="1:26" ht="15.75" customHeight="1">
      <c r="A904" s="207"/>
      <c r="B904" s="207"/>
      <c r="C904" s="207"/>
      <c r="D904" s="207"/>
      <c r="E904" s="207"/>
      <c r="F904" s="207"/>
      <c r="G904" s="207"/>
      <c r="H904" s="207"/>
      <c r="I904" s="207"/>
      <c r="J904" s="207"/>
      <c r="K904" s="207"/>
      <c r="L904" s="207"/>
      <c r="M904" s="207"/>
      <c r="N904" s="207"/>
      <c r="O904" s="207"/>
      <c r="P904" s="207"/>
      <c r="Q904" s="207"/>
      <c r="R904" s="207"/>
      <c r="S904" s="207"/>
      <c r="T904" s="207"/>
      <c r="U904" s="207"/>
      <c r="V904" s="207"/>
      <c r="W904" s="207"/>
      <c r="X904" s="207"/>
      <c r="Y904" s="207"/>
      <c r="Z904" s="207"/>
    </row>
    <row r="905" spans="1:26" ht="15.75" customHeight="1">
      <c r="A905" s="207"/>
      <c r="B905" s="207"/>
      <c r="C905" s="207"/>
      <c r="D905" s="207"/>
      <c r="E905" s="207"/>
      <c r="F905" s="207"/>
      <c r="G905" s="207"/>
      <c r="H905" s="207"/>
      <c r="I905" s="207"/>
      <c r="J905" s="207"/>
      <c r="K905" s="207"/>
      <c r="L905" s="207"/>
      <c r="M905" s="207"/>
      <c r="N905" s="207"/>
      <c r="O905" s="207"/>
      <c r="P905" s="207"/>
      <c r="Q905" s="207"/>
      <c r="R905" s="207"/>
      <c r="S905" s="207"/>
      <c r="T905" s="207"/>
      <c r="U905" s="207"/>
      <c r="V905" s="207"/>
      <c r="W905" s="207"/>
      <c r="X905" s="207"/>
      <c r="Y905" s="207"/>
      <c r="Z905" s="207"/>
    </row>
    <row r="906" spans="1:26" ht="15.75" customHeight="1">
      <c r="A906" s="207"/>
      <c r="B906" s="207"/>
      <c r="C906" s="207"/>
      <c r="D906" s="207"/>
      <c r="E906" s="207"/>
      <c r="F906" s="207"/>
      <c r="G906" s="207"/>
      <c r="H906" s="207"/>
      <c r="I906" s="207"/>
      <c r="J906" s="207"/>
      <c r="K906" s="207"/>
      <c r="L906" s="207"/>
      <c r="M906" s="207"/>
      <c r="N906" s="207"/>
      <c r="O906" s="207"/>
      <c r="P906" s="207"/>
      <c r="Q906" s="207"/>
      <c r="R906" s="207"/>
      <c r="S906" s="207"/>
      <c r="T906" s="207"/>
      <c r="U906" s="207"/>
      <c r="V906" s="207"/>
      <c r="W906" s="207"/>
      <c r="X906" s="207"/>
      <c r="Y906" s="207"/>
      <c r="Z906" s="207"/>
    </row>
    <row r="907" spans="1:26" ht="15.75" customHeight="1">
      <c r="A907" s="207"/>
      <c r="B907" s="207"/>
      <c r="C907" s="207"/>
      <c r="D907" s="207"/>
      <c r="E907" s="207"/>
      <c r="F907" s="207"/>
      <c r="G907" s="207"/>
      <c r="H907" s="207"/>
      <c r="I907" s="207"/>
      <c r="J907" s="207"/>
      <c r="K907" s="207"/>
      <c r="L907" s="207"/>
      <c r="M907" s="207"/>
      <c r="N907" s="207"/>
      <c r="O907" s="207"/>
      <c r="P907" s="207"/>
      <c r="Q907" s="207"/>
      <c r="R907" s="207"/>
      <c r="S907" s="207"/>
      <c r="T907" s="207"/>
      <c r="U907" s="207"/>
      <c r="V907" s="207"/>
      <c r="W907" s="207"/>
      <c r="X907" s="207"/>
      <c r="Y907" s="207"/>
      <c r="Z907" s="207"/>
    </row>
    <row r="908" spans="1:26" ht="15.75" customHeight="1">
      <c r="A908" s="207"/>
      <c r="B908" s="207"/>
      <c r="C908" s="207"/>
      <c r="D908" s="207"/>
      <c r="E908" s="207"/>
      <c r="F908" s="207"/>
      <c r="G908" s="207"/>
      <c r="H908" s="207"/>
      <c r="I908" s="207"/>
      <c r="J908" s="207"/>
      <c r="K908" s="207"/>
      <c r="L908" s="207"/>
      <c r="M908" s="207"/>
      <c r="N908" s="207"/>
      <c r="O908" s="207"/>
      <c r="P908" s="207"/>
      <c r="Q908" s="207"/>
      <c r="R908" s="207"/>
      <c r="S908" s="207"/>
      <c r="T908" s="207"/>
      <c r="U908" s="207"/>
      <c r="V908" s="207"/>
      <c r="W908" s="207"/>
      <c r="X908" s="207"/>
      <c r="Y908" s="207"/>
      <c r="Z908" s="207"/>
    </row>
    <row r="909" spans="1:26" ht="15.75" customHeight="1">
      <c r="A909" s="207"/>
      <c r="B909" s="207"/>
      <c r="C909" s="207"/>
      <c r="D909" s="207"/>
      <c r="E909" s="207"/>
      <c r="F909" s="207"/>
      <c r="G909" s="207"/>
      <c r="H909" s="207"/>
      <c r="I909" s="207"/>
      <c r="J909" s="207"/>
      <c r="K909" s="207"/>
      <c r="L909" s="207"/>
      <c r="M909" s="207"/>
      <c r="N909" s="207"/>
      <c r="O909" s="207"/>
      <c r="P909" s="207"/>
      <c r="Q909" s="207"/>
      <c r="R909" s="207"/>
      <c r="S909" s="207"/>
      <c r="T909" s="207"/>
      <c r="U909" s="207"/>
      <c r="V909" s="207"/>
      <c r="W909" s="207"/>
      <c r="X909" s="207"/>
      <c r="Y909" s="207"/>
      <c r="Z909" s="207"/>
    </row>
    <row r="910" spans="1:26" ht="15.75" customHeight="1">
      <c r="A910" s="207"/>
      <c r="B910" s="207"/>
      <c r="C910" s="207"/>
      <c r="D910" s="207"/>
      <c r="E910" s="207"/>
      <c r="F910" s="207"/>
      <c r="G910" s="207"/>
      <c r="H910" s="207"/>
      <c r="I910" s="207"/>
      <c r="J910" s="207"/>
      <c r="K910" s="207"/>
      <c r="L910" s="207"/>
      <c r="M910" s="207"/>
      <c r="N910" s="207"/>
      <c r="O910" s="207"/>
      <c r="P910" s="207"/>
      <c r="Q910" s="207"/>
      <c r="R910" s="207"/>
      <c r="S910" s="207"/>
      <c r="T910" s="207"/>
      <c r="U910" s="207"/>
      <c r="V910" s="207"/>
      <c r="W910" s="207"/>
      <c r="X910" s="207"/>
      <c r="Y910" s="207"/>
      <c r="Z910" s="207"/>
    </row>
    <row r="911" spans="1:26" ht="15.75" customHeight="1">
      <c r="A911" s="207"/>
      <c r="B911" s="207"/>
      <c r="C911" s="207"/>
      <c r="D911" s="207"/>
      <c r="E911" s="207"/>
      <c r="F911" s="207"/>
      <c r="G911" s="207"/>
      <c r="H911" s="207"/>
      <c r="I911" s="207"/>
      <c r="J911" s="207"/>
      <c r="K911" s="207"/>
      <c r="L911" s="207"/>
      <c r="M911" s="207"/>
      <c r="N911" s="207"/>
      <c r="O911" s="207"/>
      <c r="P911" s="207"/>
      <c r="Q911" s="207"/>
      <c r="R911" s="207"/>
      <c r="S911" s="207"/>
      <c r="T911" s="207"/>
      <c r="U911" s="207"/>
      <c r="V911" s="207"/>
      <c r="W911" s="207"/>
      <c r="X911" s="207"/>
      <c r="Y911" s="207"/>
      <c r="Z911" s="207"/>
    </row>
    <row r="912" spans="1:26" ht="15.75" customHeight="1">
      <c r="A912" s="207"/>
      <c r="B912" s="207"/>
      <c r="C912" s="207"/>
      <c r="D912" s="207"/>
      <c r="E912" s="207"/>
      <c r="F912" s="207"/>
      <c r="G912" s="207"/>
      <c r="H912" s="207"/>
      <c r="I912" s="207"/>
      <c r="J912" s="207"/>
      <c r="K912" s="207"/>
      <c r="L912" s="207"/>
      <c r="M912" s="207"/>
      <c r="N912" s="207"/>
      <c r="O912" s="207"/>
      <c r="P912" s="207"/>
      <c r="Q912" s="207"/>
      <c r="R912" s="207"/>
      <c r="S912" s="207"/>
      <c r="T912" s="207"/>
      <c r="U912" s="207"/>
      <c r="V912" s="207"/>
      <c r="W912" s="207"/>
      <c r="X912" s="207"/>
      <c r="Y912" s="207"/>
      <c r="Z912" s="207"/>
    </row>
    <row r="913" spans="1:26" ht="15.75" customHeight="1">
      <c r="A913" s="207"/>
      <c r="B913" s="207"/>
      <c r="C913" s="207"/>
      <c r="D913" s="207"/>
      <c r="E913" s="207"/>
      <c r="F913" s="207"/>
      <c r="G913" s="207"/>
      <c r="H913" s="207"/>
      <c r="I913" s="207"/>
      <c r="J913" s="207"/>
      <c r="K913" s="207"/>
      <c r="L913" s="207"/>
      <c r="M913" s="207"/>
      <c r="N913" s="207"/>
      <c r="O913" s="207"/>
      <c r="P913" s="207"/>
      <c r="Q913" s="207"/>
      <c r="R913" s="207"/>
      <c r="S913" s="207"/>
      <c r="T913" s="207"/>
      <c r="U913" s="207"/>
      <c r="V913" s="207"/>
      <c r="W913" s="207"/>
      <c r="X913" s="207"/>
      <c r="Y913" s="207"/>
      <c r="Z913" s="207"/>
    </row>
    <row r="914" spans="1:26" ht="15.75" customHeight="1">
      <c r="A914" s="207"/>
      <c r="B914" s="207"/>
      <c r="C914" s="207"/>
      <c r="D914" s="207"/>
      <c r="E914" s="207"/>
      <c r="F914" s="207"/>
      <c r="G914" s="207"/>
      <c r="H914" s="207"/>
      <c r="I914" s="207"/>
      <c r="J914" s="207"/>
      <c r="K914" s="207"/>
      <c r="L914" s="207"/>
      <c r="M914" s="207"/>
      <c r="N914" s="207"/>
      <c r="O914" s="207"/>
      <c r="P914" s="207"/>
      <c r="Q914" s="207"/>
      <c r="R914" s="207"/>
      <c r="S914" s="207"/>
      <c r="T914" s="207"/>
      <c r="U914" s="207"/>
      <c r="V914" s="207"/>
      <c r="W914" s="207"/>
      <c r="X914" s="207"/>
      <c r="Y914" s="207"/>
      <c r="Z914" s="207"/>
    </row>
    <row r="915" spans="1:26" ht="15.75" customHeight="1">
      <c r="A915" s="207"/>
      <c r="B915" s="207"/>
      <c r="C915" s="207"/>
      <c r="D915" s="207"/>
      <c r="E915" s="207"/>
      <c r="F915" s="207"/>
      <c r="G915" s="207"/>
      <c r="H915" s="207"/>
      <c r="I915" s="207"/>
      <c r="J915" s="207"/>
      <c r="K915" s="207"/>
      <c r="L915" s="207"/>
      <c r="M915" s="207"/>
      <c r="N915" s="207"/>
      <c r="O915" s="207"/>
      <c r="P915" s="207"/>
      <c r="Q915" s="207"/>
      <c r="R915" s="207"/>
      <c r="S915" s="207"/>
      <c r="T915" s="207"/>
      <c r="U915" s="207"/>
      <c r="V915" s="207"/>
      <c r="W915" s="207"/>
      <c r="X915" s="207"/>
      <c r="Y915" s="207"/>
      <c r="Z915" s="207"/>
    </row>
    <row r="916" spans="1:26" ht="15.75" customHeight="1">
      <c r="A916" s="207"/>
      <c r="B916" s="207"/>
      <c r="C916" s="207"/>
      <c r="D916" s="207"/>
      <c r="E916" s="207"/>
      <c r="F916" s="207"/>
      <c r="G916" s="207"/>
      <c r="H916" s="207"/>
      <c r="I916" s="207"/>
      <c r="J916" s="207"/>
      <c r="K916" s="207"/>
      <c r="L916" s="207"/>
      <c r="M916" s="207"/>
      <c r="N916" s="207"/>
      <c r="O916" s="207"/>
      <c r="P916" s="207"/>
      <c r="Q916" s="207"/>
      <c r="R916" s="207"/>
      <c r="S916" s="207"/>
      <c r="T916" s="207"/>
      <c r="U916" s="207"/>
      <c r="V916" s="207"/>
      <c r="W916" s="207"/>
      <c r="X916" s="207"/>
      <c r="Y916" s="207"/>
      <c r="Z916" s="207"/>
    </row>
    <row r="917" spans="1:26" ht="15.75" customHeight="1">
      <c r="A917" s="207"/>
      <c r="B917" s="207"/>
      <c r="C917" s="207"/>
      <c r="D917" s="207"/>
      <c r="E917" s="207"/>
      <c r="F917" s="207"/>
      <c r="G917" s="207"/>
      <c r="H917" s="207"/>
      <c r="I917" s="207"/>
      <c r="J917" s="207"/>
      <c r="K917" s="207"/>
      <c r="L917" s="207"/>
      <c r="M917" s="207"/>
      <c r="N917" s="207"/>
      <c r="O917" s="207"/>
      <c r="P917" s="207"/>
      <c r="Q917" s="207"/>
      <c r="R917" s="207"/>
      <c r="S917" s="207"/>
      <c r="T917" s="207"/>
      <c r="U917" s="207"/>
      <c r="V917" s="207"/>
      <c r="W917" s="207"/>
      <c r="X917" s="207"/>
      <c r="Y917" s="207"/>
      <c r="Z917" s="207"/>
    </row>
    <row r="918" spans="1:26" ht="15.75" customHeight="1">
      <c r="A918" s="207"/>
      <c r="B918" s="207"/>
      <c r="C918" s="207"/>
      <c r="D918" s="207"/>
      <c r="E918" s="207"/>
      <c r="F918" s="207"/>
      <c r="G918" s="207"/>
      <c r="H918" s="207"/>
      <c r="I918" s="207"/>
      <c r="J918" s="207"/>
      <c r="K918" s="207"/>
      <c r="L918" s="207"/>
      <c r="M918" s="207"/>
      <c r="N918" s="207"/>
      <c r="O918" s="207"/>
      <c r="P918" s="207"/>
      <c r="Q918" s="207"/>
      <c r="R918" s="207"/>
      <c r="S918" s="207"/>
      <c r="T918" s="207"/>
      <c r="U918" s="207"/>
      <c r="V918" s="207"/>
      <c r="W918" s="207"/>
      <c r="X918" s="207"/>
      <c r="Y918" s="207"/>
      <c r="Z918" s="207"/>
    </row>
    <row r="919" spans="1:26" ht="15.75" customHeight="1">
      <c r="A919" s="207"/>
      <c r="B919" s="207"/>
      <c r="C919" s="207"/>
      <c r="D919" s="207"/>
      <c r="E919" s="207"/>
      <c r="F919" s="207"/>
      <c r="G919" s="207"/>
      <c r="H919" s="207"/>
      <c r="I919" s="207"/>
      <c r="J919" s="207"/>
      <c r="K919" s="207"/>
      <c r="L919" s="207"/>
      <c r="M919" s="207"/>
      <c r="N919" s="207"/>
      <c r="O919" s="207"/>
      <c r="P919" s="207"/>
      <c r="Q919" s="207"/>
      <c r="R919" s="207"/>
      <c r="S919" s="207"/>
      <c r="T919" s="207"/>
      <c r="U919" s="207"/>
      <c r="V919" s="207"/>
      <c r="W919" s="207"/>
      <c r="X919" s="207"/>
      <c r="Y919" s="207"/>
      <c r="Z919" s="207"/>
    </row>
    <row r="920" spans="1:26" ht="15.75" customHeight="1">
      <c r="A920" s="207"/>
      <c r="B920" s="207"/>
      <c r="C920" s="207"/>
      <c r="D920" s="207"/>
      <c r="E920" s="207"/>
      <c r="F920" s="207"/>
      <c r="G920" s="207"/>
      <c r="H920" s="207"/>
      <c r="I920" s="207"/>
      <c r="J920" s="207"/>
      <c r="K920" s="207"/>
      <c r="L920" s="207"/>
      <c r="M920" s="207"/>
      <c r="N920" s="207"/>
      <c r="O920" s="207"/>
      <c r="P920" s="207"/>
      <c r="Q920" s="207"/>
      <c r="R920" s="207"/>
      <c r="S920" s="207"/>
      <c r="T920" s="207"/>
      <c r="U920" s="207"/>
      <c r="V920" s="207"/>
      <c r="W920" s="207"/>
      <c r="X920" s="207"/>
      <c r="Y920" s="207"/>
      <c r="Z920" s="207"/>
    </row>
    <row r="921" spans="1:26" ht="15.75" customHeight="1">
      <c r="A921" s="207"/>
      <c r="B921" s="207"/>
      <c r="C921" s="207"/>
      <c r="D921" s="207"/>
      <c r="E921" s="207"/>
      <c r="F921" s="207"/>
      <c r="G921" s="207"/>
      <c r="H921" s="207"/>
      <c r="I921" s="207"/>
      <c r="J921" s="207"/>
      <c r="K921" s="207"/>
      <c r="L921" s="207"/>
      <c r="M921" s="207"/>
      <c r="N921" s="207"/>
      <c r="O921" s="207"/>
      <c r="P921" s="207"/>
      <c r="Q921" s="207"/>
      <c r="R921" s="207"/>
      <c r="S921" s="207"/>
      <c r="T921" s="207"/>
      <c r="U921" s="207"/>
      <c r="V921" s="207"/>
      <c r="W921" s="207"/>
      <c r="X921" s="207"/>
      <c r="Y921" s="207"/>
      <c r="Z921" s="207"/>
    </row>
    <row r="922" spans="1:26" ht="15.75" customHeight="1">
      <c r="A922" s="207"/>
      <c r="B922" s="207"/>
      <c r="C922" s="207"/>
      <c r="D922" s="207"/>
      <c r="E922" s="207"/>
      <c r="F922" s="207"/>
      <c r="G922" s="207"/>
      <c r="H922" s="207"/>
      <c r="I922" s="207"/>
      <c r="J922" s="207"/>
      <c r="K922" s="207"/>
      <c r="L922" s="207"/>
      <c r="M922" s="207"/>
      <c r="N922" s="207"/>
      <c r="O922" s="207"/>
      <c r="P922" s="207"/>
      <c r="Q922" s="207"/>
      <c r="R922" s="207"/>
      <c r="S922" s="207"/>
      <c r="T922" s="207"/>
      <c r="U922" s="207"/>
      <c r="V922" s="207"/>
      <c r="W922" s="207"/>
      <c r="X922" s="207"/>
      <c r="Y922" s="207"/>
      <c r="Z922" s="207"/>
    </row>
    <row r="923" spans="1:26" ht="15.75" customHeight="1">
      <c r="A923" s="207"/>
      <c r="B923" s="207"/>
      <c r="C923" s="207"/>
      <c r="D923" s="207"/>
      <c r="E923" s="207"/>
      <c r="F923" s="207"/>
      <c r="G923" s="207"/>
      <c r="H923" s="207"/>
      <c r="I923" s="207"/>
      <c r="J923" s="207"/>
      <c r="K923" s="207"/>
      <c r="L923" s="207"/>
      <c r="M923" s="207"/>
      <c r="N923" s="207"/>
      <c r="O923" s="207"/>
      <c r="P923" s="207"/>
      <c r="Q923" s="207"/>
      <c r="R923" s="207"/>
      <c r="S923" s="207"/>
      <c r="T923" s="207"/>
      <c r="U923" s="207"/>
      <c r="V923" s="207"/>
      <c r="W923" s="207"/>
      <c r="X923" s="207"/>
      <c r="Y923" s="207"/>
      <c r="Z923" s="207"/>
    </row>
    <row r="924" spans="1:26" ht="15.75" customHeight="1">
      <c r="A924" s="207"/>
      <c r="B924" s="207"/>
      <c r="C924" s="207"/>
      <c r="D924" s="207"/>
      <c r="E924" s="207"/>
      <c r="F924" s="207"/>
      <c r="G924" s="207"/>
      <c r="H924" s="207"/>
      <c r="I924" s="207"/>
      <c r="J924" s="207"/>
      <c r="K924" s="207"/>
      <c r="L924" s="207"/>
      <c r="M924" s="207"/>
      <c r="N924" s="207"/>
      <c r="O924" s="207"/>
      <c r="P924" s="207"/>
      <c r="Q924" s="207"/>
      <c r="R924" s="207"/>
      <c r="S924" s="207"/>
      <c r="T924" s="207"/>
      <c r="U924" s="207"/>
      <c r="V924" s="207"/>
      <c r="W924" s="207"/>
      <c r="X924" s="207"/>
      <c r="Y924" s="207"/>
      <c r="Z924" s="207"/>
    </row>
    <row r="925" spans="1:26" ht="15.75" customHeight="1">
      <c r="A925" s="207"/>
      <c r="B925" s="207"/>
      <c r="C925" s="207"/>
      <c r="D925" s="207"/>
      <c r="E925" s="207"/>
      <c r="F925" s="207"/>
      <c r="G925" s="207"/>
      <c r="H925" s="207"/>
      <c r="I925" s="207"/>
      <c r="J925" s="207"/>
      <c r="K925" s="207"/>
      <c r="L925" s="207"/>
      <c r="M925" s="207"/>
      <c r="N925" s="207"/>
      <c r="O925" s="207"/>
      <c r="P925" s="207"/>
      <c r="Q925" s="207"/>
      <c r="R925" s="207"/>
      <c r="S925" s="207"/>
      <c r="T925" s="207"/>
      <c r="U925" s="207"/>
      <c r="V925" s="207"/>
      <c r="W925" s="207"/>
      <c r="X925" s="207"/>
      <c r="Y925" s="207"/>
      <c r="Z925" s="207"/>
    </row>
    <row r="926" spans="1:26" ht="15.75" customHeight="1">
      <c r="A926" s="207"/>
      <c r="B926" s="207"/>
      <c r="C926" s="207"/>
      <c r="D926" s="207"/>
      <c r="E926" s="207"/>
      <c r="F926" s="207"/>
      <c r="G926" s="207"/>
      <c r="H926" s="207"/>
      <c r="I926" s="207"/>
      <c r="J926" s="207"/>
      <c r="K926" s="207"/>
      <c r="L926" s="207"/>
      <c r="M926" s="207"/>
      <c r="N926" s="207"/>
      <c r="O926" s="207"/>
      <c r="P926" s="207"/>
      <c r="Q926" s="207"/>
      <c r="R926" s="207"/>
      <c r="S926" s="207"/>
      <c r="T926" s="207"/>
      <c r="U926" s="207"/>
      <c r="V926" s="207"/>
      <c r="W926" s="207"/>
      <c r="X926" s="207"/>
      <c r="Y926" s="207"/>
      <c r="Z926" s="207"/>
    </row>
    <row r="927" spans="1:26" ht="15.75" customHeight="1">
      <c r="A927" s="207"/>
      <c r="B927" s="207"/>
      <c r="C927" s="207"/>
      <c r="D927" s="207"/>
      <c r="E927" s="207"/>
      <c r="F927" s="207"/>
      <c r="G927" s="207"/>
      <c r="H927" s="207"/>
      <c r="I927" s="207"/>
      <c r="J927" s="207"/>
      <c r="K927" s="207"/>
      <c r="L927" s="207"/>
      <c r="M927" s="207"/>
      <c r="N927" s="207"/>
      <c r="O927" s="207"/>
      <c r="P927" s="207"/>
      <c r="Q927" s="207"/>
      <c r="R927" s="207"/>
      <c r="S927" s="207"/>
      <c r="T927" s="207"/>
      <c r="U927" s="207"/>
      <c r="V927" s="207"/>
      <c r="W927" s="207"/>
      <c r="X927" s="207"/>
      <c r="Y927" s="207"/>
      <c r="Z927" s="207"/>
    </row>
    <row r="928" spans="1:26" ht="15.75" customHeight="1">
      <c r="A928" s="207"/>
      <c r="B928" s="207"/>
      <c r="C928" s="207"/>
      <c r="D928" s="207"/>
      <c r="E928" s="207"/>
      <c r="F928" s="207"/>
      <c r="G928" s="207"/>
      <c r="H928" s="207"/>
      <c r="I928" s="207"/>
      <c r="J928" s="207"/>
      <c r="K928" s="207"/>
      <c r="L928" s="207"/>
      <c r="M928" s="207"/>
      <c r="N928" s="207"/>
      <c r="O928" s="207"/>
      <c r="P928" s="207"/>
      <c r="Q928" s="207"/>
      <c r="R928" s="207"/>
      <c r="S928" s="207"/>
      <c r="T928" s="207"/>
      <c r="U928" s="207"/>
      <c r="V928" s="207"/>
      <c r="W928" s="207"/>
      <c r="X928" s="207"/>
      <c r="Y928" s="207"/>
      <c r="Z928" s="207"/>
    </row>
    <row r="929" spans="1:26" ht="15.75" customHeight="1">
      <c r="A929" s="207"/>
      <c r="B929" s="207"/>
      <c r="C929" s="207"/>
      <c r="D929" s="207"/>
      <c r="E929" s="207"/>
      <c r="F929" s="207"/>
      <c r="G929" s="207"/>
      <c r="H929" s="207"/>
      <c r="I929" s="207"/>
      <c r="J929" s="207"/>
      <c r="K929" s="207"/>
      <c r="L929" s="207"/>
      <c r="M929" s="207"/>
      <c r="N929" s="207"/>
      <c r="O929" s="207"/>
      <c r="P929" s="207"/>
      <c r="Q929" s="207"/>
      <c r="R929" s="207"/>
      <c r="S929" s="207"/>
      <c r="T929" s="207"/>
      <c r="U929" s="207"/>
      <c r="V929" s="207"/>
      <c r="W929" s="207"/>
      <c r="X929" s="207"/>
      <c r="Y929" s="207"/>
      <c r="Z929" s="207"/>
    </row>
    <row r="930" spans="1:26" ht="15.75" customHeight="1">
      <c r="A930" s="207"/>
      <c r="B930" s="207"/>
      <c r="C930" s="207"/>
      <c r="D930" s="207"/>
      <c r="E930" s="207"/>
      <c r="F930" s="207"/>
      <c r="G930" s="207"/>
      <c r="H930" s="207"/>
      <c r="I930" s="207"/>
      <c r="J930" s="207"/>
      <c r="K930" s="207"/>
      <c r="L930" s="207"/>
      <c r="M930" s="207"/>
      <c r="N930" s="207"/>
      <c r="O930" s="207"/>
      <c r="P930" s="207"/>
      <c r="Q930" s="207"/>
      <c r="R930" s="207"/>
      <c r="S930" s="207"/>
      <c r="T930" s="207"/>
      <c r="U930" s="207"/>
      <c r="V930" s="207"/>
      <c r="W930" s="207"/>
      <c r="X930" s="207"/>
      <c r="Y930" s="207"/>
      <c r="Z930" s="207"/>
    </row>
    <row r="931" spans="1:26" ht="15.75" customHeight="1">
      <c r="A931" s="207"/>
      <c r="B931" s="207"/>
      <c r="C931" s="207"/>
      <c r="D931" s="207"/>
      <c r="E931" s="207"/>
      <c r="F931" s="207"/>
      <c r="G931" s="207"/>
      <c r="H931" s="207"/>
      <c r="I931" s="207"/>
      <c r="J931" s="207"/>
      <c r="K931" s="207"/>
      <c r="L931" s="207"/>
      <c r="M931" s="207"/>
      <c r="N931" s="207"/>
      <c r="O931" s="207"/>
      <c r="P931" s="207"/>
      <c r="Q931" s="207"/>
      <c r="R931" s="207"/>
      <c r="S931" s="207"/>
      <c r="T931" s="207"/>
      <c r="U931" s="207"/>
      <c r="V931" s="207"/>
      <c r="W931" s="207"/>
      <c r="X931" s="207"/>
      <c r="Y931" s="207"/>
      <c r="Z931" s="207"/>
    </row>
    <row r="932" spans="1:26" ht="15.75" customHeight="1">
      <c r="A932" s="207"/>
      <c r="B932" s="207"/>
      <c r="C932" s="207"/>
      <c r="D932" s="207"/>
      <c r="E932" s="207"/>
      <c r="F932" s="207"/>
      <c r="G932" s="207"/>
      <c r="H932" s="207"/>
      <c r="I932" s="207"/>
      <c r="J932" s="207"/>
      <c r="K932" s="207"/>
      <c r="L932" s="207"/>
      <c r="M932" s="207"/>
      <c r="N932" s="207"/>
      <c r="O932" s="207"/>
      <c r="P932" s="207"/>
      <c r="Q932" s="207"/>
      <c r="R932" s="207"/>
      <c r="S932" s="207"/>
      <c r="T932" s="207"/>
      <c r="U932" s="207"/>
      <c r="V932" s="207"/>
      <c r="W932" s="207"/>
      <c r="X932" s="207"/>
      <c r="Y932" s="207"/>
      <c r="Z932" s="207"/>
    </row>
    <row r="933" spans="1:26" ht="15.75" customHeight="1">
      <c r="A933" s="207"/>
      <c r="B933" s="207"/>
      <c r="C933" s="207"/>
      <c r="D933" s="207"/>
      <c r="E933" s="207"/>
      <c r="F933" s="207"/>
      <c r="G933" s="207"/>
      <c r="H933" s="207"/>
      <c r="I933" s="207"/>
      <c r="J933" s="207"/>
      <c r="K933" s="207"/>
      <c r="L933" s="207"/>
      <c r="M933" s="207"/>
      <c r="N933" s="207"/>
      <c r="O933" s="207"/>
      <c r="P933" s="207"/>
      <c r="Q933" s="207"/>
      <c r="R933" s="207"/>
      <c r="S933" s="207"/>
      <c r="T933" s="207"/>
      <c r="U933" s="207"/>
      <c r="V933" s="207"/>
      <c r="W933" s="207"/>
      <c r="X933" s="207"/>
      <c r="Y933" s="207"/>
      <c r="Z933" s="207"/>
    </row>
    <row r="934" spans="1:26" ht="15.75" customHeight="1">
      <c r="A934" s="207"/>
      <c r="B934" s="207"/>
      <c r="C934" s="207"/>
      <c r="D934" s="207"/>
      <c r="E934" s="207"/>
      <c r="F934" s="207"/>
      <c r="G934" s="207"/>
      <c r="H934" s="207"/>
      <c r="I934" s="207"/>
      <c r="J934" s="207"/>
      <c r="K934" s="207"/>
      <c r="L934" s="207"/>
      <c r="M934" s="207"/>
      <c r="N934" s="207"/>
      <c r="O934" s="207"/>
      <c r="P934" s="207"/>
      <c r="Q934" s="207"/>
      <c r="R934" s="207"/>
      <c r="S934" s="207"/>
      <c r="T934" s="207"/>
      <c r="U934" s="207"/>
      <c r="V934" s="207"/>
      <c r="W934" s="207"/>
      <c r="X934" s="207"/>
      <c r="Y934" s="207"/>
      <c r="Z934" s="207"/>
    </row>
    <row r="935" spans="1:26" ht="15.75" customHeight="1">
      <c r="A935" s="207"/>
      <c r="B935" s="207"/>
      <c r="C935" s="207"/>
      <c r="D935" s="207"/>
      <c r="E935" s="207"/>
      <c r="F935" s="207"/>
      <c r="G935" s="207"/>
      <c r="H935" s="207"/>
      <c r="I935" s="207"/>
      <c r="J935" s="207"/>
      <c r="K935" s="207"/>
      <c r="L935" s="207"/>
      <c r="M935" s="207"/>
      <c r="N935" s="207"/>
      <c r="O935" s="207"/>
      <c r="P935" s="207"/>
      <c r="Q935" s="207"/>
      <c r="R935" s="207"/>
      <c r="S935" s="207"/>
      <c r="T935" s="207"/>
      <c r="U935" s="207"/>
      <c r="V935" s="207"/>
      <c r="W935" s="207"/>
      <c r="X935" s="207"/>
      <c r="Y935" s="207"/>
      <c r="Z935" s="207"/>
    </row>
    <row r="936" spans="1:26" ht="15.75" customHeight="1">
      <c r="A936" s="207"/>
      <c r="B936" s="207"/>
      <c r="C936" s="207"/>
      <c r="D936" s="207"/>
      <c r="E936" s="207"/>
      <c r="F936" s="207"/>
      <c r="G936" s="207"/>
      <c r="H936" s="207"/>
      <c r="I936" s="207"/>
      <c r="J936" s="207"/>
      <c r="K936" s="207"/>
      <c r="L936" s="207"/>
      <c r="M936" s="207"/>
      <c r="N936" s="207"/>
      <c r="O936" s="207"/>
      <c r="P936" s="207"/>
      <c r="Q936" s="207"/>
      <c r="R936" s="207"/>
      <c r="S936" s="207"/>
      <c r="T936" s="207"/>
      <c r="U936" s="207"/>
      <c r="V936" s="207"/>
      <c r="W936" s="207"/>
      <c r="X936" s="207"/>
      <c r="Y936" s="207"/>
      <c r="Z936" s="207"/>
    </row>
    <row r="937" spans="1:26" ht="15.75" customHeight="1">
      <c r="A937" s="207"/>
      <c r="B937" s="207"/>
      <c r="C937" s="207"/>
      <c r="D937" s="207"/>
      <c r="E937" s="207"/>
      <c r="F937" s="207"/>
      <c r="G937" s="207"/>
      <c r="H937" s="207"/>
      <c r="I937" s="207"/>
      <c r="J937" s="207"/>
      <c r="K937" s="207"/>
      <c r="L937" s="207"/>
      <c r="M937" s="207"/>
      <c r="N937" s="207"/>
      <c r="O937" s="207"/>
      <c r="P937" s="207"/>
      <c r="Q937" s="207"/>
      <c r="R937" s="207"/>
      <c r="S937" s="207"/>
      <c r="T937" s="207"/>
      <c r="U937" s="207"/>
      <c r="V937" s="207"/>
      <c r="W937" s="207"/>
      <c r="X937" s="207"/>
      <c r="Y937" s="207"/>
      <c r="Z937" s="207"/>
    </row>
    <row r="938" spans="1:26" ht="15.75" customHeight="1">
      <c r="A938" s="207"/>
      <c r="B938" s="207"/>
      <c r="C938" s="207"/>
      <c r="D938" s="207"/>
      <c r="E938" s="207"/>
      <c r="F938" s="207"/>
      <c r="G938" s="207"/>
      <c r="H938" s="207"/>
      <c r="I938" s="207"/>
      <c r="J938" s="207"/>
      <c r="K938" s="207"/>
      <c r="L938" s="207"/>
      <c r="M938" s="207"/>
      <c r="N938" s="207"/>
      <c r="O938" s="207"/>
      <c r="P938" s="207"/>
      <c r="Q938" s="207"/>
      <c r="R938" s="207"/>
      <c r="S938" s="207"/>
      <c r="T938" s="207"/>
      <c r="U938" s="207"/>
      <c r="V938" s="207"/>
      <c r="W938" s="207"/>
      <c r="X938" s="207"/>
      <c r="Y938" s="207"/>
      <c r="Z938" s="207"/>
    </row>
    <row r="939" spans="1:26" ht="15.75" customHeight="1">
      <c r="A939" s="207"/>
      <c r="B939" s="207"/>
      <c r="C939" s="207"/>
      <c r="D939" s="207"/>
      <c r="E939" s="207"/>
      <c r="F939" s="207"/>
      <c r="G939" s="207"/>
      <c r="H939" s="207"/>
      <c r="I939" s="207"/>
      <c r="J939" s="207"/>
      <c r="K939" s="207"/>
      <c r="L939" s="207"/>
      <c r="M939" s="207"/>
      <c r="N939" s="207"/>
      <c r="O939" s="207"/>
      <c r="P939" s="207"/>
      <c r="Q939" s="207"/>
      <c r="R939" s="207"/>
      <c r="S939" s="207"/>
      <c r="T939" s="207"/>
      <c r="U939" s="207"/>
      <c r="V939" s="207"/>
      <c r="W939" s="207"/>
      <c r="X939" s="207"/>
      <c r="Y939" s="207"/>
      <c r="Z939" s="207"/>
    </row>
    <row r="940" spans="1:26" ht="15.75" customHeight="1">
      <c r="A940" s="207"/>
      <c r="B940" s="207"/>
      <c r="C940" s="207"/>
      <c r="D940" s="207"/>
      <c r="E940" s="207"/>
      <c r="F940" s="207"/>
      <c r="G940" s="207"/>
      <c r="H940" s="207"/>
      <c r="I940" s="207"/>
      <c r="J940" s="207"/>
      <c r="K940" s="207"/>
      <c r="L940" s="207"/>
      <c r="M940" s="207"/>
      <c r="N940" s="207"/>
      <c r="O940" s="207"/>
      <c r="P940" s="207"/>
      <c r="Q940" s="207"/>
      <c r="R940" s="207"/>
      <c r="S940" s="207"/>
      <c r="T940" s="207"/>
      <c r="U940" s="207"/>
      <c r="V940" s="207"/>
      <c r="W940" s="207"/>
      <c r="X940" s="207"/>
      <c r="Y940" s="207"/>
      <c r="Z940" s="207"/>
    </row>
    <row r="941" spans="1:26" ht="15.75" customHeight="1">
      <c r="A941" s="207"/>
      <c r="B941" s="207"/>
      <c r="C941" s="207"/>
      <c r="D941" s="207"/>
      <c r="E941" s="207"/>
      <c r="F941" s="207"/>
      <c r="G941" s="207"/>
      <c r="H941" s="207"/>
      <c r="I941" s="207"/>
      <c r="J941" s="207"/>
      <c r="K941" s="207"/>
      <c r="L941" s="207"/>
      <c r="M941" s="207"/>
      <c r="N941" s="207"/>
      <c r="O941" s="207"/>
      <c r="P941" s="207"/>
      <c r="Q941" s="207"/>
      <c r="R941" s="207"/>
      <c r="S941" s="207"/>
      <c r="T941" s="207"/>
      <c r="U941" s="207"/>
      <c r="V941" s="207"/>
      <c r="W941" s="207"/>
      <c r="X941" s="207"/>
      <c r="Y941" s="207"/>
      <c r="Z941" s="207"/>
    </row>
    <row r="942" spans="1:26" ht="15.75" customHeight="1">
      <c r="A942" s="207"/>
      <c r="B942" s="207"/>
      <c r="C942" s="207"/>
      <c r="D942" s="207"/>
      <c r="E942" s="207"/>
      <c r="F942" s="207"/>
      <c r="G942" s="207"/>
      <c r="H942" s="207"/>
      <c r="I942" s="207"/>
      <c r="J942" s="207"/>
      <c r="K942" s="207"/>
      <c r="L942" s="207"/>
      <c r="M942" s="207"/>
      <c r="N942" s="207"/>
      <c r="O942" s="207"/>
      <c r="P942" s="207"/>
      <c r="Q942" s="207"/>
      <c r="R942" s="207"/>
      <c r="S942" s="207"/>
      <c r="T942" s="207"/>
      <c r="U942" s="207"/>
      <c r="V942" s="207"/>
      <c r="W942" s="207"/>
      <c r="X942" s="207"/>
      <c r="Y942" s="207"/>
      <c r="Z942" s="207"/>
    </row>
    <row r="943" spans="1:26" ht="15.75" customHeight="1">
      <c r="A943" s="207"/>
      <c r="B943" s="207"/>
      <c r="C943" s="207"/>
      <c r="D943" s="207"/>
      <c r="E943" s="207"/>
      <c r="F943" s="207"/>
      <c r="G943" s="207"/>
      <c r="H943" s="207"/>
      <c r="I943" s="207"/>
      <c r="J943" s="207"/>
      <c r="K943" s="207"/>
      <c r="L943" s="207"/>
      <c r="M943" s="207"/>
      <c r="N943" s="207"/>
      <c r="O943" s="207"/>
      <c r="P943" s="207"/>
      <c r="Q943" s="207"/>
      <c r="R943" s="207"/>
      <c r="S943" s="207"/>
      <c r="T943" s="207"/>
      <c r="U943" s="207"/>
      <c r="V943" s="207"/>
      <c r="W943" s="207"/>
      <c r="X943" s="207"/>
      <c r="Y943" s="207"/>
      <c r="Z943" s="207"/>
    </row>
    <row r="944" spans="1:26" ht="15.75" customHeight="1">
      <c r="A944" s="207"/>
      <c r="B944" s="207"/>
      <c r="C944" s="207"/>
      <c r="D944" s="207"/>
      <c r="E944" s="207"/>
      <c r="F944" s="207"/>
      <c r="G944" s="207"/>
      <c r="H944" s="207"/>
      <c r="I944" s="207"/>
      <c r="J944" s="207"/>
      <c r="K944" s="207"/>
      <c r="L944" s="207"/>
      <c r="M944" s="207"/>
      <c r="N944" s="207"/>
      <c r="O944" s="207"/>
      <c r="P944" s="207"/>
      <c r="Q944" s="207"/>
      <c r="R944" s="207"/>
      <c r="S944" s="207"/>
      <c r="T944" s="207"/>
      <c r="U944" s="207"/>
      <c r="V944" s="207"/>
      <c r="W944" s="207"/>
      <c r="X944" s="207"/>
      <c r="Y944" s="207"/>
      <c r="Z944" s="207"/>
    </row>
    <row r="945" spans="1:26" ht="15.75" customHeight="1">
      <c r="A945" s="207"/>
      <c r="B945" s="207"/>
      <c r="C945" s="207"/>
      <c r="D945" s="207"/>
      <c r="E945" s="207"/>
      <c r="F945" s="207"/>
      <c r="G945" s="207"/>
      <c r="H945" s="207"/>
      <c r="I945" s="207"/>
      <c r="J945" s="207"/>
      <c r="K945" s="207"/>
      <c r="L945" s="207"/>
      <c r="M945" s="207"/>
      <c r="N945" s="207"/>
      <c r="O945" s="207"/>
      <c r="P945" s="207"/>
      <c r="Q945" s="207"/>
      <c r="R945" s="207"/>
      <c r="S945" s="207"/>
      <c r="T945" s="207"/>
      <c r="U945" s="207"/>
      <c r="V945" s="207"/>
      <c r="W945" s="207"/>
      <c r="X945" s="207"/>
      <c r="Y945" s="207"/>
      <c r="Z945" s="207"/>
    </row>
    <row r="946" spans="1:26" ht="15.75" customHeight="1">
      <c r="A946" s="207"/>
      <c r="B946" s="207"/>
      <c r="C946" s="207"/>
      <c r="D946" s="207"/>
      <c r="E946" s="207"/>
      <c r="F946" s="207"/>
      <c r="G946" s="207"/>
      <c r="H946" s="207"/>
      <c r="I946" s="207"/>
      <c r="J946" s="207"/>
      <c r="K946" s="207"/>
      <c r="L946" s="207"/>
      <c r="M946" s="207"/>
      <c r="N946" s="207"/>
      <c r="O946" s="207"/>
      <c r="P946" s="207"/>
      <c r="Q946" s="207"/>
      <c r="R946" s="207"/>
      <c r="S946" s="207"/>
      <c r="T946" s="207"/>
      <c r="U946" s="207"/>
      <c r="V946" s="207"/>
      <c r="W946" s="207"/>
      <c r="X946" s="207"/>
      <c r="Y946" s="207"/>
      <c r="Z946" s="207"/>
    </row>
    <row r="947" spans="1:26" ht="15.75" customHeight="1">
      <c r="A947" s="207"/>
      <c r="B947" s="207"/>
      <c r="C947" s="207"/>
      <c r="D947" s="207"/>
      <c r="E947" s="207"/>
      <c r="F947" s="207"/>
      <c r="G947" s="207"/>
      <c r="H947" s="207"/>
      <c r="I947" s="207"/>
      <c r="J947" s="207"/>
      <c r="K947" s="207"/>
      <c r="L947" s="207"/>
      <c r="M947" s="207"/>
      <c r="N947" s="207"/>
      <c r="O947" s="207"/>
      <c r="P947" s="207"/>
      <c r="Q947" s="207"/>
      <c r="R947" s="207"/>
      <c r="S947" s="207"/>
      <c r="T947" s="207"/>
      <c r="U947" s="207"/>
      <c r="V947" s="207"/>
      <c r="W947" s="207"/>
      <c r="X947" s="207"/>
      <c r="Y947" s="207"/>
      <c r="Z947" s="207"/>
    </row>
    <row r="948" spans="1:26" ht="15.75" customHeight="1">
      <c r="A948" s="207"/>
      <c r="B948" s="207"/>
      <c r="C948" s="207"/>
      <c r="D948" s="207"/>
      <c r="E948" s="207"/>
      <c r="F948" s="207"/>
      <c r="G948" s="207"/>
      <c r="H948" s="207"/>
      <c r="I948" s="207"/>
      <c r="J948" s="207"/>
      <c r="K948" s="207"/>
      <c r="L948" s="207"/>
      <c r="M948" s="207"/>
      <c r="N948" s="207"/>
      <c r="O948" s="207"/>
      <c r="P948" s="207"/>
      <c r="Q948" s="207"/>
      <c r="R948" s="207"/>
      <c r="S948" s="207"/>
      <c r="T948" s="207"/>
      <c r="U948" s="207"/>
      <c r="V948" s="207"/>
      <c r="W948" s="207"/>
      <c r="X948" s="207"/>
      <c r="Y948" s="207"/>
      <c r="Z948" s="207"/>
    </row>
    <row r="949" spans="1:26" ht="15.75" customHeight="1">
      <c r="A949" s="207"/>
      <c r="B949" s="207"/>
      <c r="C949" s="207"/>
      <c r="D949" s="207"/>
      <c r="E949" s="207"/>
      <c r="F949" s="207"/>
      <c r="G949" s="207"/>
      <c r="H949" s="207"/>
      <c r="I949" s="207"/>
      <c r="J949" s="207"/>
      <c r="K949" s="207"/>
      <c r="L949" s="207"/>
      <c r="M949" s="207"/>
      <c r="N949" s="207"/>
      <c r="O949" s="207"/>
      <c r="P949" s="207"/>
      <c r="Q949" s="207"/>
      <c r="R949" s="207"/>
      <c r="S949" s="207"/>
      <c r="T949" s="207"/>
      <c r="U949" s="207"/>
      <c r="V949" s="207"/>
      <c r="W949" s="207"/>
      <c r="X949" s="207"/>
      <c r="Y949" s="207"/>
      <c r="Z949" s="207"/>
    </row>
    <row r="950" spans="1:26" ht="15.75" customHeight="1">
      <c r="A950" s="207"/>
      <c r="B950" s="207"/>
      <c r="C950" s="207"/>
      <c r="D950" s="207"/>
      <c r="E950" s="207"/>
      <c r="F950" s="207"/>
      <c r="G950" s="207"/>
      <c r="H950" s="207"/>
      <c r="I950" s="207"/>
      <c r="J950" s="207"/>
      <c r="K950" s="207"/>
      <c r="L950" s="207"/>
      <c r="M950" s="207"/>
      <c r="N950" s="207"/>
      <c r="O950" s="207"/>
      <c r="P950" s="207"/>
      <c r="Q950" s="207"/>
      <c r="R950" s="207"/>
      <c r="S950" s="207"/>
      <c r="T950" s="207"/>
      <c r="U950" s="207"/>
      <c r="V950" s="207"/>
      <c r="W950" s="207"/>
      <c r="X950" s="207"/>
      <c r="Y950" s="207"/>
      <c r="Z950" s="207"/>
    </row>
    <row r="951" spans="1:26" ht="15.75" customHeight="1">
      <c r="A951" s="207"/>
      <c r="B951" s="207"/>
      <c r="C951" s="207"/>
      <c r="D951" s="207"/>
      <c r="E951" s="207"/>
      <c r="F951" s="207"/>
      <c r="G951" s="207"/>
      <c r="H951" s="207"/>
      <c r="I951" s="207"/>
      <c r="J951" s="207"/>
      <c r="K951" s="207"/>
      <c r="L951" s="207"/>
      <c r="M951" s="207"/>
      <c r="N951" s="207"/>
      <c r="O951" s="207"/>
      <c r="P951" s="207"/>
      <c r="Q951" s="207"/>
      <c r="R951" s="207"/>
      <c r="S951" s="207"/>
      <c r="T951" s="207"/>
      <c r="U951" s="207"/>
      <c r="V951" s="207"/>
      <c r="W951" s="207"/>
      <c r="X951" s="207"/>
      <c r="Y951" s="207"/>
      <c r="Z951" s="207"/>
    </row>
    <row r="952" spans="1:26" ht="15.75" customHeight="1">
      <c r="A952" s="207"/>
      <c r="B952" s="207"/>
      <c r="C952" s="207"/>
      <c r="D952" s="207"/>
      <c r="E952" s="207"/>
      <c r="F952" s="207"/>
      <c r="G952" s="207"/>
      <c r="H952" s="207"/>
      <c r="I952" s="207"/>
      <c r="J952" s="207"/>
      <c r="K952" s="207"/>
      <c r="L952" s="207"/>
      <c r="M952" s="207"/>
      <c r="N952" s="207"/>
      <c r="O952" s="207"/>
      <c r="P952" s="207"/>
      <c r="Q952" s="207"/>
      <c r="R952" s="207"/>
      <c r="S952" s="207"/>
      <c r="T952" s="207"/>
      <c r="U952" s="207"/>
      <c r="V952" s="207"/>
      <c r="W952" s="207"/>
      <c r="X952" s="207"/>
      <c r="Y952" s="207"/>
      <c r="Z952" s="207"/>
    </row>
    <row r="953" spans="1:26" ht="15.75" customHeight="1">
      <c r="A953" s="207"/>
      <c r="B953" s="207"/>
      <c r="C953" s="207"/>
      <c r="D953" s="207"/>
      <c r="E953" s="207"/>
      <c r="F953" s="207"/>
      <c r="G953" s="207"/>
      <c r="H953" s="207"/>
      <c r="I953" s="207"/>
      <c r="J953" s="207"/>
      <c r="K953" s="207"/>
      <c r="L953" s="207"/>
      <c r="M953" s="207"/>
      <c r="N953" s="207"/>
      <c r="O953" s="207"/>
      <c r="P953" s="207"/>
      <c r="Q953" s="207"/>
      <c r="R953" s="207"/>
      <c r="S953" s="207"/>
      <c r="T953" s="207"/>
      <c r="U953" s="207"/>
      <c r="V953" s="207"/>
      <c r="W953" s="207"/>
      <c r="X953" s="207"/>
      <c r="Y953" s="207"/>
      <c r="Z953" s="207"/>
    </row>
    <row r="954" spans="1:26" ht="15.75" customHeight="1">
      <c r="A954" s="207"/>
      <c r="B954" s="207"/>
      <c r="C954" s="207"/>
      <c r="D954" s="207"/>
      <c r="E954" s="207"/>
      <c r="F954" s="207"/>
      <c r="G954" s="207"/>
      <c r="H954" s="207"/>
      <c r="I954" s="207"/>
      <c r="J954" s="207"/>
      <c r="K954" s="207"/>
      <c r="L954" s="207"/>
      <c r="M954" s="207"/>
      <c r="N954" s="207"/>
      <c r="O954" s="207"/>
      <c r="P954" s="207"/>
      <c r="Q954" s="207"/>
      <c r="R954" s="207"/>
      <c r="S954" s="207"/>
      <c r="T954" s="207"/>
      <c r="U954" s="207"/>
      <c r="V954" s="207"/>
      <c r="W954" s="207"/>
      <c r="X954" s="207"/>
      <c r="Y954" s="207"/>
      <c r="Z954" s="207"/>
    </row>
    <row r="955" spans="1:26" ht="15.75" customHeight="1">
      <c r="A955" s="207"/>
      <c r="B955" s="207"/>
      <c r="C955" s="207"/>
      <c r="D955" s="207"/>
      <c r="E955" s="207"/>
      <c r="F955" s="207"/>
      <c r="G955" s="207"/>
      <c r="H955" s="207"/>
      <c r="I955" s="207"/>
      <c r="J955" s="207"/>
      <c r="K955" s="207"/>
      <c r="L955" s="207"/>
      <c r="M955" s="207"/>
      <c r="N955" s="207"/>
      <c r="O955" s="207"/>
      <c r="P955" s="207"/>
      <c r="Q955" s="207"/>
      <c r="R955" s="207"/>
      <c r="S955" s="207"/>
      <c r="T955" s="207"/>
      <c r="U955" s="207"/>
      <c r="V955" s="207"/>
      <c r="W955" s="207"/>
      <c r="X955" s="207"/>
      <c r="Y955" s="207"/>
      <c r="Z955" s="207"/>
    </row>
    <row r="956" spans="1:26" ht="15.75" customHeight="1">
      <c r="A956" s="207"/>
      <c r="B956" s="207"/>
      <c r="C956" s="207"/>
      <c r="D956" s="207"/>
      <c r="E956" s="207"/>
      <c r="F956" s="207"/>
      <c r="G956" s="207"/>
      <c r="H956" s="207"/>
      <c r="I956" s="207"/>
      <c r="J956" s="207"/>
      <c r="K956" s="207"/>
      <c r="L956" s="207"/>
      <c r="M956" s="207"/>
      <c r="N956" s="207"/>
      <c r="O956" s="207"/>
      <c r="P956" s="207"/>
      <c r="Q956" s="207"/>
      <c r="R956" s="207"/>
      <c r="S956" s="207"/>
      <c r="T956" s="207"/>
      <c r="U956" s="207"/>
      <c r="V956" s="207"/>
      <c r="W956" s="207"/>
      <c r="X956" s="207"/>
      <c r="Y956" s="207"/>
      <c r="Z956" s="207"/>
    </row>
    <row r="957" spans="1:26" ht="15.75" customHeight="1">
      <c r="A957" s="207"/>
      <c r="B957" s="207"/>
      <c r="C957" s="207"/>
      <c r="D957" s="207"/>
      <c r="E957" s="207"/>
      <c r="F957" s="207"/>
      <c r="G957" s="207"/>
      <c r="H957" s="207"/>
      <c r="I957" s="207"/>
      <c r="J957" s="207"/>
      <c r="K957" s="207"/>
      <c r="L957" s="207"/>
      <c r="M957" s="207"/>
      <c r="N957" s="207"/>
      <c r="O957" s="207"/>
      <c r="P957" s="207"/>
      <c r="Q957" s="207"/>
      <c r="R957" s="207"/>
      <c r="S957" s="207"/>
      <c r="T957" s="207"/>
      <c r="U957" s="207"/>
      <c r="V957" s="207"/>
      <c r="W957" s="207"/>
      <c r="X957" s="207"/>
      <c r="Y957" s="207"/>
      <c r="Z957" s="207"/>
    </row>
    <row r="958" spans="1:26" ht="15.75" customHeight="1">
      <c r="A958" s="207"/>
      <c r="B958" s="207"/>
      <c r="C958" s="207"/>
      <c r="D958" s="207"/>
      <c r="E958" s="207"/>
      <c r="F958" s="207"/>
      <c r="G958" s="207"/>
      <c r="H958" s="207"/>
      <c r="I958" s="207"/>
      <c r="J958" s="207"/>
      <c r="K958" s="207"/>
      <c r="L958" s="207"/>
      <c r="M958" s="207"/>
      <c r="N958" s="207"/>
      <c r="O958" s="207"/>
      <c r="P958" s="207"/>
      <c r="Q958" s="207"/>
      <c r="R958" s="207"/>
      <c r="S958" s="207"/>
      <c r="T958" s="207"/>
      <c r="U958" s="207"/>
      <c r="V958" s="207"/>
      <c r="W958" s="207"/>
      <c r="X958" s="207"/>
      <c r="Y958" s="207"/>
      <c r="Z958" s="207"/>
    </row>
    <row r="959" spans="1:26" ht="15.75" customHeight="1">
      <c r="A959" s="207"/>
      <c r="B959" s="207"/>
      <c r="C959" s="207"/>
      <c r="D959" s="207"/>
      <c r="E959" s="207"/>
      <c r="F959" s="207"/>
      <c r="G959" s="207"/>
      <c r="H959" s="207"/>
      <c r="I959" s="207"/>
      <c r="J959" s="207"/>
      <c r="K959" s="207"/>
      <c r="L959" s="207"/>
      <c r="M959" s="207"/>
      <c r="N959" s="207"/>
      <c r="O959" s="207"/>
      <c r="P959" s="207"/>
      <c r="Q959" s="207"/>
      <c r="R959" s="207"/>
      <c r="S959" s="207"/>
      <c r="T959" s="207"/>
      <c r="U959" s="207"/>
      <c r="V959" s="207"/>
      <c r="W959" s="207"/>
      <c r="X959" s="207"/>
      <c r="Y959" s="207"/>
      <c r="Z959" s="207"/>
    </row>
    <row r="960" spans="1:26" ht="15.75" customHeight="1">
      <c r="A960" s="207"/>
      <c r="B960" s="207"/>
      <c r="C960" s="207"/>
      <c r="D960" s="207"/>
      <c r="E960" s="207"/>
      <c r="F960" s="207"/>
      <c r="G960" s="207"/>
      <c r="H960" s="207"/>
      <c r="I960" s="207"/>
      <c r="J960" s="207"/>
      <c r="K960" s="207"/>
      <c r="L960" s="207"/>
      <c r="M960" s="207"/>
      <c r="N960" s="207"/>
      <c r="O960" s="207"/>
      <c r="P960" s="207"/>
      <c r="Q960" s="207"/>
      <c r="R960" s="207"/>
      <c r="S960" s="207"/>
      <c r="T960" s="207"/>
      <c r="U960" s="207"/>
      <c r="V960" s="207"/>
      <c r="W960" s="207"/>
      <c r="X960" s="207"/>
      <c r="Y960" s="207"/>
      <c r="Z960" s="207"/>
    </row>
    <row r="961" spans="1:26" ht="15.75" customHeight="1">
      <c r="A961" s="207"/>
      <c r="B961" s="207"/>
      <c r="C961" s="207"/>
      <c r="D961" s="207"/>
      <c r="E961" s="207"/>
      <c r="F961" s="207"/>
      <c r="G961" s="207"/>
      <c r="H961" s="207"/>
      <c r="I961" s="207"/>
      <c r="J961" s="207"/>
      <c r="K961" s="207"/>
      <c r="L961" s="207"/>
      <c r="M961" s="207"/>
      <c r="N961" s="207"/>
      <c r="O961" s="207"/>
      <c r="P961" s="207"/>
      <c r="Q961" s="207"/>
      <c r="R961" s="207"/>
      <c r="S961" s="207"/>
      <c r="T961" s="207"/>
      <c r="U961" s="207"/>
      <c r="V961" s="207"/>
      <c r="W961" s="207"/>
      <c r="X961" s="207"/>
      <c r="Y961" s="207"/>
      <c r="Z961" s="207"/>
    </row>
    <row r="962" spans="1:26" ht="15.75" customHeight="1">
      <c r="A962" s="207"/>
      <c r="B962" s="207"/>
      <c r="C962" s="207"/>
      <c r="D962" s="207"/>
      <c r="E962" s="207"/>
      <c r="F962" s="207"/>
      <c r="G962" s="207"/>
      <c r="H962" s="207"/>
      <c r="I962" s="207"/>
      <c r="J962" s="207"/>
      <c r="K962" s="207"/>
      <c r="L962" s="207"/>
      <c r="M962" s="207"/>
      <c r="N962" s="207"/>
      <c r="O962" s="207"/>
      <c r="P962" s="207"/>
      <c r="Q962" s="207"/>
      <c r="R962" s="207"/>
      <c r="S962" s="207"/>
      <c r="T962" s="207"/>
      <c r="U962" s="207"/>
      <c r="V962" s="207"/>
      <c r="W962" s="207"/>
      <c r="X962" s="207"/>
      <c r="Y962" s="207"/>
      <c r="Z962" s="207"/>
    </row>
    <row r="963" spans="1:26" ht="15.75" customHeight="1">
      <c r="A963" s="207"/>
      <c r="B963" s="207"/>
      <c r="C963" s="207"/>
      <c r="D963" s="207"/>
      <c r="E963" s="207"/>
      <c r="F963" s="207"/>
      <c r="G963" s="207"/>
      <c r="H963" s="207"/>
      <c r="I963" s="207"/>
      <c r="J963" s="207"/>
      <c r="K963" s="207"/>
      <c r="L963" s="207"/>
      <c r="M963" s="207"/>
      <c r="N963" s="207"/>
      <c r="O963" s="207"/>
      <c r="P963" s="207"/>
      <c r="Q963" s="207"/>
      <c r="R963" s="207"/>
      <c r="S963" s="207"/>
      <c r="T963" s="207"/>
      <c r="U963" s="207"/>
      <c r="V963" s="207"/>
      <c r="W963" s="207"/>
      <c r="X963" s="207"/>
      <c r="Y963" s="207"/>
      <c r="Z963" s="207"/>
    </row>
    <row r="964" spans="1:26" ht="15.75" customHeight="1">
      <c r="A964" s="207"/>
      <c r="B964" s="207"/>
      <c r="C964" s="207"/>
      <c r="D964" s="207"/>
      <c r="E964" s="207"/>
      <c r="F964" s="207"/>
      <c r="G964" s="207"/>
      <c r="H964" s="207"/>
      <c r="I964" s="207"/>
      <c r="J964" s="207"/>
      <c r="K964" s="207"/>
      <c r="L964" s="207"/>
      <c r="M964" s="207"/>
      <c r="N964" s="207"/>
      <c r="O964" s="207"/>
      <c r="P964" s="207"/>
      <c r="Q964" s="207"/>
      <c r="R964" s="207"/>
      <c r="S964" s="207"/>
      <c r="T964" s="207"/>
      <c r="U964" s="207"/>
      <c r="V964" s="207"/>
      <c r="W964" s="207"/>
      <c r="X964" s="207"/>
      <c r="Y964" s="207"/>
      <c r="Z964" s="207"/>
    </row>
    <row r="965" spans="1:26" ht="15.75" customHeight="1">
      <c r="A965" s="207"/>
      <c r="B965" s="207"/>
      <c r="C965" s="207"/>
      <c r="D965" s="207"/>
      <c r="E965" s="207"/>
      <c r="F965" s="207"/>
      <c r="G965" s="207"/>
      <c r="H965" s="207"/>
      <c r="I965" s="207"/>
      <c r="J965" s="207"/>
      <c r="K965" s="207"/>
      <c r="L965" s="207"/>
      <c r="M965" s="207"/>
      <c r="N965" s="207"/>
      <c r="O965" s="207"/>
      <c r="P965" s="207"/>
      <c r="Q965" s="207"/>
      <c r="R965" s="207"/>
      <c r="S965" s="207"/>
      <c r="T965" s="207"/>
      <c r="U965" s="207"/>
      <c r="V965" s="207"/>
      <c r="W965" s="207"/>
      <c r="X965" s="207"/>
      <c r="Y965" s="207"/>
      <c r="Z965" s="207"/>
    </row>
    <row r="966" spans="1:26" ht="15.75" customHeight="1">
      <c r="A966" s="207"/>
      <c r="B966" s="207"/>
      <c r="C966" s="207"/>
      <c r="D966" s="207"/>
      <c r="E966" s="207"/>
      <c r="F966" s="207"/>
      <c r="G966" s="207"/>
      <c r="H966" s="207"/>
      <c r="I966" s="207"/>
      <c r="J966" s="207"/>
      <c r="K966" s="207"/>
      <c r="L966" s="207"/>
      <c r="M966" s="207"/>
      <c r="N966" s="207"/>
      <c r="O966" s="207"/>
      <c r="P966" s="207"/>
      <c r="Q966" s="207"/>
      <c r="R966" s="207"/>
      <c r="S966" s="207"/>
      <c r="T966" s="207"/>
      <c r="U966" s="207"/>
      <c r="V966" s="207"/>
      <c r="W966" s="207"/>
      <c r="X966" s="207"/>
      <c r="Y966" s="207"/>
      <c r="Z966" s="207"/>
    </row>
    <row r="967" spans="1:26" ht="15.75" customHeight="1">
      <c r="A967" s="207"/>
      <c r="B967" s="207"/>
      <c r="C967" s="207"/>
      <c r="D967" s="207"/>
      <c r="E967" s="207"/>
      <c r="F967" s="207"/>
      <c r="G967" s="207"/>
      <c r="H967" s="207"/>
      <c r="I967" s="207"/>
      <c r="J967" s="207"/>
      <c r="K967" s="207"/>
      <c r="L967" s="207"/>
      <c r="M967" s="207"/>
      <c r="N967" s="207"/>
      <c r="O967" s="207"/>
      <c r="P967" s="207"/>
      <c r="Q967" s="207"/>
      <c r="R967" s="207"/>
      <c r="S967" s="207"/>
      <c r="T967" s="207"/>
      <c r="U967" s="207"/>
      <c r="V967" s="207"/>
      <c r="W967" s="207"/>
      <c r="X967" s="207"/>
      <c r="Y967" s="207"/>
      <c r="Z967" s="207"/>
    </row>
    <row r="968" spans="1:26" ht="15.75" customHeight="1">
      <c r="A968" s="207"/>
      <c r="B968" s="207"/>
      <c r="C968" s="207"/>
      <c r="D968" s="207"/>
      <c r="E968" s="207"/>
      <c r="F968" s="207"/>
      <c r="G968" s="207"/>
      <c r="H968" s="207"/>
      <c r="I968" s="207"/>
      <c r="J968" s="207"/>
      <c r="K968" s="207"/>
      <c r="L968" s="207"/>
      <c r="M968" s="207"/>
      <c r="N968" s="207"/>
      <c r="O968" s="207"/>
      <c r="P968" s="207"/>
      <c r="Q968" s="207"/>
      <c r="R968" s="207"/>
      <c r="S968" s="207"/>
      <c r="T968" s="207"/>
      <c r="U968" s="207"/>
      <c r="V968" s="207"/>
      <c r="W968" s="207"/>
      <c r="X968" s="207"/>
      <c r="Y968" s="207"/>
      <c r="Z968" s="207"/>
    </row>
    <row r="969" spans="1:26" ht="15.75" customHeight="1">
      <c r="A969" s="207"/>
      <c r="B969" s="207"/>
      <c r="C969" s="207"/>
      <c r="D969" s="207"/>
      <c r="E969" s="207"/>
      <c r="F969" s="207"/>
      <c r="G969" s="207"/>
      <c r="H969" s="207"/>
      <c r="I969" s="207"/>
      <c r="J969" s="207"/>
      <c r="K969" s="207"/>
      <c r="L969" s="207"/>
      <c r="M969" s="207"/>
      <c r="N969" s="207"/>
      <c r="O969" s="207"/>
      <c r="P969" s="207"/>
      <c r="Q969" s="207"/>
      <c r="R969" s="207"/>
      <c r="S969" s="207"/>
      <c r="T969" s="207"/>
      <c r="U969" s="207"/>
      <c r="V969" s="207"/>
      <c r="W969" s="207"/>
      <c r="X969" s="207"/>
      <c r="Y969" s="207"/>
      <c r="Z969" s="207"/>
    </row>
    <row r="970" spans="1:26" ht="15.75" customHeight="1">
      <c r="A970" s="207"/>
      <c r="B970" s="207"/>
      <c r="C970" s="207"/>
      <c r="D970" s="207"/>
      <c r="E970" s="207"/>
      <c r="F970" s="207"/>
      <c r="G970" s="207"/>
      <c r="H970" s="207"/>
      <c r="I970" s="207"/>
      <c r="J970" s="207"/>
      <c r="K970" s="207"/>
      <c r="L970" s="207"/>
      <c r="M970" s="207"/>
      <c r="N970" s="207"/>
      <c r="O970" s="207"/>
      <c r="P970" s="207"/>
      <c r="Q970" s="207"/>
      <c r="R970" s="207"/>
      <c r="S970" s="207"/>
      <c r="T970" s="207"/>
      <c r="U970" s="207"/>
      <c r="V970" s="207"/>
      <c r="W970" s="207"/>
      <c r="X970" s="207"/>
      <c r="Y970" s="207"/>
      <c r="Z970" s="207"/>
    </row>
    <row r="971" spans="1:26" ht="15.75" customHeight="1">
      <c r="A971" s="207"/>
      <c r="B971" s="207"/>
      <c r="C971" s="207"/>
      <c r="D971" s="207"/>
      <c r="E971" s="207"/>
      <c r="F971" s="207"/>
      <c r="G971" s="207"/>
      <c r="H971" s="207"/>
      <c r="I971" s="207"/>
      <c r="J971" s="207"/>
      <c r="K971" s="207"/>
      <c r="L971" s="207"/>
      <c r="M971" s="207"/>
      <c r="N971" s="207"/>
      <c r="O971" s="207"/>
      <c r="P971" s="207"/>
      <c r="Q971" s="207"/>
      <c r="R971" s="207"/>
      <c r="S971" s="207"/>
      <c r="T971" s="207"/>
      <c r="U971" s="207"/>
      <c r="V971" s="207"/>
      <c r="W971" s="207"/>
      <c r="X971" s="207"/>
      <c r="Y971" s="207"/>
      <c r="Z971" s="207"/>
    </row>
    <row r="972" spans="1:26" ht="15.75" customHeight="1">
      <c r="A972" s="207"/>
      <c r="B972" s="207"/>
      <c r="C972" s="207"/>
      <c r="D972" s="207"/>
      <c r="E972" s="207"/>
      <c r="F972" s="207"/>
      <c r="G972" s="207"/>
      <c r="H972" s="207"/>
      <c r="I972" s="207"/>
      <c r="J972" s="207"/>
      <c r="K972" s="207"/>
      <c r="L972" s="207"/>
      <c r="M972" s="207"/>
      <c r="N972" s="207"/>
      <c r="O972" s="207"/>
      <c r="P972" s="207"/>
      <c r="Q972" s="207"/>
      <c r="R972" s="207"/>
      <c r="S972" s="207"/>
      <c r="T972" s="207"/>
      <c r="U972" s="207"/>
      <c r="V972" s="207"/>
      <c r="W972" s="207"/>
      <c r="X972" s="207"/>
      <c r="Y972" s="207"/>
      <c r="Z972" s="207"/>
    </row>
    <row r="973" spans="1:26" ht="15.75" customHeight="1">
      <c r="A973" s="207"/>
      <c r="B973" s="207"/>
      <c r="C973" s="207"/>
      <c r="D973" s="207"/>
      <c r="E973" s="207"/>
      <c r="F973" s="207"/>
      <c r="G973" s="207"/>
      <c r="H973" s="207"/>
      <c r="I973" s="207"/>
      <c r="J973" s="207"/>
      <c r="K973" s="207"/>
      <c r="L973" s="207"/>
      <c r="M973" s="207"/>
      <c r="N973" s="207"/>
      <c r="O973" s="207"/>
      <c r="P973" s="207"/>
      <c r="Q973" s="207"/>
      <c r="R973" s="207"/>
      <c r="S973" s="207"/>
      <c r="T973" s="207"/>
      <c r="U973" s="207"/>
      <c r="V973" s="207"/>
      <c r="W973" s="207"/>
      <c r="X973" s="207"/>
      <c r="Y973" s="207"/>
      <c r="Z973" s="207"/>
    </row>
    <row r="974" spans="1:26" ht="15.75" customHeight="1">
      <c r="A974" s="207"/>
      <c r="B974" s="207"/>
      <c r="C974" s="207"/>
      <c r="D974" s="207"/>
      <c r="E974" s="207"/>
      <c r="F974" s="207"/>
      <c r="G974" s="207"/>
      <c r="H974" s="207"/>
      <c r="I974" s="207"/>
      <c r="J974" s="207"/>
      <c r="K974" s="207"/>
      <c r="L974" s="207"/>
      <c r="M974" s="207"/>
      <c r="N974" s="207"/>
      <c r="O974" s="207"/>
      <c r="P974" s="207"/>
      <c r="Q974" s="207"/>
      <c r="R974" s="207"/>
      <c r="S974" s="207"/>
      <c r="T974" s="207"/>
      <c r="U974" s="207"/>
      <c r="V974" s="207"/>
      <c r="W974" s="207"/>
      <c r="X974" s="207"/>
      <c r="Y974" s="207"/>
      <c r="Z974" s="207"/>
    </row>
    <row r="975" spans="1:26" ht="15.75" customHeight="1">
      <c r="A975" s="207"/>
      <c r="B975" s="207"/>
      <c r="C975" s="207"/>
      <c r="D975" s="207"/>
      <c r="E975" s="207"/>
      <c r="F975" s="207"/>
      <c r="G975" s="207"/>
      <c r="H975" s="207"/>
      <c r="I975" s="207"/>
      <c r="J975" s="207"/>
      <c r="K975" s="207"/>
      <c r="L975" s="207"/>
      <c r="M975" s="207"/>
      <c r="N975" s="207"/>
      <c r="O975" s="207"/>
      <c r="P975" s="207"/>
      <c r="Q975" s="207"/>
      <c r="R975" s="207"/>
      <c r="S975" s="207"/>
      <c r="T975" s="207"/>
      <c r="U975" s="207"/>
      <c r="V975" s="207"/>
      <c r="W975" s="207"/>
      <c r="X975" s="207"/>
      <c r="Y975" s="207"/>
      <c r="Z975" s="207"/>
    </row>
    <row r="976" spans="1:26" ht="15.75" customHeight="1">
      <c r="A976" s="207"/>
      <c r="B976" s="207"/>
      <c r="C976" s="207"/>
      <c r="D976" s="207"/>
      <c r="E976" s="207"/>
      <c r="F976" s="207"/>
      <c r="G976" s="207"/>
      <c r="H976" s="207"/>
      <c r="I976" s="207"/>
      <c r="J976" s="207"/>
      <c r="K976" s="207"/>
      <c r="L976" s="207"/>
      <c r="M976" s="207"/>
      <c r="N976" s="207"/>
      <c r="O976" s="207"/>
      <c r="P976" s="207"/>
      <c r="Q976" s="207"/>
      <c r="R976" s="207"/>
      <c r="S976" s="207"/>
      <c r="T976" s="207"/>
      <c r="U976" s="207"/>
      <c r="V976" s="207"/>
      <c r="W976" s="207"/>
      <c r="X976" s="207"/>
      <c r="Y976" s="207"/>
      <c r="Z976" s="207"/>
    </row>
    <row r="977" spans="1:26" ht="15.75" customHeight="1">
      <c r="A977" s="207"/>
      <c r="B977" s="207"/>
      <c r="C977" s="207"/>
      <c r="D977" s="207"/>
      <c r="E977" s="207"/>
      <c r="F977" s="207"/>
      <c r="G977" s="207"/>
      <c r="H977" s="207"/>
      <c r="I977" s="207"/>
      <c r="J977" s="207"/>
      <c r="K977" s="207"/>
      <c r="L977" s="207"/>
      <c r="M977" s="207"/>
      <c r="N977" s="207"/>
      <c r="O977" s="207"/>
      <c r="P977" s="207"/>
      <c r="Q977" s="207"/>
      <c r="R977" s="207"/>
      <c r="S977" s="207"/>
      <c r="T977" s="207"/>
      <c r="U977" s="207"/>
      <c r="V977" s="207"/>
      <c r="W977" s="207"/>
      <c r="X977" s="207"/>
      <c r="Y977" s="207"/>
      <c r="Z977" s="207"/>
    </row>
    <row r="978" spans="1:26" ht="15.75" customHeight="1">
      <c r="A978" s="207"/>
      <c r="B978" s="207"/>
      <c r="C978" s="207"/>
      <c r="D978" s="207"/>
      <c r="E978" s="207"/>
      <c r="F978" s="207"/>
      <c r="G978" s="207"/>
      <c r="H978" s="207"/>
      <c r="I978" s="207"/>
      <c r="J978" s="207"/>
      <c r="K978" s="207"/>
      <c r="L978" s="207"/>
      <c r="M978" s="207"/>
      <c r="N978" s="207"/>
      <c r="O978" s="207"/>
      <c r="P978" s="207"/>
      <c r="Q978" s="207"/>
      <c r="R978" s="207"/>
      <c r="S978" s="207"/>
      <c r="T978" s="207"/>
      <c r="U978" s="207"/>
      <c r="V978" s="207"/>
      <c r="W978" s="207"/>
      <c r="X978" s="207"/>
      <c r="Y978" s="207"/>
      <c r="Z978" s="207"/>
    </row>
    <row r="979" spans="1:26" ht="15.75" customHeight="1">
      <c r="A979" s="207"/>
      <c r="B979" s="207"/>
      <c r="C979" s="207"/>
      <c r="D979" s="207"/>
      <c r="E979" s="207"/>
      <c r="F979" s="207"/>
      <c r="G979" s="207"/>
      <c r="H979" s="207"/>
      <c r="I979" s="207"/>
      <c r="J979" s="207"/>
      <c r="K979" s="207"/>
      <c r="L979" s="207"/>
      <c r="M979" s="207"/>
      <c r="N979" s="207"/>
      <c r="O979" s="207"/>
      <c r="P979" s="207"/>
      <c r="Q979" s="207"/>
      <c r="R979" s="207"/>
      <c r="S979" s="207"/>
      <c r="T979" s="207"/>
      <c r="U979" s="207"/>
      <c r="V979" s="207"/>
      <c r="W979" s="207"/>
      <c r="X979" s="207"/>
      <c r="Y979" s="207"/>
      <c r="Z979" s="207"/>
    </row>
    <row r="980" spans="1:26" ht="15.75" customHeight="1">
      <c r="A980" s="207"/>
      <c r="B980" s="207"/>
      <c r="C980" s="207"/>
      <c r="D980" s="207"/>
      <c r="E980" s="207"/>
      <c r="F980" s="207"/>
      <c r="G980" s="207"/>
      <c r="H980" s="207"/>
      <c r="I980" s="207"/>
      <c r="J980" s="207"/>
      <c r="K980" s="207"/>
      <c r="L980" s="207"/>
      <c r="M980" s="207"/>
      <c r="N980" s="207"/>
      <c r="O980" s="207"/>
      <c r="P980" s="207"/>
      <c r="Q980" s="207"/>
      <c r="R980" s="207"/>
      <c r="S980" s="207"/>
      <c r="T980" s="207"/>
      <c r="U980" s="207"/>
      <c r="V980" s="207"/>
      <c r="W980" s="207"/>
      <c r="X980" s="207"/>
      <c r="Y980" s="207"/>
      <c r="Z980" s="207"/>
    </row>
    <row r="981" spans="1:26" ht="15.75" customHeight="1">
      <c r="A981" s="207"/>
      <c r="B981" s="207"/>
      <c r="C981" s="207"/>
      <c r="D981" s="207"/>
      <c r="E981" s="207"/>
      <c r="F981" s="207"/>
      <c r="G981" s="207"/>
      <c r="H981" s="207"/>
      <c r="I981" s="207"/>
      <c r="J981" s="207"/>
      <c r="K981" s="207"/>
      <c r="L981" s="207"/>
      <c r="M981" s="207"/>
      <c r="N981" s="207"/>
      <c r="O981" s="207"/>
      <c r="P981" s="207"/>
      <c r="Q981" s="207"/>
      <c r="R981" s="207"/>
      <c r="S981" s="207"/>
      <c r="T981" s="207"/>
      <c r="U981" s="207"/>
      <c r="V981" s="207"/>
      <c r="W981" s="207"/>
      <c r="X981" s="207"/>
      <c r="Y981" s="207"/>
      <c r="Z981" s="207"/>
    </row>
    <row r="982" spans="1:26" ht="15.75" customHeight="1">
      <c r="A982" s="207"/>
      <c r="B982" s="207"/>
      <c r="C982" s="207"/>
      <c r="D982" s="207"/>
      <c r="E982" s="207"/>
      <c r="F982" s="207"/>
      <c r="G982" s="207"/>
      <c r="H982" s="207"/>
      <c r="I982" s="207"/>
      <c r="J982" s="207"/>
      <c r="K982" s="207"/>
      <c r="L982" s="207"/>
      <c r="M982" s="207"/>
      <c r="N982" s="207"/>
      <c r="O982" s="207"/>
      <c r="P982" s="207"/>
      <c r="Q982" s="207"/>
      <c r="R982" s="207"/>
      <c r="S982" s="207"/>
      <c r="T982" s="207"/>
      <c r="U982" s="207"/>
      <c r="V982" s="207"/>
      <c r="W982" s="207"/>
      <c r="X982" s="207"/>
      <c r="Y982" s="207"/>
      <c r="Z982" s="207"/>
    </row>
    <row r="983" spans="1:26" ht="15.75" customHeight="1">
      <c r="A983" s="207"/>
      <c r="B983" s="207"/>
      <c r="C983" s="207"/>
      <c r="D983" s="207"/>
      <c r="E983" s="207"/>
      <c r="F983" s="207"/>
      <c r="G983" s="207"/>
      <c r="H983" s="207"/>
      <c r="I983" s="207"/>
      <c r="J983" s="207"/>
      <c r="K983" s="207"/>
      <c r="L983" s="207"/>
      <c r="M983" s="207"/>
      <c r="N983" s="207"/>
      <c r="O983" s="207"/>
      <c r="P983" s="207"/>
      <c r="Q983" s="207"/>
      <c r="R983" s="207"/>
      <c r="S983" s="207"/>
      <c r="T983" s="207"/>
      <c r="U983" s="207"/>
      <c r="V983" s="207"/>
      <c r="W983" s="207"/>
      <c r="X983" s="207"/>
      <c r="Y983" s="207"/>
      <c r="Z983" s="207"/>
    </row>
    <row r="984" spans="1:26" ht="15.75" customHeight="1">
      <c r="A984" s="207"/>
      <c r="B984" s="207"/>
      <c r="C984" s="207"/>
      <c r="D984" s="207"/>
      <c r="E984" s="207"/>
      <c r="F984" s="207"/>
      <c r="G984" s="207"/>
      <c r="H984" s="207"/>
      <c r="I984" s="207"/>
      <c r="J984" s="207"/>
      <c r="K984" s="207"/>
      <c r="L984" s="207"/>
      <c r="M984" s="207"/>
      <c r="N984" s="207"/>
      <c r="O984" s="207"/>
      <c r="P984" s="207"/>
      <c r="Q984" s="207"/>
      <c r="R984" s="207"/>
      <c r="S984" s="207"/>
      <c r="T984" s="207"/>
      <c r="U984" s="207"/>
      <c r="V984" s="207"/>
      <c r="W984" s="207"/>
      <c r="X984" s="207"/>
      <c r="Y984" s="207"/>
      <c r="Z984" s="207"/>
    </row>
    <row r="985" spans="1:26" ht="15.75" customHeight="1">
      <c r="A985" s="207"/>
      <c r="B985" s="207"/>
      <c r="C985" s="207"/>
      <c r="D985" s="207"/>
      <c r="E985" s="207"/>
      <c r="F985" s="207"/>
      <c r="G985" s="207"/>
      <c r="H985" s="207"/>
      <c r="I985" s="207"/>
      <c r="J985" s="207"/>
      <c r="K985" s="207"/>
      <c r="L985" s="207"/>
      <c r="M985" s="207"/>
      <c r="N985" s="207"/>
      <c r="O985" s="207"/>
      <c r="P985" s="207"/>
      <c r="Q985" s="207"/>
      <c r="R985" s="207"/>
      <c r="S985" s="207"/>
      <c r="T985" s="207"/>
      <c r="U985" s="207"/>
      <c r="V985" s="207"/>
      <c r="W985" s="207"/>
      <c r="X985" s="207"/>
      <c r="Y985" s="207"/>
      <c r="Z985" s="207"/>
    </row>
    <row r="986" spans="1:26" ht="15.75" customHeight="1">
      <c r="A986" s="207"/>
      <c r="B986" s="207"/>
      <c r="C986" s="207"/>
      <c r="D986" s="207"/>
      <c r="E986" s="207"/>
      <c r="F986" s="207"/>
      <c r="G986" s="207"/>
      <c r="H986" s="207"/>
      <c r="I986" s="207"/>
      <c r="J986" s="207"/>
      <c r="K986" s="207"/>
      <c r="L986" s="207"/>
      <c r="M986" s="207"/>
      <c r="N986" s="207"/>
      <c r="O986" s="207"/>
      <c r="P986" s="207"/>
      <c r="Q986" s="207"/>
      <c r="R986" s="207"/>
      <c r="S986" s="207"/>
      <c r="T986" s="207"/>
      <c r="U986" s="207"/>
      <c r="V986" s="207"/>
      <c r="W986" s="207"/>
      <c r="X986" s="207"/>
      <c r="Y986" s="207"/>
      <c r="Z986" s="207"/>
    </row>
    <row r="987" spans="1:26" ht="15.75" customHeight="1">
      <c r="A987" s="207"/>
      <c r="B987" s="207"/>
      <c r="C987" s="207"/>
      <c r="D987" s="207"/>
      <c r="E987" s="207"/>
      <c r="F987" s="207"/>
      <c r="G987" s="207"/>
      <c r="H987" s="207"/>
      <c r="I987" s="207"/>
      <c r="J987" s="207"/>
      <c r="K987" s="207"/>
      <c r="L987" s="207"/>
      <c r="M987" s="207"/>
      <c r="N987" s="207"/>
      <c r="O987" s="207"/>
      <c r="P987" s="207"/>
      <c r="Q987" s="207"/>
      <c r="R987" s="207"/>
      <c r="S987" s="207"/>
      <c r="T987" s="207"/>
      <c r="U987" s="207"/>
      <c r="V987" s="207"/>
      <c r="W987" s="207"/>
      <c r="X987" s="207"/>
      <c r="Y987" s="207"/>
      <c r="Z987" s="207"/>
    </row>
    <row r="988" spans="1:26" ht="15.75" customHeight="1">
      <c r="A988" s="207"/>
      <c r="B988" s="207"/>
      <c r="C988" s="207"/>
      <c r="D988" s="207"/>
      <c r="E988" s="207"/>
      <c r="F988" s="207"/>
      <c r="G988" s="207"/>
      <c r="H988" s="207"/>
      <c r="I988" s="207"/>
      <c r="J988" s="207"/>
      <c r="K988" s="207"/>
      <c r="L988" s="207"/>
      <c r="M988" s="207"/>
      <c r="N988" s="207"/>
      <c r="O988" s="207"/>
      <c r="P988" s="207"/>
      <c r="Q988" s="207"/>
      <c r="R988" s="207"/>
      <c r="S988" s="207"/>
      <c r="T988" s="207"/>
      <c r="U988" s="207"/>
      <c r="V988" s="207"/>
      <c r="W988" s="207"/>
      <c r="X988" s="207"/>
      <c r="Y988" s="207"/>
      <c r="Z988" s="207"/>
    </row>
    <row r="989" spans="1:26" ht="15.75" customHeight="1">
      <c r="A989" s="207"/>
      <c r="B989" s="207"/>
      <c r="C989" s="207"/>
      <c r="D989" s="207"/>
      <c r="E989" s="207"/>
      <c r="F989" s="207"/>
      <c r="G989" s="207"/>
      <c r="H989" s="207"/>
      <c r="I989" s="207"/>
      <c r="J989" s="207"/>
      <c r="K989" s="207"/>
      <c r="L989" s="207"/>
      <c r="M989" s="207"/>
      <c r="N989" s="207"/>
      <c r="O989" s="207"/>
      <c r="P989" s="207"/>
      <c r="Q989" s="207"/>
      <c r="R989" s="207"/>
      <c r="S989" s="207"/>
      <c r="T989" s="207"/>
      <c r="U989" s="207"/>
      <c r="V989" s="207"/>
      <c r="W989" s="207"/>
      <c r="X989" s="207"/>
      <c r="Y989" s="207"/>
      <c r="Z989" s="207"/>
    </row>
    <row r="990" spans="1:26" ht="15.75" customHeight="1">
      <c r="A990" s="207"/>
      <c r="B990" s="207"/>
      <c r="C990" s="207"/>
      <c r="D990" s="207"/>
      <c r="E990" s="207"/>
      <c r="F990" s="207"/>
      <c r="G990" s="207"/>
      <c r="H990" s="207"/>
      <c r="I990" s="207"/>
      <c r="J990" s="207"/>
      <c r="K990" s="207"/>
      <c r="L990" s="207"/>
      <c r="M990" s="207"/>
      <c r="N990" s="207"/>
      <c r="O990" s="207"/>
      <c r="P990" s="207"/>
      <c r="Q990" s="207"/>
      <c r="R990" s="207"/>
      <c r="S990" s="207"/>
      <c r="T990" s="207"/>
      <c r="U990" s="207"/>
      <c r="V990" s="207"/>
      <c r="W990" s="207"/>
      <c r="X990" s="207"/>
      <c r="Y990" s="207"/>
      <c r="Z990" s="207"/>
    </row>
    <row r="991" spans="1:26" ht="15.75" customHeight="1">
      <c r="A991" s="207"/>
      <c r="B991" s="207"/>
      <c r="C991" s="207"/>
      <c r="D991" s="207"/>
      <c r="E991" s="207"/>
      <c r="F991" s="207"/>
      <c r="G991" s="207"/>
      <c r="H991" s="207"/>
      <c r="I991" s="207"/>
      <c r="J991" s="207"/>
      <c r="K991" s="207"/>
      <c r="L991" s="207"/>
      <c r="M991" s="207"/>
      <c r="N991" s="207"/>
      <c r="O991" s="207"/>
      <c r="P991" s="207"/>
      <c r="Q991" s="207"/>
      <c r="R991" s="207"/>
      <c r="S991" s="207"/>
      <c r="T991" s="207"/>
      <c r="U991" s="207"/>
      <c r="V991" s="207"/>
      <c r="W991" s="207"/>
      <c r="X991" s="207"/>
      <c r="Y991" s="207"/>
      <c r="Z991" s="207"/>
    </row>
    <row r="992" spans="1:26" ht="15.75" customHeight="1">
      <c r="A992" s="207"/>
      <c r="B992" s="207"/>
      <c r="C992" s="207"/>
      <c r="D992" s="207"/>
      <c r="E992" s="207"/>
      <c r="F992" s="207"/>
      <c r="G992" s="207"/>
      <c r="H992" s="207"/>
      <c r="I992" s="207"/>
      <c r="J992" s="207"/>
      <c r="K992" s="207"/>
      <c r="L992" s="207"/>
      <c r="M992" s="207"/>
      <c r="N992" s="207"/>
      <c r="O992" s="207"/>
      <c r="P992" s="207"/>
      <c r="Q992" s="207"/>
      <c r="R992" s="207"/>
      <c r="S992" s="207"/>
      <c r="T992" s="207"/>
      <c r="U992" s="207"/>
      <c r="V992" s="207"/>
      <c r="W992" s="207"/>
      <c r="X992" s="207"/>
      <c r="Y992" s="207"/>
      <c r="Z992" s="207"/>
    </row>
    <row r="993" spans="1:26" ht="15.75" customHeight="1">
      <c r="A993" s="207"/>
      <c r="B993" s="207"/>
      <c r="C993" s="207"/>
      <c r="D993" s="207"/>
      <c r="E993" s="207"/>
      <c r="F993" s="207"/>
      <c r="G993" s="207"/>
      <c r="H993" s="207"/>
      <c r="I993" s="207"/>
      <c r="J993" s="207"/>
      <c r="K993" s="207"/>
      <c r="L993" s="207"/>
      <c r="M993" s="207"/>
      <c r="N993" s="207"/>
      <c r="O993" s="207"/>
      <c r="P993" s="207"/>
      <c r="Q993" s="207"/>
      <c r="R993" s="207"/>
      <c r="S993" s="207"/>
      <c r="T993" s="207"/>
      <c r="U993" s="207"/>
      <c r="V993" s="207"/>
      <c r="W993" s="207"/>
      <c r="X993" s="207"/>
      <c r="Y993" s="207"/>
      <c r="Z993" s="207"/>
    </row>
    <row r="994" spans="1:26" ht="15.75" customHeight="1">
      <c r="A994" s="207"/>
      <c r="B994" s="207"/>
      <c r="C994" s="207"/>
      <c r="D994" s="207"/>
      <c r="E994" s="207"/>
      <c r="F994" s="207"/>
      <c r="G994" s="207"/>
      <c r="H994" s="207"/>
      <c r="I994" s="207"/>
      <c r="J994" s="207"/>
      <c r="K994" s="207"/>
      <c r="L994" s="207"/>
      <c r="M994" s="207"/>
      <c r="N994" s="207"/>
      <c r="O994" s="207"/>
      <c r="P994" s="207"/>
      <c r="Q994" s="207"/>
      <c r="R994" s="207"/>
      <c r="S994" s="207"/>
      <c r="T994" s="207"/>
      <c r="U994" s="207"/>
      <c r="V994" s="207"/>
      <c r="W994" s="207"/>
      <c r="X994" s="207"/>
      <c r="Y994" s="207"/>
      <c r="Z994" s="207"/>
    </row>
    <row r="995" spans="1:26" ht="15.75" customHeight="1">
      <c r="A995" s="207"/>
      <c r="B995" s="207"/>
      <c r="C995" s="207"/>
      <c r="D995" s="207"/>
      <c r="E995" s="207"/>
      <c r="F995" s="207"/>
      <c r="G995" s="207"/>
      <c r="H995" s="207"/>
      <c r="I995" s="207"/>
      <c r="J995" s="207"/>
      <c r="K995" s="207"/>
      <c r="L995" s="207"/>
      <c r="M995" s="207"/>
      <c r="N995" s="207"/>
      <c r="O995" s="207"/>
      <c r="P995" s="207"/>
      <c r="Q995" s="207"/>
      <c r="R995" s="207"/>
      <c r="S995" s="207"/>
      <c r="T995" s="207"/>
      <c r="U995" s="207"/>
      <c r="V995" s="207"/>
      <c r="W995" s="207"/>
      <c r="X995" s="207"/>
      <c r="Y995" s="207"/>
      <c r="Z995" s="207"/>
    </row>
    <row r="996" spans="1:26" ht="15.75" customHeight="1">
      <c r="A996" s="207"/>
      <c r="B996" s="207"/>
      <c r="C996" s="207"/>
      <c r="D996" s="207"/>
      <c r="E996" s="207"/>
      <c r="F996" s="207"/>
      <c r="G996" s="207"/>
      <c r="H996" s="207"/>
      <c r="I996" s="207"/>
      <c r="J996" s="207"/>
      <c r="K996" s="207"/>
      <c r="L996" s="207"/>
      <c r="M996" s="207"/>
      <c r="N996" s="207"/>
      <c r="O996" s="207"/>
      <c r="P996" s="207"/>
      <c r="Q996" s="207"/>
      <c r="R996" s="207"/>
      <c r="S996" s="207"/>
      <c r="T996" s="207"/>
      <c r="U996" s="207"/>
      <c r="V996" s="207"/>
      <c r="W996" s="207"/>
      <c r="X996" s="207"/>
      <c r="Y996" s="207"/>
      <c r="Z996" s="207"/>
    </row>
    <row r="997" spans="1:26" ht="15.75" customHeight="1">
      <c r="A997" s="207"/>
      <c r="B997" s="207"/>
      <c r="C997" s="207"/>
      <c r="D997" s="207"/>
      <c r="E997" s="207"/>
      <c r="F997" s="207"/>
      <c r="G997" s="207"/>
      <c r="H997" s="207"/>
      <c r="I997" s="207"/>
      <c r="J997" s="207"/>
      <c r="K997" s="207"/>
      <c r="L997" s="207"/>
      <c r="M997" s="207"/>
      <c r="N997" s="207"/>
      <c r="O997" s="207"/>
      <c r="P997" s="207"/>
      <c r="Q997" s="207"/>
      <c r="R997" s="207"/>
      <c r="S997" s="207"/>
      <c r="T997" s="207"/>
      <c r="U997" s="207"/>
      <c r="V997" s="207"/>
      <c r="W997" s="207"/>
      <c r="X997" s="207"/>
      <c r="Y997" s="207"/>
      <c r="Z997" s="207"/>
    </row>
    <row r="998" spans="1:26" ht="15.75" customHeight="1">
      <c r="A998" s="207"/>
      <c r="B998" s="207"/>
      <c r="C998" s="207"/>
      <c r="D998" s="207"/>
      <c r="E998" s="207"/>
      <c r="F998" s="207"/>
      <c r="G998" s="207"/>
      <c r="H998" s="207"/>
      <c r="I998" s="207"/>
      <c r="J998" s="207"/>
      <c r="K998" s="207"/>
      <c r="L998" s="207"/>
      <c r="M998" s="207"/>
      <c r="N998" s="207"/>
      <c r="O998" s="207"/>
      <c r="P998" s="207"/>
      <c r="Q998" s="207"/>
      <c r="R998" s="207"/>
      <c r="S998" s="207"/>
      <c r="T998" s="207"/>
      <c r="U998" s="207"/>
      <c r="V998" s="207"/>
      <c r="W998" s="207"/>
      <c r="X998" s="207"/>
      <c r="Y998" s="207"/>
      <c r="Z998" s="207"/>
    </row>
    <row r="999" spans="1:26" ht="15.75" customHeight="1">
      <c r="A999" s="207"/>
      <c r="B999" s="207"/>
      <c r="C999" s="207"/>
      <c r="D999" s="207"/>
      <c r="E999" s="207"/>
      <c r="F999" s="207"/>
      <c r="G999" s="207"/>
      <c r="H999" s="207"/>
      <c r="I999" s="207"/>
      <c r="J999" s="207"/>
      <c r="K999" s="207"/>
      <c r="L999" s="207"/>
      <c r="M999" s="207"/>
      <c r="N999" s="207"/>
      <c r="O999" s="207"/>
      <c r="P999" s="207"/>
      <c r="Q999" s="207"/>
      <c r="R999" s="207"/>
      <c r="S999" s="207"/>
      <c r="T999" s="207"/>
      <c r="U999" s="207"/>
      <c r="V999" s="207"/>
      <c r="W999" s="207"/>
      <c r="X999" s="207"/>
      <c r="Y999" s="207"/>
      <c r="Z999" s="207"/>
    </row>
    <row r="1000" spans="1:26" ht="15.75" customHeight="1">
      <c r="A1000" s="207"/>
      <c r="B1000" s="207"/>
      <c r="C1000" s="207"/>
      <c r="D1000" s="207"/>
      <c r="E1000" s="207"/>
      <c r="F1000" s="207"/>
      <c r="G1000" s="207"/>
      <c r="H1000" s="207"/>
      <c r="I1000" s="207"/>
      <c r="J1000" s="207"/>
      <c r="K1000" s="207"/>
      <c r="L1000" s="207"/>
      <c r="M1000" s="207"/>
      <c r="N1000" s="207"/>
      <c r="O1000" s="207"/>
      <c r="P1000" s="207"/>
      <c r="Q1000" s="207"/>
      <c r="R1000" s="207"/>
      <c r="S1000" s="207"/>
      <c r="T1000" s="207"/>
      <c r="U1000" s="207"/>
      <c r="V1000" s="207"/>
      <c r="W1000" s="207"/>
      <c r="X1000" s="207"/>
      <c r="Y1000" s="207"/>
      <c r="Z1000" s="20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7E7F0"/>
  </sheetPr>
  <dimension ref="A1:Z1002"/>
  <sheetViews>
    <sheetView showGridLines="0" workbookViewId="0">
      <selection activeCell="G28" sqref="G28"/>
    </sheetView>
  </sheetViews>
  <sheetFormatPr baseColWidth="10" defaultColWidth="14.42578125" defaultRowHeight="15"/>
  <cols>
    <col min="1" max="1" width="2.140625" customWidth="1"/>
    <col min="2" max="2" width="11.7109375" bestFit="1" customWidth="1"/>
    <col min="3" max="8" width="12.7109375" customWidth="1"/>
    <col min="9" max="9" width="10.140625" customWidth="1"/>
    <col min="10" max="10" width="11.7109375" bestFit="1" customWidth="1"/>
    <col min="11" max="14" width="12.7109375" customWidth="1"/>
    <col min="15" max="15" width="12" customWidth="1"/>
    <col min="16" max="16" width="22.140625" bestFit="1" customWidth="1"/>
    <col min="17" max="17" width="13.28515625" bestFit="1" customWidth="1"/>
    <col min="18" max="18" width="22.140625" bestFit="1" customWidth="1"/>
    <col min="19" max="19" width="15.140625" customWidth="1"/>
    <col min="20" max="26" width="10.7109375" customWidth="1"/>
  </cols>
  <sheetData>
    <row r="1" spans="1:26" ht="17.25" customHeight="1">
      <c r="A1" s="277"/>
      <c r="B1" s="287" t="s">
        <v>122</v>
      </c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278"/>
      <c r="B2" s="4"/>
      <c r="C2" s="41"/>
      <c r="D2" s="41"/>
      <c r="E2" s="41"/>
      <c r="F2" s="41"/>
      <c r="G2" s="41"/>
      <c r="H2" s="41"/>
      <c r="I2" s="41"/>
      <c r="J2" s="42"/>
      <c r="K2" s="41"/>
      <c r="L2" s="41"/>
      <c r="M2" s="43"/>
      <c r="N2" s="44"/>
      <c r="O2" s="44"/>
      <c r="P2" s="4"/>
      <c r="Q2" s="4"/>
      <c r="R2" s="174"/>
      <c r="S2" s="174"/>
      <c r="T2" s="4"/>
      <c r="U2" s="4"/>
      <c r="V2" s="4"/>
      <c r="W2" s="4"/>
      <c r="X2" s="4"/>
      <c r="Y2" s="4"/>
      <c r="Z2" s="4"/>
    </row>
    <row r="3" spans="1:26" ht="15.75">
      <c r="A3" s="279"/>
      <c r="B3" s="174"/>
      <c r="C3" s="173"/>
      <c r="D3" s="173"/>
      <c r="E3" s="281" t="s">
        <v>126</v>
      </c>
      <c r="F3" s="282"/>
      <c r="G3" s="282"/>
      <c r="H3" s="283"/>
      <c r="I3" s="173"/>
      <c r="J3" s="174"/>
      <c r="K3" s="281" t="s">
        <v>312</v>
      </c>
      <c r="L3" s="282"/>
      <c r="M3" s="282"/>
      <c r="N3" s="283"/>
      <c r="O3" s="174"/>
      <c r="P3" s="53" t="s">
        <v>128</v>
      </c>
      <c r="Q3" s="179" t="s">
        <v>129</v>
      </c>
      <c r="R3" s="174"/>
      <c r="S3" s="174"/>
      <c r="T3" s="174"/>
      <c r="U3" s="174"/>
      <c r="V3" s="174"/>
      <c r="W3" s="174"/>
      <c r="X3" s="174"/>
      <c r="Y3" s="4"/>
      <c r="Z3" s="4"/>
    </row>
    <row r="4" spans="1:26" ht="15.75">
      <c r="A4" s="279"/>
      <c r="B4" s="45" t="s">
        <v>123</v>
      </c>
      <c r="C4" s="167" t="s">
        <v>124</v>
      </c>
      <c r="D4" s="180" t="s">
        <v>125</v>
      </c>
      <c r="E4" s="181" t="s">
        <v>291</v>
      </c>
      <c r="F4" s="182" t="s">
        <v>308</v>
      </c>
      <c r="G4" s="183" t="s">
        <v>309</v>
      </c>
      <c r="H4" s="184" t="s">
        <v>310</v>
      </c>
      <c r="I4" s="175"/>
      <c r="J4" s="45" t="s">
        <v>123</v>
      </c>
      <c r="K4" s="181" t="s">
        <v>291</v>
      </c>
      <c r="L4" s="182" t="s">
        <v>308</v>
      </c>
      <c r="M4" s="183" t="s">
        <v>309</v>
      </c>
      <c r="N4" s="184" t="s">
        <v>310</v>
      </c>
      <c r="O4" s="174"/>
      <c r="P4" s="48" t="s">
        <v>130</v>
      </c>
      <c r="Q4" s="49">
        <v>0.2</v>
      </c>
      <c r="R4" s="174"/>
      <c r="S4" s="174"/>
      <c r="T4" s="174"/>
      <c r="U4" s="174"/>
      <c r="V4" s="174"/>
      <c r="W4" s="174"/>
      <c r="X4" s="174"/>
      <c r="Y4" s="4"/>
      <c r="Z4" s="4"/>
    </row>
    <row r="5" spans="1:26" ht="15.75">
      <c r="A5" s="279"/>
      <c r="B5" s="168" t="s">
        <v>50</v>
      </c>
      <c r="C5" s="185">
        <f>+'DATA PERSONAL'!F3+('DATA PERSONAL'!G14*7.2)+('DATA PERSONAL'!H52*7.2)</f>
        <v>140657.15179968701</v>
      </c>
      <c r="D5" s="178">
        <f>+C5/7.2</f>
        <v>19535.715527734308</v>
      </c>
      <c r="E5" s="178">
        <f>$D$5*C20</f>
        <v>0</v>
      </c>
      <c r="F5" s="178">
        <f>$D$5*D20</f>
        <v>97678.577638671544</v>
      </c>
      <c r="G5" s="178">
        <f>$D$5*E20</f>
        <v>97678.577638671544</v>
      </c>
      <c r="H5" s="178">
        <f>$D$5*F20</f>
        <v>97678.577638671544</v>
      </c>
      <c r="I5" s="175"/>
      <c r="J5" s="168" t="s">
        <v>50</v>
      </c>
      <c r="K5" s="178">
        <f t="shared" ref="K5:N7" si="0">+(E5+E11)*$Q$11</f>
        <v>0</v>
      </c>
      <c r="L5" s="178">
        <f t="shared" si="0"/>
        <v>48468.110224308824</v>
      </c>
      <c r="M5" s="178">
        <f t="shared" si="0"/>
        <v>48468.110224308824</v>
      </c>
      <c r="N5" s="178">
        <f t="shared" si="0"/>
        <v>48468.110224308824</v>
      </c>
      <c r="O5" s="174"/>
      <c r="P5" s="50" t="s">
        <v>131</v>
      </c>
      <c r="Q5" s="49">
        <v>-0.08</v>
      </c>
      <c r="R5" s="174"/>
      <c r="S5" s="174"/>
      <c r="T5" s="174"/>
      <c r="U5" s="174"/>
      <c r="V5" s="174"/>
      <c r="W5" s="174"/>
      <c r="X5" s="174"/>
      <c r="Y5" s="4"/>
      <c r="Z5" s="4"/>
    </row>
    <row r="6" spans="1:26" ht="15.75">
      <c r="A6" s="279"/>
      <c r="B6" s="168" t="s">
        <v>51</v>
      </c>
      <c r="C6" s="185">
        <f>+'DATA PERSONAL'!F4+('DATA PERSONAL'!G14*7.2)+('DATA PERSONAL'!H52*7.2)</f>
        <v>118121.94053208138</v>
      </c>
      <c r="D6" s="178">
        <f t="shared" ref="D6:D7" si="1">+C6/7.2</f>
        <v>16405.825073900192</v>
      </c>
      <c r="E6" s="178">
        <f>$D$6*C21</f>
        <v>0</v>
      </c>
      <c r="F6" s="178">
        <f>$D$6*D21</f>
        <v>0</v>
      </c>
      <c r="G6" s="178">
        <f>$D$6*E21</f>
        <v>0</v>
      </c>
      <c r="H6" s="178">
        <f>$D$6*F21</f>
        <v>0</v>
      </c>
      <c r="I6" s="175"/>
      <c r="J6" s="168" t="s">
        <v>51</v>
      </c>
      <c r="K6" s="178">
        <f t="shared" si="0"/>
        <v>0</v>
      </c>
      <c r="L6" s="178">
        <f t="shared" si="0"/>
        <v>0</v>
      </c>
      <c r="M6" s="178">
        <f t="shared" si="0"/>
        <v>0</v>
      </c>
      <c r="N6" s="178">
        <f t="shared" si="0"/>
        <v>0</v>
      </c>
      <c r="O6" s="4"/>
      <c r="P6" s="50" t="s">
        <v>133</v>
      </c>
      <c r="Q6" s="49">
        <v>6.9599999999999995E-2</v>
      </c>
      <c r="R6" s="174"/>
      <c r="S6" s="174"/>
      <c r="T6" s="174"/>
      <c r="U6" s="174"/>
      <c r="V6" s="174"/>
      <c r="W6" s="174"/>
      <c r="X6" s="174"/>
      <c r="Y6" s="4"/>
      <c r="Z6" s="4"/>
    </row>
    <row r="7" spans="1:26" ht="15.75">
      <c r="A7" s="279"/>
      <c r="B7" s="168" t="s">
        <v>132</v>
      </c>
      <c r="C7" s="185">
        <f>+'DATA PERSONAL'!F5+('DATA PERSONAL'!G14*7.2)+('DATA PERSONAL'!H52*7.2)</f>
        <v>258967.01095461656</v>
      </c>
      <c r="D7" s="178">
        <f t="shared" si="1"/>
        <v>35967.640410363412</v>
      </c>
      <c r="E7" s="178">
        <f>$D$7*C22</f>
        <v>0</v>
      </c>
      <c r="F7" s="178">
        <f>$D$7*D22</f>
        <v>0</v>
      </c>
      <c r="G7" s="178">
        <f>$D$7*E22</f>
        <v>0</v>
      </c>
      <c r="H7" s="178">
        <f>$D$7*F22</f>
        <v>0</v>
      </c>
      <c r="I7" s="175"/>
      <c r="J7" s="168" t="s">
        <v>132</v>
      </c>
      <c r="K7" s="178">
        <f t="shared" si="0"/>
        <v>0</v>
      </c>
      <c r="L7" s="178">
        <f t="shared" si="0"/>
        <v>0</v>
      </c>
      <c r="M7" s="178">
        <f t="shared" si="0"/>
        <v>0</v>
      </c>
      <c r="N7" s="178">
        <f t="shared" si="0"/>
        <v>0</v>
      </c>
      <c r="O7" s="4"/>
      <c r="P7" s="50" t="s">
        <v>134</v>
      </c>
      <c r="Q7" s="49">
        <v>0.04</v>
      </c>
      <c r="R7" s="174"/>
      <c r="S7" s="174"/>
      <c r="T7" s="174"/>
      <c r="U7" s="174"/>
      <c r="V7" s="174"/>
      <c r="W7" s="174"/>
      <c r="X7" s="174"/>
      <c r="Y7" s="4"/>
      <c r="Z7" s="4"/>
    </row>
    <row r="8" spans="1:26" ht="15.75">
      <c r="A8" s="279"/>
      <c r="B8" s="174"/>
      <c r="C8" s="173"/>
      <c r="D8" s="173"/>
      <c r="E8" s="173"/>
      <c r="F8" s="173"/>
      <c r="G8" s="173"/>
      <c r="H8" s="173"/>
      <c r="I8" s="175"/>
      <c r="J8" s="175"/>
      <c r="K8" s="173"/>
      <c r="L8" s="173"/>
      <c r="M8" s="172"/>
      <c r="N8" s="176"/>
      <c r="O8" s="176"/>
      <c r="P8" s="52" t="s">
        <v>135</v>
      </c>
      <c r="Q8" s="49">
        <v>8.3299999999999999E-2</v>
      </c>
      <c r="R8" s="174"/>
      <c r="S8" s="174"/>
      <c r="T8" s="174"/>
      <c r="U8" s="174"/>
      <c r="V8" s="174"/>
      <c r="W8" s="174"/>
      <c r="X8" s="174"/>
      <c r="Y8" s="4"/>
      <c r="Z8" s="4"/>
    </row>
    <row r="9" spans="1:26" ht="15.75">
      <c r="A9" s="279"/>
      <c r="B9" s="174"/>
      <c r="C9" s="173"/>
      <c r="D9" s="173"/>
      <c r="E9" s="284" t="s">
        <v>311</v>
      </c>
      <c r="F9" s="285"/>
      <c r="G9" s="285"/>
      <c r="H9" s="286"/>
      <c r="I9" s="173"/>
      <c r="J9" s="175"/>
      <c r="K9" s="281" t="s">
        <v>306</v>
      </c>
      <c r="L9" s="282"/>
      <c r="M9" s="282"/>
      <c r="N9" s="283"/>
      <c r="O9" s="4"/>
      <c r="P9" s="50" t="s">
        <v>136</v>
      </c>
      <c r="Q9" s="161">
        <v>0.1</v>
      </c>
      <c r="R9" s="174"/>
      <c r="S9" s="174"/>
      <c r="T9" s="174"/>
      <c r="U9" s="174"/>
      <c r="V9" s="174"/>
      <c r="W9" s="174"/>
      <c r="X9" s="174"/>
      <c r="Y9" s="174"/>
      <c r="Z9" s="174"/>
    </row>
    <row r="10" spans="1:26" ht="15.75">
      <c r="A10" s="279"/>
      <c r="B10" s="45" t="s">
        <v>123</v>
      </c>
      <c r="C10" s="167" t="s">
        <v>124</v>
      </c>
      <c r="D10" s="180" t="s">
        <v>125</v>
      </c>
      <c r="E10" s="186" t="s">
        <v>291</v>
      </c>
      <c r="F10" s="167" t="s">
        <v>308</v>
      </c>
      <c r="G10" s="167" t="s">
        <v>309</v>
      </c>
      <c r="H10" s="187" t="s">
        <v>310</v>
      </c>
      <c r="I10" s="173"/>
      <c r="J10" s="177" t="s">
        <v>123</v>
      </c>
      <c r="K10" s="177" t="s">
        <v>291</v>
      </c>
      <c r="L10" s="177" t="s">
        <v>308</v>
      </c>
      <c r="M10" s="177" t="s">
        <v>309</v>
      </c>
      <c r="N10" s="177" t="s">
        <v>310</v>
      </c>
      <c r="O10" s="4"/>
      <c r="P10" s="50" t="s">
        <v>137</v>
      </c>
      <c r="Q10" s="49">
        <v>8.3299999999999999E-2</v>
      </c>
      <c r="R10" s="174"/>
      <c r="S10" s="174"/>
      <c r="T10" s="174"/>
      <c r="U10" s="174"/>
      <c r="V10" s="174"/>
      <c r="W10" s="174"/>
      <c r="X10" s="174"/>
      <c r="Y10" s="174"/>
      <c r="Z10" s="174"/>
    </row>
    <row r="11" spans="1:26" ht="15.75">
      <c r="A11" s="279"/>
      <c r="B11" s="168" t="s">
        <v>50</v>
      </c>
      <c r="C11" s="185">
        <f>+C5+('DATA PERSONAL'!G14*7.2)+('DATA PERSONAL'!H52*7.2)</f>
        <v>151736.83881064161</v>
      </c>
      <c r="D11" s="185">
        <f>+C11/7.2</f>
        <v>21074.560945922447</v>
      </c>
      <c r="E11" s="178">
        <f>$D$11*$Q$13*G20</f>
        <v>0</v>
      </c>
      <c r="F11" s="178">
        <f>$D$11*$Q$13*H20</f>
        <v>0</v>
      </c>
      <c r="G11" s="178">
        <f>$D$11*$Q$13*I20</f>
        <v>0</v>
      </c>
      <c r="H11" s="178">
        <f>$D$11*$Q$13*J20</f>
        <v>0</v>
      </c>
      <c r="I11" s="173"/>
      <c r="J11" s="177" t="s">
        <v>50</v>
      </c>
      <c r="K11" s="178">
        <f>+E5+E11+K5</f>
        <v>0</v>
      </c>
      <c r="L11" s="178">
        <f t="shared" ref="K11:N13" si="2">+F5+F11+L5</f>
        <v>146146.68786298035</v>
      </c>
      <c r="M11" s="178">
        <f t="shared" si="2"/>
        <v>146146.68786298035</v>
      </c>
      <c r="N11" s="178">
        <f t="shared" si="2"/>
        <v>146146.68786298035</v>
      </c>
      <c r="O11" s="4"/>
      <c r="P11" s="47" t="s">
        <v>139</v>
      </c>
      <c r="Q11" s="57">
        <f>SUM(Q4:Q10)</f>
        <v>0.49620000000000003</v>
      </c>
      <c r="R11" s="174"/>
      <c r="S11" s="174"/>
      <c r="T11" s="174"/>
      <c r="U11" s="174"/>
      <c r="V11" s="174"/>
      <c r="W11" s="174"/>
      <c r="X11" s="174"/>
      <c r="Y11" s="174"/>
      <c r="Z11" s="174"/>
    </row>
    <row r="12" spans="1:26" ht="15.75">
      <c r="A12" s="279"/>
      <c r="B12" s="168" t="s">
        <v>51</v>
      </c>
      <c r="C12" s="185">
        <f>+C6+('DATA PERSONAL'!G14*7.2)+('DATA PERSONAL'!H52*7.2)</f>
        <v>129201.627543036</v>
      </c>
      <c r="D12" s="185">
        <f t="shared" ref="D12:D13" si="3">+C12/7.2</f>
        <v>17944.670492088331</v>
      </c>
      <c r="E12" s="178">
        <f>$D$12*$Q$13*G21</f>
        <v>0</v>
      </c>
      <c r="F12" s="178">
        <f>$D$12*$Q$13*H21</f>
        <v>0</v>
      </c>
      <c r="G12" s="178">
        <f>$D$12*$Q$13*I21</f>
        <v>0</v>
      </c>
      <c r="H12" s="178">
        <f>$D$12*$Q$13*J21</f>
        <v>0</v>
      </c>
      <c r="I12" s="173"/>
      <c r="J12" s="177" t="s">
        <v>51</v>
      </c>
      <c r="K12" s="178">
        <f t="shared" si="2"/>
        <v>0</v>
      </c>
      <c r="L12" s="178">
        <f t="shared" si="2"/>
        <v>0</v>
      </c>
      <c r="M12" s="178">
        <f t="shared" si="2"/>
        <v>0</v>
      </c>
      <c r="N12" s="178">
        <f t="shared" si="2"/>
        <v>0</v>
      </c>
      <c r="O12" s="4"/>
      <c r="P12" s="4"/>
      <c r="Q12" s="174"/>
      <c r="R12" s="174"/>
      <c r="S12" s="174"/>
      <c r="T12" s="174"/>
      <c r="U12" s="174"/>
      <c r="V12" s="174"/>
      <c r="W12" s="174"/>
      <c r="X12" s="174"/>
      <c r="Y12" s="174"/>
      <c r="Z12" s="174"/>
    </row>
    <row r="13" spans="1:26" ht="15.75">
      <c r="A13" s="279"/>
      <c r="B13" s="168" t="s">
        <v>132</v>
      </c>
      <c r="C13" s="185">
        <f>+C7+('DATA PERSONAL'!G14*7.2)+('DATA PERSONAL'!H52*7.2)</f>
        <v>270046.69796557119</v>
      </c>
      <c r="D13" s="185">
        <f t="shared" si="3"/>
        <v>37506.485828551551</v>
      </c>
      <c r="E13" s="178">
        <f>$D$13*$Q$13*G22</f>
        <v>0</v>
      </c>
      <c r="F13" s="178">
        <f>$D$13*$Q$13*H22</f>
        <v>0</v>
      </c>
      <c r="G13" s="178">
        <f>$D$13*$Q$13*I22</f>
        <v>0</v>
      </c>
      <c r="H13" s="178">
        <f>$D$13*$Q$13*J22</f>
        <v>0</v>
      </c>
      <c r="I13" s="173"/>
      <c r="J13" s="177" t="s">
        <v>132</v>
      </c>
      <c r="K13" s="178">
        <f t="shared" si="2"/>
        <v>0</v>
      </c>
      <c r="L13" s="178">
        <f t="shared" si="2"/>
        <v>0</v>
      </c>
      <c r="M13" s="178">
        <f t="shared" si="2"/>
        <v>0</v>
      </c>
      <c r="N13" s="178">
        <f t="shared" si="2"/>
        <v>0</v>
      </c>
      <c r="O13" s="4"/>
      <c r="P13" s="54" t="s">
        <v>127</v>
      </c>
      <c r="Q13" s="55">
        <v>1.35</v>
      </c>
      <c r="R13" s="4"/>
      <c r="S13" s="174"/>
      <c r="T13" s="174"/>
      <c r="U13" s="174"/>
      <c r="V13" s="174"/>
      <c r="W13" s="174"/>
      <c r="X13" s="174"/>
      <c r="Y13" s="174"/>
      <c r="Z13" s="174"/>
    </row>
    <row r="14" spans="1:26" ht="11.25" customHeight="1">
      <c r="A14" s="279"/>
      <c r="B14" s="276" t="s">
        <v>138</v>
      </c>
      <c r="C14" s="276"/>
      <c r="D14" s="276"/>
      <c r="E14" s="276"/>
      <c r="F14" s="276"/>
      <c r="G14" s="276"/>
      <c r="H14" s="276"/>
      <c r="I14" s="276"/>
      <c r="J14" s="276"/>
      <c r="K14" s="276"/>
      <c r="L14" s="276"/>
      <c r="M14" s="4"/>
      <c r="N14" s="4"/>
      <c r="O14" s="4"/>
      <c r="P14" s="4"/>
      <c r="Q14" s="4"/>
      <c r="R14" s="4"/>
      <c r="S14" s="174"/>
      <c r="T14" s="174"/>
      <c r="U14" s="174"/>
      <c r="V14" s="174"/>
      <c r="W14" s="174"/>
      <c r="X14" s="174"/>
      <c r="Y14" s="174"/>
      <c r="Z14" s="174"/>
    </row>
    <row r="15" spans="1:26" ht="11.25" customHeight="1">
      <c r="A15" s="280"/>
      <c r="B15" s="276"/>
      <c r="C15" s="276"/>
      <c r="D15" s="276"/>
      <c r="E15" s="276"/>
      <c r="F15" s="276"/>
      <c r="G15" s="276"/>
      <c r="H15" s="276"/>
      <c r="I15" s="276"/>
      <c r="J15" s="276"/>
      <c r="K15" s="276"/>
      <c r="L15" s="27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1.25" customHeight="1">
      <c r="A16" s="4"/>
      <c r="B16" s="276"/>
      <c r="C16" s="276"/>
      <c r="D16" s="276"/>
      <c r="E16" s="276"/>
      <c r="F16" s="276"/>
      <c r="G16" s="276"/>
      <c r="H16" s="276"/>
      <c r="I16" s="276"/>
      <c r="J16" s="276"/>
      <c r="K16" s="276"/>
      <c r="L16" s="27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1.25" customHeight="1">
      <c r="A17" s="4"/>
      <c r="B17" s="276"/>
      <c r="C17" s="276"/>
      <c r="D17" s="276"/>
      <c r="E17" s="276"/>
      <c r="F17" s="276"/>
      <c r="G17" s="276"/>
      <c r="H17" s="276"/>
      <c r="I17" s="276"/>
      <c r="J17" s="276"/>
      <c r="K17" s="276"/>
      <c r="L17" s="27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>
      <c r="A18" s="4"/>
      <c r="B18" s="274"/>
      <c r="C18" s="271" t="s">
        <v>300</v>
      </c>
      <c r="D18" s="272"/>
      <c r="E18" s="272"/>
      <c r="F18" s="273"/>
      <c r="G18" s="271" t="s">
        <v>301</v>
      </c>
      <c r="H18" s="272"/>
      <c r="I18" s="272"/>
      <c r="J18" s="272"/>
      <c r="K18" s="273"/>
      <c r="L18" s="274" t="s">
        <v>302</v>
      </c>
      <c r="M18" s="4"/>
      <c r="N18" s="4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>
      <c r="A19" s="4"/>
      <c r="B19" s="275"/>
      <c r="C19" s="46" t="s">
        <v>293</v>
      </c>
      <c r="D19" s="46" t="s">
        <v>303</v>
      </c>
      <c r="E19" s="46" t="s">
        <v>304</v>
      </c>
      <c r="F19" s="46" t="s">
        <v>305</v>
      </c>
      <c r="G19" s="46" t="s">
        <v>293</v>
      </c>
      <c r="H19" s="46" t="s">
        <v>303</v>
      </c>
      <c r="I19" s="46" t="s">
        <v>304</v>
      </c>
      <c r="J19" s="46" t="s">
        <v>305</v>
      </c>
      <c r="K19" s="46" t="s">
        <v>176</v>
      </c>
      <c r="L19" s="275"/>
      <c r="M19" s="4"/>
      <c r="N19" s="4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>
      <c r="A20" s="4"/>
      <c r="B20" s="169" t="s">
        <v>50</v>
      </c>
      <c r="C20" s="56"/>
      <c r="D20" s="56">
        <v>5</v>
      </c>
      <c r="E20" s="56">
        <v>5</v>
      </c>
      <c r="F20" s="56">
        <v>5</v>
      </c>
      <c r="G20" s="56"/>
      <c r="H20" s="56"/>
      <c r="I20" s="56"/>
      <c r="J20" s="56"/>
      <c r="K20" s="170">
        <f>SUM(C20:J20)</f>
        <v>15</v>
      </c>
      <c r="L20" s="171">
        <f>+K20/7.2</f>
        <v>2.0833333333333335</v>
      </c>
      <c r="M20" s="4"/>
      <c r="N20" s="4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>
      <c r="A21" s="4"/>
      <c r="B21" s="169" t="s">
        <v>51</v>
      </c>
      <c r="C21" s="56"/>
      <c r="D21" s="56"/>
      <c r="E21" s="56"/>
      <c r="F21" s="56"/>
      <c r="G21" s="56"/>
      <c r="H21" s="56"/>
      <c r="I21" s="56"/>
      <c r="J21" s="56"/>
      <c r="K21" s="170">
        <f t="shared" ref="K21:K22" si="4">SUM(C21:J21)</f>
        <v>0</v>
      </c>
      <c r="L21" s="171">
        <f t="shared" ref="L21:L22" si="5">+K21/7.2</f>
        <v>0</v>
      </c>
      <c r="M21" s="4"/>
      <c r="N21" s="4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>
      <c r="A22" s="4"/>
      <c r="B22" s="169" t="s">
        <v>132</v>
      </c>
      <c r="C22" s="56"/>
      <c r="D22" s="56"/>
      <c r="E22" s="56"/>
      <c r="F22" s="56"/>
      <c r="G22" s="56"/>
      <c r="H22" s="56"/>
      <c r="I22" s="56"/>
      <c r="J22" s="56"/>
      <c r="K22" s="170">
        <f t="shared" si="4"/>
        <v>0</v>
      </c>
      <c r="L22" s="171">
        <f t="shared" si="5"/>
        <v>0</v>
      </c>
      <c r="M22" s="44"/>
      <c r="N22" s="4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>
      <c r="A23" s="4"/>
      <c r="B23" s="169" t="s">
        <v>307</v>
      </c>
      <c r="C23" s="170">
        <f>SUM(C20:C22)</f>
        <v>0</v>
      </c>
      <c r="D23" s="170">
        <f t="shared" ref="D23:J23" si="6">SUM(D20:D22)</f>
        <v>5</v>
      </c>
      <c r="E23" s="170">
        <f t="shared" si="6"/>
        <v>5</v>
      </c>
      <c r="F23" s="170">
        <f t="shared" si="6"/>
        <v>5</v>
      </c>
      <c r="G23" s="170">
        <f t="shared" si="6"/>
        <v>0</v>
      </c>
      <c r="H23" s="170">
        <f t="shared" si="6"/>
        <v>0</v>
      </c>
      <c r="I23" s="170">
        <f t="shared" si="6"/>
        <v>0</v>
      </c>
      <c r="J23" s="170">
        <f t="shared" si="6"/>
        <v>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1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>
      <c r="A53" s="4"/>
      <c r="B53" s="58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>
      <c r="A55" s="4"/>
      <c r="B55" s="59"/>
      <c r="C55" s="59"/>
      <c r="D55" s="59"/>
      <c r="E55" s="59"/>
      <c r="F55" s="59"/>
      <c r="G55" s="59"/>
      <c r="H55" s="59"/>
      <c r="I55" s="59"/>
      <c r="J55" s="4"/>
      <c r="K55" s="59"/>
      <c r="L55" s="59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>
      <c r="A56" s="4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>
      <c r="A57" s="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>
      <c r="A58" s="4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>
      <c r="A59" s="4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>
      <c r="A60" s="4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>
      <c r="A61" s="4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>
      <c r="A62" s="4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>
      <c r="A63" s="4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>
      <c r="A64" s="4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>
      <c r="A65" s="4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>
      <c r="A66" s="4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>
      <c r="A67" s="4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>
      <c r="A68" s="4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>
      <c r="A69" s="4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>
      <c r="A70" s="4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>
      <c r="A71" s="4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>
      <c r="A72" s="4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>
      <c r="A73" s="4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>
      <c r="A74" s="4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>
      <c r="A75" s="4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>
      <c r="A76" s="4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>
      <c r="A77" s="4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>
      <c r="A78" s="4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>
      <c r="A79" s="4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>
      <c r="A80" s="4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>
      <c r="A81" s="4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>
      <c r="A82" s="4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>
      <c r="A83" s="4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>
      <c r="A84" s="4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>
      <c r="A85" s="4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>
      <c r="A86" s="4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>
      <c r="A87" s="4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>
      <c r="A88" s="4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>
      <c r="A89" s="4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>
      <c r="A90" s="4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>
      <c r="A91" s="4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>
      <c r="A92" s="4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>
      <c r="A93" s="4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>
      <c r="A94" s="4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>
      <c r="A95" s="4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>
      <c r="A96" s="4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>
      <c r="A97" s="4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>
      <c r="A98" s="4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>
      <c r="A99" s="4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>
      <c r="A100" s="4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>
      <c r="A101" s="4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>
      <c r="A102" s="4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>
      <c r="A103" s="4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>
      <c r="A104" s="4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>
      <c r="A105" s="4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>
      <c r="A106" s="4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>
      <c r="A107" s="4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>
      <c r="A108" s="4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>
      <c r="A109" s="4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>
      <c r="A110" s="4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>
      <c r="A111" s="4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>
      <c r="A112" s="4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>
      <c r="A113" s="4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>
      <c r="A114" s="4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>
      <c r="A115" s="4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>
      <c r="A116" s="4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>
      <c r="A117" s="4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>
      <c r="A118" s="4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>
      <c r="A119" s="4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>
      <c r="A120" s="4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>
      <c r="A121" s="4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>
      <c r="A122" s="4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>
      <c r="A123" s="4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>
      <c r="A124" s="4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>
      <c r="A125" s="4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>
      <c r="A126" s="4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>
      <c r="A127" s="4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>
      <c r="A128" s="4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>
      <c r="A129" s="4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>
      <c r="A130" s="4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>
      <c r="A131" s="4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>
      <c r="A132" s="4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>
      <c r="A133" s="4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>
      <c r="A134" s="4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>
      <c r="A135" s="4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>
      <c r="A136" s="4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>
      <c r="A137" s="4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>
      <c r="A138" s="4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>
      <c r="A139" s="4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>
      <c r="A140" s="4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>
      <c r="A141" s="4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>
      <c r="A142" s="4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>
      <c r="A143" s="4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>
      <c r="A144" s="4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>
      <c r="A145" s="4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>
      <c r="A146" s="4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>
      <c r="A147" s="4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>
      <c r="A148" s="4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>
      <c r="A149" s="4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>
      <c r="A150" s="4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>
      <c r="A151" s="4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>
      <c r="A152" s="4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>
      <c r="A153" s="4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>
      <c r="A154" s="4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>
      <c r="A155" s="4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>
      <c r="A156" s="4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>
      <c r="A157" s="4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>
      <c r="A158" s="4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>
      <c r="A159" s="4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>
      <c r="A160" s="4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>
      <c r="A161" s="4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>
      <c r="A162" s="4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>
      <c r="A163" s="4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>
      <c r="A164" s="4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>
      <c r="A165" s="4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>
      <c r="A166" s="4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>
      <c r="A167" s="4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>
      <c r="A168" s="4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>
      <c r="A169" s="4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>
      <c r="A170" s="4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>
      <c r="A171" s="4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>
      <c r="A172" s="4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>
      <c r="A173" s="4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>
      <c r="A174" s="4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>
      <c r="A175" s="4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>
      <c r="A176" s="4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>
      <c r="A177" s="4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>
      <c r="A178" s="4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>
      <c r="A179" s="4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>
      <c r="A180" s="4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>
      <c r="A181" s="4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>
      <c r="A182" s="4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>
      <c r="A183" s="4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>
      <c r="A184" s="4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>
      <c r="A185" s="4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>
      <c r="A186" s="4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>
      <c r="A187" s="4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>
      <c r="A188" s="4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>
      <c r="A189" s="4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>
      <c r="A190" s="4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>
      <c r="A191" s="4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>
      <c r="A192" s="4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>
      <c r="A193" s="4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>
      <c r="A194" s="4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>
      <c r="A195" s="4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>
      <c r="A196" s="4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>
      <c r="A197" s="4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>
      <c r="A198" s="4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>
      <c r="A199" s="4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>
      <c r="A200" s="4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>
      <c r="A201" s="4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>
      <c r="A202" s="4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>
      <c r="A203" s="4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>
      <c r="A204" s="4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>
      <c r="A205" s="4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>
      <c r="A206" s="4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>
      <c r="A207" s="4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>
      <c r="A208" s="4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>
      <c r="A209" s="4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>
      <c r="A210" s="4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>
      <c r="A211" s="4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>
      <c r="A212" s="4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>
      <c r="A213" s="4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>
      <c r="A214" s="4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>
      <c r="A215" s="4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>
      <c r="A216" s="4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>
      <c r="A217" s="4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>
      <c r="A218" s="4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>
      <c r="A219" s="4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>
      <c r="A220" s="4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>
      <c r="A221" s="4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>
      <c r="A222" s="4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>
      <c r="A223" s="4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>
      <c r="A224" s="4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>
      <c r="A225" s="4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>
      <c r="A226" s="4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>
      <c r="A227" s="4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>
      <c r="A228" s="4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>
      <c r="A229" s="4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>
      <c r="A230" s="4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>
      <c r="A231" s="4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>
      <c r="A232" s="4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>
      <c r="A233" s="4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>
      <c r="A234" s="4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>
      <c r="A235" s="4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>
      <c r="A236" s="4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>
      <c r="A237" s="4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>
      <c r="A238" s="4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>
      <c r="A239" s="4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>
      <c r="A240" s="4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>
      <c r="A241" s="4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>
      <c r="A242" s="4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>
      <c r="A243" s="4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>
      <c r="A244" s="4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>
      <c r="A245" s="4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>
      <c r="A246" s="4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>
      <c r="A247" s="4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>
      <c r="A248" s="4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>
      <c r="A249" s="4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>
      <c r="A250" s="4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>
      <c r="A251" s="4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>
      <c r="A252" s="4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>
      <c r="A253" s="4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>
      <c r="A254" s="4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>
      <c r="A255" s="4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>
      <c r="A256" s="4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>
      <c r="A257" s="4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>
      <c r="A258" s="4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>
      <c r="A259" s="4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>
      <c r="A260" s="4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>
      <c r="A261" s="4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>
      <c r="A262" s="4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>
      <c r="A263" s="4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>
      <c r="A264" s="4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>
      <c r="A265" s="4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>
      <c r="A266" s="4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>
      <c r="A267" s="4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>
      <c r="A268" s="4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>
      <c r="A269" s="4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>
      <c r="A270" s="4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>
      <c r="A271" s="4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>
      <c r="A272" s="4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>
      <c r="A273" s="4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>
      <c r="A274" s="4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>
      <c r="A275" s="4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>
      <c r="A276" s="4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>
      <c r="A277" s="4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>
      <c r="A278" s="4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>
      <c r="A279" s="4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>
      <c r="A280" s="4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>
      <c r="A281" s="4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>
      <c r="A282" s="4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>
      <c r="A283" s="4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>
      <c r="A284" s="4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>
      <c r="A285" s="4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>
      <c r="A286" s="4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>
      <c r="A287" s="4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>
      <c r="A288" s="4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>
      <c r="A289" s="4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>
      <c r="A290" s="4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>
      <c r="A291" s="4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>
      <c r="A292" s="4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>
      <c r="A293" s="4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>
      <c r="A294" s="4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>
      <c r="A295" s="4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>
      <c r="A296" s="4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>
      <c r="A297" s="4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>
      <c r="A298" s="4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>
      <c r="A299" s="4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>
      <c r="A300" s="4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>
      <c r="A301" s="4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>
      <c r="A302" s="4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>
      <c r="A303" s="4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>
      <c r="A304" s="4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>
      <c r="A305" s="4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>
      <c r="A306" s="4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>
      <c r="A307" s="4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>
      <c r="A308" s="4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>
      <c r="A309" s="4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>
      <c r="A310" s="4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>
      <c r="A311" s="4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>
      <c r="A312" s="4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>
      <c r="A313" s="4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>
      <c r="A314" s="4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>
      <c r="A315" s="4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>
      <c r="A316" s="4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>
      <c r="A317" s="4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>
      <c r="A318" s="4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>
      <c r="A319" s="4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>
      <c r="A320" s="4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>
      <c r="A321" s="4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>
      <c r="A322" s="4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>
      <c r="A323" s="4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>
      <c r="A324" s="4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>
      <c r="A325" s="4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>
      <c r="A326" s="4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>
      <c r="A327" s="4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>
      <c r="A328" s="4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>
      <c r="A329" s="4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>
      <c r="A330" s="4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>
      <c r="A331" s="4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>
      <c r="A332" s="4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>
      <c r="A333" s="4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>
      <c r="A334" s="4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>
      <c r="A335" s="4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>
      <c r="A336" s="4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>
      <c r="A337" s="4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>
      <c r="A338" s="4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>
      <c r="A339" s="4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>
      <c r="A340" s="4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>
      <c r="A341" s="4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>
      <c r="A342" s="4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>
      <c r="A343" s="4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>
      <c r="A344" s="4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>
      <c r="A345" s="4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>
      <c r="A346" s="4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>
      <c r="A347" s="4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>
      <c r="A348" s="4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>
      <c r="A349" s="4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>
      <c r="A350" s="4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>
      <c r="A351" s="4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>
      <c r="A352" s="4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>
      <c r="A353" s="4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>
      <c r="A354" s="4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>
      <c r="A355" s="4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>
      <c r="A356" s="4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>
      <c r="A357" s="4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>
      <c r="A358" s="4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>
      <c r="A359" s="4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>
      <c r="A360" s="4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>
      <c r="A361" s="4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>
      <c r="A362" s="4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>
      <c r="A363" s="4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>
      <c r="A364" s="4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>
      <c r="A365" s="4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>
      <c r="A366" s="4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>
      <c r="A367" s="4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>
      <c r="A368" s="4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>
      <c r="A369" s="4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>
      <c r="A370" s="4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>
      <c r="A371" s="4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>
      <c r="A372" s="4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>
      <c r="A373" s="4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>
      <c r="A374" s="4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>
      <c r="A375" s="4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>
      <c r="A376" s="4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>
      <c r="A377" s="4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>
      <c r="A378" s="4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>
      <c r="A379" s="4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>
      <c r="A380" s="4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>
      <c r="A381" s="4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>
      <c r="A382" s="4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>
      <c r="A383" s="4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>
      <c r="A384" s="4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>
      <c r="A385" s="4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>
      <c r="A386" s="4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>
      <c r="A387" s="4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>
      <c r="A388" s="4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>
      <c r="A389" s="4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>
      <c r="A390" s="4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>
      <c r="A391" s="4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>
      <c r="A392" s="4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>
      <c r="A393" s="4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>
      <c r="A394" s="4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>
      <c r="A395" s="4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>
      <c r="A396" s="4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>
      <c r="A397" s="4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>
      <c r="A398" s="4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>
      <c r="A399" s="4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>
      <c r="A400" s="4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>
      <c r="A401" s="4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>
      <c r="A402" s="4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>
      <c r="A403" s="4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>
      <c r="A404" s="4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>
      <c r="A405" s="4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>
      <c r="A406" s="4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>
      <c r="A407" s="4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>
      <c r="A408" s="4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>
      <c r="A409" s="4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>
      <c r="A410" s="4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>
      <c r="A411" s="4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>
      <c r="A412" s="4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>
      <c r="A413" s="4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>
      <c r="A414" s="4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>
      <c r="A415" s="4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>
      <c r="A416" s="4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>
      <c r="A417" s="4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>
      <c r="A418" s="4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>
      <c r="A419" s="4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>
      <c r="A420" s="4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>
      <c r="A421" s="4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>
      <c r="A422" s="4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>
      <c r="A423" s="4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>
      <c r="A424" s="4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>
      <c r="A425" s="4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>
      <c r="A426" s="4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>
      <c r="A427" s="4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>
      <c r="A428" s="4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>
      <c r="A429" s="4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>
      <c r="A430" s="4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>
      <c r="A431" s="4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>
      <c r="A432" s="4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>
      <c r="A433" s="4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>
      <c r="A434" s="4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>
      <c r="A435" s="4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>
      <c r="A436" s="4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>
      <c r="A437" s="4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>
      <c r="A438" s="4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>
      <c r="A439" s="4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>
      <c r="A440" s="4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>
      <c r="A441" s="4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>
      <c r="A442" s="4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>
      <c r="A443" s="4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>
      <c r="A444" s="4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>
      <c r="A445" s="4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>
      <c r="A446" s="4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>
      <c r="A447" s="4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>
      <c r="A448" s="4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>
      <c r="A449" s="4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>
      <c r="A450" s="4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>
      <c r="A451" s="4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>
      <c r="A452" s="4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>
      <c r="A453" s="4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>
      <c r="A454" s="4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>
      <c r="A455" s="4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>
      <c r="A456" s="4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>
      <c r="A457" s="4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>
      <c r="A458" s="4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>
      <c r="A459" s="4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>
      <c r="A460" s="4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>
      <c r="A461" s="4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>
      <c r="A462" s="4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>
      <c r="A463" s="4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>
      <c r="A464" s="4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>
      <c r="A465" s="4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>
      <c r="A466" s="4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>
      <c r="A467" s="4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>
      <c r="A468" s="4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>
      <c r="A469" s="4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>
      <c r="A470" s="4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>
      <c r="A471" s="4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>
      <c r="A472" s="4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>
      <c r="A473" s="4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>
      <c r="A474" s="4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>
      <c r="A475" s="4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>
      <c r="A476" s="4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>
      <c r="A477" s="4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>
      <c r="A478" s="4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>
      <c r="A479" s="4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>
      <c r="A480" s="4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>
      <c r="A481" s="4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>
      <c r="A482" s="4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>
      <c r="A483" s="4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>
      <c r="A484" s="4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>
      <c r="A485" s="4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>
      <c r="A486" s="4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>
      <c r="A487" s="4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>
      <c r="A488" s="4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>
      <c r="A489" s="4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>
      <c r="A490" s="4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>
      <c r="A491" s="4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>
      <c r="A492" s="4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>
      <c r="A493" s="4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>
      <c r="A494" s="4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>
      <c r="A495" s="4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>
      <c r="A496" s="4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>
      <c r="A497" s="4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>
      <c r="A498" s="4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>
      <c r="A499" s="4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>
      <c r="A500" s="4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>
      <c r="A501" s="4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>
      <c r="A502" s="4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>
      <c r="A503" s="4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>
      <c r="A504" s="4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>
      <c r="A505" s="4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>
      <c r="A506" s="4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>
      <c r="A507" s="4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>
      <c r="A508" s="4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>
      <c r="A509" s="4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>
      <c r="A510" s="4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>
      <c r="A511" s="4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>
      <c r="A512" s="4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>
      <c r="A513" s="4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>
      <c r="A514" s="4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>
      <c r="A515" s="4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>
      <c r="A516" s="4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>
      <c r="A517" s="4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>
      <c r="A518" s="4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>
      <c r="A519" s="4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>
      <c r="A520" s="4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>
      <c r="A521" s="4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>
      <c r="A522" s="4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>
      <c r="A523" s="4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>
      <c r="A524" s="4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>
      <c r="A525" s="4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>
      <c r="A526" s="4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>
      <c r="A527" s="4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>
      <c r="A528" s="4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>
      <c r="A529" s="4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>
      <c r="A530" s="4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>
      <c r="A531" s="4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>
      <c r="A532" s="4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>
      <c r="A533" s="4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>
      <c r="A534" s="4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>
      <c r="A535" s="4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>
      <c r="A536" s="4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>
      <c r="A537" s="4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>
      <c r="A538" s="4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>
      <c r="A539" s="4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>
      <c r="A540" s="4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>
      <c r="A541" s="4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>
      <c r="A542" s="4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>
      <c r="A543" s="4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>
      <c r="A544" s="4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>
      <c r="A545" s="4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>
      <c r="A546" s="4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>
      <c r="A547" s="4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>
      <c r="A548" s="4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>
      <c r="A549" s="4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>
      <c r="A550" s="4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>
      <c r="A551" s="4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>
      <c r="A552" s="4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>
      <c r="A553" s="4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>
      <c r="A554" s="4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>
      <c r="A555" s="4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>
      <c r="A556" s="4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>
      <c r="A557" s="4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>
      <c r="A558" s="4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>
      <c r="A559" s="4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>
      <c r="A560" s="4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>
      <c r="A561" s="4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>
      <c r="A562" s="4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>
      <c r="A563" s="4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>
      <c r="A564" s="4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>
      <c r="A565" s="4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>
      <c r="A566" s="4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>
      <c r="A567" s="4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>
      <c r="A568" s="4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>
      <c r="A569" s="4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>
      <c r="A570" s="4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>
      <c r="A571" s="4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>
      <c r="A572" s="4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>
      <c r="A573" s="4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>
      <c r="A574" s="4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>
      <c r="A575" s="4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>
      <c r="A576" s="4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>
      <c r="A577" s="4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>
      <c r="A578" s="4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>
      <c r="A579" s="4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>
      <c r="A580" s="4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>
      <c r="A581" s="4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>
      <c r="A582" s="4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>
      <c r="A583" s="4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>
      <c r="A584" s="4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>
      <c r="A585" s="4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>
      <c r="A586" s="4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>
      <c r="A587" s="4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>
      <c r="A588" s="4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>
      <c r="A589" s="4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>
      <c r="A590" s="4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>
      <c r="A591" s="4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>
      <c r="A592" s="4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>
      <c r="A593" s="4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>
      <c r="A594" s="4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>
      <c r="A595" s="4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>
      <c r="A596" s="4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>
      <c r="A597" s="4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>
      <c r="A598" s="4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>
      <c r="A599" s="4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>
      <c r="A600" s="4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>
      <c r="A601" s="4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>
      <c r="A602" s="4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>
      <c r="A603" s="4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>
      <c r="A604" s="4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>
      <c r="A605" s="4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>
      <c r="A606" s="4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>
      <c r="A607" s="4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>
      <c r="A608" s="4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>
      <c r="A609" s="4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>
      <c r="A610" s="4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>
      <c r="A611" s="4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>
      <c r="A612" s="4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>
      <c r="A613" s="4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>
      <c r="A614" s="4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>
      <c r="A615" s="4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>
      <c r="A616" s="4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>
      <c r="A617" s="4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>
      <c r="A618" s="4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>
      <c r="A619" s="4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>
      <c r="A620" s="4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>
      <c r="A621" s="4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>
      <c r="A622" s="4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>
      <c r="A623" s="4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>
      <c r="A624" s="4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>
      <c r="A625" s="4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>
      <c r="A626" s="4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>
      <c r="A627" s="4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>
      <c r="A628" s="4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>
      <c r="A629" s="4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>
      <c r="A630" s="4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>
      <c r="A631" s="4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>
      <c r="A632" s="4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>
      <c r="A633" s="4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>
      <c r="A634" s="4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>
      <c r="A635" s="4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>
      <c r="A636" s="4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>
      <c r="A637" s="4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>
      <c r="A638" s="4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>
      <c r="A639" s="4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>
      <c r="A640" s="4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>
      <c r="A641" s="4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>
      <c r="A642" s="4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>
      <c r="A643" s="4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>
      <c r="A644" s="4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>
      <c r="A645" s="4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>
      <c r="A646" s="4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>
      <c r="A647" s="4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>
      <c r="A648" s="4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>
      <c r="A649" s="4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>
      <c r="A650" s="4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>
      <c r="A651" s="4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>
      <c r="A652" s="4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>
      <c r="A653" s="4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>
      <c r="A654" s="4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>
      <c r="A655" s="4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>
      <c r="A656" s="4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>
      <c r="A657" s="4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>
      <c r="A658" s="4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>
      <c r="A659" s="4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>
      <c r="A660" s="4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>
      <c r="A661" s="4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>
      <c r="A662" s="4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>
      <c r="A663" s="4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>
      <c r="A664" s="4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>
      <c r="A665" s="4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>
      <c r="A666" s="4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>
      <c r="A667" s="4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>
      <c r="A668" s="4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>
      <c r="A669" s="4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>
      <c r="A670" s="4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>
      <c r="A671" s="4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>
      <c r="A672" s="4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>
      <c r="A673" s="4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>
      <c r="A674" s="4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>
      <c r="A675" s="4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>
      <c r="A676" s="4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>
      <c r="A677" s="4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>
      <c r="A678" s="4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>
      <c r="A679" s="4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>
      <c r="A680" s="4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>
      <c r="A681" s="4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>
      <c r="A682" s="4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>
      <c r="A683" s="4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>
      <c r="A684" s="4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>
      <c r="A685" s="4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>
      <c r="A686" s="4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>
      <c r="A687" s="4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>
      <c r="A688" s="4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>
      <c r="A689" s="4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>
      <c r="A690" s="4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>
      <c r="A691" s="4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>
      <c r="A692" s="4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>
      <c r="A693" s="4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>
      <c r="A694" s="4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>
      <c r="A695" s="4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>
      <c r="A696" s="4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>
      <c r="A697" s="4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>
      <c r="A698" s="4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>
      <c r="A699" s="4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>
      <c r="A700" s="4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>
      <c r="A701" s="4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>
      <c r="A702" s="4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>
      <c r="A703" s="4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>
      <c r="A704" s="4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>
      <c r="A705" s="4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>
      <c r="A706" s="4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>
      <c r="A707" s="4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>
      <c r="A708" s="4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>
      <c r="A709" s="4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>
      <c r="A710" s="4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>
      <c r="A711" s="4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>
      <c r="A712" s="4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>
      <c r="A713" s="4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>
      <c r="A714" s="4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>
      <c r="A715" s="4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>
      <c r="A716" s="4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>
      <c r="A717" s="4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>
      <c r="A718" s="4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>
      <c r="A719" s="4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>
      <c r="A720" s="4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>
      <c r="A721" s="4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>
      <c r="A722" s="4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>
      <c r="A723" s="4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>
      <c r="A724" s="4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>
      <c r="A725" s="4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>
      <c r="A726" s="4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>
      <c r="A727" s="4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>
      <c r="A728" s="4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>
      <c r="A729" s="4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>
      <c r="A730" s="4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>
      <c r="A731" s="4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>
      <c r="A732" s="4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>
      <c r="A733" s="4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>
      <c r="A734" s="4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>
      <c r="A735" s="4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>
      <c r="A736" s="4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>
      <c r="A737" s="4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>
      <c r="A738" s="4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>
      <c r="A739" s="4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>
      <c r="A740" s="4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>
      <c r="A741" s="4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>
      <c r="A742" s="4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>
      <c r="A743" s="4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>
      <c r="A744" s="4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>
      <c r="A745" s="4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>
      <c r="A746" s="4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>
      <c r="A747" s="4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>
      <c r="A748" s="4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>
      <c r="A749" s="4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>
      <c r="A750" s="4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>
      <c r="A751" s="4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>
      <c r="A752" s="4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>
      <c r="A753" s="4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>
      <c r="A754" s="4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>
      <c r="A755" s="4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>
      <c r="A756" s="4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>
      <c r="A757" s="4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>
      <c r="A758" s="4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>
      <c r="A759" s="4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>
      <c r="A760" s="4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>
      <c r="A761" s="4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>
      <c r="A762" s="4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>
      <c r="A763" s="4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>
      <c r="A764" s="4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>
      <c r="A765" s="4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>
      <c r="A766" s="4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>
      <c r="A767" s="4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>
      <c r="A768" s="4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>
      <c r="A769" s="4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>
      <c r="A770" s="4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>
      <c r="A771" s="4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>
      <c r="A772" s="4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>
      <c r="A773" s="4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>
      <c r="A774" s="4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>
      <c r="A775" s="4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>
      <c r="A776" s="4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>
      <c r="A777" s="4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>
      <c r="A778" s="4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>
      <c r="A779" s="4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>
      <c r="A780" s="4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>
      <c r="A781" s="4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>
      <c r="A782" s="4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>
      <c r="A783" s="4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>
      <c r="A784" s="4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>
      <c r="A785" s="4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>
      <c r="A786" s="4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>
      <c r="A787" s="4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>
      <c r="A788" s="4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>
      <c r="A789" s="4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>
      <c r="A790" s="4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>
      <c r="A791" s="4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>
      <c r="A792" s="4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>
      <c r="A793" s="4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>
      <c r="A794" s="4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>
      <c r="A795" s="4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>
      <c r="A796" s="4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>
      <c r="A797" s="4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>
      <c r="A798" s="4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>
      <c r="A799" s="4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>
      <c r="A800" s="4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>
      <c r="A801" s="4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>
      <c r="A802" s="4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>
      <c r="A803" s="4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>
      <c r="A804" s="4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>
      <c r="A805" s="4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>
      <c r="A806" s="4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>
      <c r="A807" s="4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>
      <c r="A808" s="4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>
      <c r="A809" s="4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>
      <c r="A810" s="4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>
      <c r="A811" s="4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>
      <c r="A812" s="4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>
      <c r="A813" s="4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>
      <c r="A814" s="4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>
      <c r="A815" s="4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>
      <c r="A816" s="4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>
      <c r="A817" s="4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>
      <c r="A818" s="4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>
      <c r="A819" s="4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>
      <c r="A820" s="4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>
      <c r="A821" s="4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>
      <c r="A822" s="4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>
      <c r="A823" s="4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>
      <c r="A824" s="4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>
      <c r="A825" s="4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>
      <c r="A826" s="4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>
      <c r="A827" s="4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>
      <c r="A828" s="4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>
      <c r="A829" s="4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>
      <c r="A830" s="4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>
      <c r="A831" s="4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>
      <c r="A832" s="4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>
      <c r="A833" s="4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>
      <c r="A834" s="4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>
      <c r="A835" s="4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>
      <c r="A836" s="4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>
      <c r="A837" s="4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>
      <c r="A838" s="4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>
      <c r="A839" s="4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>
      <c r="A840" s="4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>
      <c r="A841" s="4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>
      <c r="A842" s="4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>
      <c r="A843" s="4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>
      <c r="A844" s="4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>
      <c r="A845" s="4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>
      <c r="A846" s="4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>
      <c r="A847" s="4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>
      <c r="A848" s="4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>
      <c r="A849" s="4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>
      <c r="A850" s="4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>
      <c r="A851" s="4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>
      <c r="A852" s="4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>
      <c r="A853" s="4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>
      <c r="A854" s="4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>
      <c r="A855" s="4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>
      <c r="A856" s="4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>
      <c r="A857" s="4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>
      <c r="A858" s="4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>
      <c r="A859" s="4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>
      <c r="A860" s="4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>
      <c r="A861" s="4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>
      <c r="A862" s="4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>
      <c r="A863" s="4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>
      <c r="A864" s="4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>
      <c r="A865" s="4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>
      <c r="A866" s="4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>
      <c r="A867" s="4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>
      <c r="A868" s="4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>
      <c r="A869" s="4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>
      <c r="A870" s="4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>
      <c r="A871" s="4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>
      <c r="A872" s="4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>
      <c r="A873" s="4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>
      <c r="A874" s="4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>
      <c r="A875" s="4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>
      <c r="A876" s="4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>
      <c r="A877" s="4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>
      <c r="A878" s="4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>
      <c r="A879" s="4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>
      <c r="A880" s="4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>
      <c r="A881" s="4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>
      <c r="A882" s="4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>
      <c r="A883" s="4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>
      <c r="A884" s="4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>
      <c r="A885" s="4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>
      <c r="A886" s="4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>
      <c r="A887" s="4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>
      <c r="A888" s="4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>
      <c r="A889" s="4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>
      <c r="A890" s="4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>
      <c r="A891" s="4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>
      <c r="A892" s="4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>
      <c r="A893" s="4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>
      <c r="A894" s="4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>
      <c r="A895" s="4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>
      <c r="A896" s="4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>
      <c r="A897" s="4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>
      <c r="A898" s="4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>
      <c r="A899" s="4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>
      <c r="A900" s="4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>
      <c r="A901" s="4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>
      <c r="A902" s="4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>
      <c r="A903" s="4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>
      <c r="A904" s="4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>
      <c r="A905" s="4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>
      <c r="A906" s="4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>
      <c r="A907" s="4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>
      <c r="A908" s="4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>
      <c r="A909" s="4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>
      <c r="A910" s="4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>
      <c r="A911" s="4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>
      <c r="A912" s="4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>
      <c r="A913" s="4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>
      <c r="A914" s="4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>
      <c r="A915" s="4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>
      <c r="A916" s="4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>
      <c r="A917" s="4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>
      <c r="A918" s="4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>
      <c r="A919" s="4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>
      <c r="A920" s="4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>
      <c r="A921" s="4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>
      <c r="A922" s="4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>
      <c r="A923" s="4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>
      <c r="A924" s="4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>
      <c r="A925" s="4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>
      <c r="A926" s="4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>
      <c r="A927" s="4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>
      <c r="A928" s="4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>
      <c r="A929" s="4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>
      <c r="A930" s="4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>
      <c r="A931" s="4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>
      <c r="A932" s="4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>
      <c r="A933" s="4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>
      <c r="A934" s="4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>
      <c r="A935" s="4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>
      <c r="A936" s="4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>
      <c r="A937" s="4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>
      <c r="A938" s="4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>
      <c r="A939" s="4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>
      <c r="A940" s="4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>
      <c r="A941" s="4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>
      <c r="A942" s="4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>
      <c r="A943" s="4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>
      <c r="A944" s="4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>
      <c r="A945" s="4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>
      <c r="A946" s="4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>
      <c r="A947" s="4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>
      <c r="A948" s="4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>
      <c r="A949" s="4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>
      <c r="A950" s="4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>
      <c r="A951" s="4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>
      <c r="A952" s="4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>
      <c r="A953" s="4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>
      <c r="A954" s="4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>
      <c r="A955" s="4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>
      <c r="A956" s="4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>
      <c r="A957" s="4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>
      <c r="A958" s="4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>
      <c r="A959" s="4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>
      <c r="A960" s="4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>
      <c r="A961" s="4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>
      <c r="A962" s="4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>
      <c r="A963" s="4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>
      <c r="A964" s="4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>
      <c r="A965" s="4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>
      <c r="A966" s="4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>
      <c r="A967" s="4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>
      <c r="A968" s="4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>
      <c r="A969" s="4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>
      <c r="A970" s="4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>
      <c r="A971" s="4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>
      <c r="A972" s="4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>
      <c r="A973" s="4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>
      <c r="A974" s="4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>
      <c r="A975" s="4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>
      <c r="A976" s="4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>
      <c r="A977" s="4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>
      <c r="A978" s="4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>
      <c r="A979" s="4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>
      <c r="A980" s="4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>
      <c r="A981" s="4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>
      <c r="A982" s="4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>
      <c r="A983" s="4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>
      <c r="A984" s="4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>
      <c r="A985" s="4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>
      <c r="A986" s="4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>
      <c r="A987" s="4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>
      <c r="A988" s="4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>
      <c r="A989" s="4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>
      <c r="A990" s="4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>
      <c r="A991" s="4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>
      <c r="A992" s="4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>
      <c r="A993" s="4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>
      <c r="A994" s="4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>
      <c r="A995" s="4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>
      <c r="A996" s="4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>
      <c r="A997" s="4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>
      <c r="A998" s="4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>
      <c r="A999" s="4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>
      <c r="A1000" s="4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>
      <c r="A1001" s="4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>
      <c r="A1002" s="59"/>
      <c r="B1002" s="59"/>
      <c r="C1002" s="59"/>
      <c r="D1002" s="59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</row>
  </sheetData>
  <mergeCells count="11">
    <mergeCell ref="A1:A15"/>
    <mergeCell ref="E3:H3"/>
    <mergeCell ref="E9:H9"/>
    <mergeCell ref="K3:N3"/>
    <mergeCell ref="K9:N9"/>
    <mergeCell ref="B1:N1"/>
    <mergeCell ref="G18:K18"/>
    <mergeCell ref="C18:F18"/>
    <mergeCell ref="L18:L19"/>
    <mergeCell ref="B18:B19"/>
    <mergeCell ref="B14:L17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8D8D8"/>
  </sheetPr>
  <dimension ref="A1:Z1000"/>
  <sheetViews>
    <sheetView showGridLines="0" workbookViewId="0">
      <selection activeCell="G17" sqref="G17"/>
    </sheetView>
  </sheetViews>
  <sheetFormatPr baseColWidth="10" defaultColWidth="14.42578125" defaultRowHeight="15" customHeight="1"/>
  <cols>
    <col min="1" max="1" width="17.140625" customWidth="1"/>
    <col min="2" max="2" width="20.42578125" customWidth="1"/>
    <col min="3" max="3" width="2.7109375" customWidth="1"/>
    <col min="4" max="4" width="23.85546875" customWidth="1"/>
    <col min="5" max="5" width="13.5703125" customWidth="1"/>
    <col min="6" max="6" width="2.7109375" customWidth="1"/>
    <col min="7" max="7" width="20.7109375" customWidth="1"/>
    <col min="8" max="8" width="11.42578125" customWidth="1"/>
    <col min="9" max="9" width="2.7109375" customWidth="1"/>
    <col min="10" max="10" width="15.5703125" customWidth="1"/>
    <col min="11" max="11" width="11.42578125" customWidth="1"/>
    <col min="12" max="12" width="2.7109375" customWidth="1"/>
    <col min="13" max="13" width="11.42578125" customWidth="1"/>
    <col min="14" max="14" width="17.5703125" customWidth="1"/>
    <col min="15" max="16" width="11.42578125" customWidth="1"/>
    <col min="17" max="26" width="10.7109375" customWidth="1"/>
  </cols>
  <sheetData>
    <row r="1" spans="1:26" ht="22.5" customHeight="1">
      <c r="A1" s="288" t="s">
        <v>140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5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ht="13.5" customHeight="1">
      <c r="A2" s="60"/>
      <c r="B2" s="61"/>
      <c r="C2" s="61"/>
      <c r="D2" s="62"/>
      <c r="E2" s="61"/>
      <c r="F2" s="61"/>
      <c r="G2" s="62"/>
      <c r="H2" s="61"/>
      <c r="I2" s="61"/>
      <c r="J2" s="62"/>
      <c r="K2" s="61"/>
      <c r="L2" s="61"/>
      <c r="M2" s="62"/>
      <c r="N2" s="61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27">
      <c r="A3" s="63" t="s">
        <v>141</v>
      </c>
      <c r="B3" s="64">
        <v>60000</v>
      </c>
      <c r="C3" s="40"/>
      <c r="D3" s="63" t="s">
        <v>142</v>
      </c>
      <c r="E3" s="65">
        <v>2</v>
      </c>
      <c r="F3" s="40"/>
      <c r="G3" s="66" t="s">
        <v>143</v>
      </c>
      <c r="H3" s="67" t="s">
        <v>144</v>
      </c>
      <c r="I3" s="40"/>
      <c r="J3" s="66" t="s">
        <v>145</v>
      </c>
      <c r="K3" s="67" t="s">
        <v>144</v>
      </c>
      <c r="L3" s="68"/>
      <c r="M3" s="66" t="s">
        <v>146</v>
      </c>
      <c r="N3" s="69">
        <v>6000</v>
      </c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27">
      <c r="A4" s="63" t="s">
        <v>147</v>
      </c>
      <c r="B4" s="70">
        <v>0</v>
      </c>
      <c r="C4" s="40"/>
      <c r="D4" s="63" t="s">
        <v>148</v>
      </c>
      <c r="E4" s="71">
        <v>70000</v>
      </c>
      <c r="F4" s="40"/>
      <c r="G4" s="66" t="s">
        <v>149</v>
      </c>
      <c r="H4" s="72">
        <v>2</v>
      </c>
      <c r="I4" s="40"/>
      <c r="J4" s="66" t="s">
        <v>149</v>
      </c>
      <c r="K4" s="72">
        <v>2</v>
      </c>
      <c r="L4" s="68"/>
      <c r="M4" s="66" t="s">
        <v>149</v>
      </c>
      <c r="N4" s="72">
        <v>3</v>
      </c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27" customHeight="1">
      <c r="A5" s="63" t="s">
        <v>150</v>
      </c>
      <c r="B5" s="73">
        <f>+B3*B4</f>
        <v>0</v>
      </c>
      <c r="C5" s="40"/>
      <c r="D5" s="74" t="s">
        <v>151</v>
      </c>
      <c r="E5" s="75">
        <f>+E3*E4</f>
        <v>140000</v>
      </c>
      <c r="F5" s="40"/>
      <c r="G5" s="66" t="s">
        <v>152</v>
      </c>
      <c r="H5" s="76">
        <v>90000</v>
      </c>
      <c r="I5" s="40"/>
      <c r="J5" s="66" t="s">
        <v>152</v>
      </c>
      <c r="K5" s="76">
        <v>90000</v>
      </c>
      <c r="L5" s="68"/>
      <c r="M5" s="77" t="s">
        <v>153</v>
      </c>
      <c r="N5" s="78">
        <f>N3*N4</f>
        <v>18000</v>
      </c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27" customHeight="1">
      <c r="A6" s="2"/>
      <c r="B6" s="61"/>
      <c r="C6" s="40"/>
      <c r="D6" s="40"/>
      <c r="E6" s="61"/>
      <c r="F6" s="79"/>
      <c r="G6" s="74" t="s">
        <v>154</v>
      </c>
      <c r="H6" s="78">
        <f>IF(H3="si",H4*H5,0)</f>
        <v>0</v>
      </c>
      <c r="I6" s="40"/>
      <c r="J6" s="74" t="s">
        <v>155</v>
      </c>
      <c r="K6" s="80">
        <f>IF(K3="si",K4*K5,0)</f>
        <v>0</v>
      </c>
      <c r="L6" s="40"/>
      <c r="M6" s="81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27">
      <c r="A7" s="63" t="s">
        <v>156</v>
      </c>
      <c r="B7" s="64">
        <v>15000</v>
      </c>
      <c r="C7" s="40"/>
      <c r="D7" s="63" t="s">
        <v>142</v>
      </c>
      <c r="E7" s="65">
        <v>0</v>
      </c>
      <c r="F7" s="79"/>
      <c r="G7" s="82"/>
      <c r="H7" s="83"/>
      <c r="I7" s="83"/>
      <c r="J7" s="83"/>
      <c r="K7" s="83"/>
      <c r="L7" s="83"/>
      <c r="M7" s="66" t="s">
        <v>327</v>
      </c>
      <c r="N7" s="69">
        <v>12000</v>
      </c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27" customHeight="1">
      <c r="A8" s="63" t="s">
        <v>157</v>
      </c>
      <c r="B8" s="70">
        <v>0</v>
      </c>
      <c r="C8" s="40"/>
      <c r="D8" s="63" t="s">
        <v>158</v>
      </c>
      <c r="E8" s="71">
        <v>90000</v>
      </c>
      <c r="F8" s="79"/>
      <c r="G8" s="82"/>
      <c r="H8" s="83"/>
      <c r="I8" s="40"/>
      <c r="J8" s="81"/>
      <c r="K8" s="40"/>
      <c r="L8" s="40"/>
      <c r="M8" s="66" t="s">
        <v>20</v>
      </c>
      <c r="N8" s="72">
        <v>3</v>
      </c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27" customHeight="1">
      <c r="A9" s="63" t="s">
        <v>159</v>
      </c>
      <c r="B9" s="73">
        <f>+B7*B8</f>
        <v>0</v>
      </c>
      <c r="C9" s="40"/>
      <c r="D9" s="74" t="s">
        <v>151</v>
      </c>
      <c r="E9" s="75">
        <f>(E8)*E7</f>
        <v>0</v>
      </c>
      <c r="F9" s="40"/>
      <c r="G9" s="81"/>
      <c r="H9" s="40"/>
      <c r="I9" s="40"/>
      <c r="J9" s="81"/>
      <c r="K9" s="40"/>
      <c r="L9" s="40"/>
      <c r="M9" s="77" t="s">
        <v>153</v>
      </c>
      <c r="N9" s="78">
        <f>N7*N8</f>
        <v>36000</v>
      </c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27">
      <c r="A10" s="84" t="s">
        <v>160</v>
      </c>
      <c r="B10" s="85">
        <f>+B5+B9</f>
        <v>0</v>
      </c>
      <c r="C10" s="40"/>
      <c r="D10" s="86" t="s">
        <v>151</v>
      </c>
      <c r="E10" s="87">
        <f>+E5+H6+K6+N5+E9+N9</f>
        <v>194000</v>
      </c>
      <c r="F10" s="40"/>
      <c r="G10" s="81"/>
      <c r="H10" s="40"/>
      <c r="I10" s="40"/>
      <c r="J10" s="81"/>
      <c r="K10" s="40"/>
      <c r="L10" s="40"/>
      <c r="M10" s="81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3.5" customHeight="1">
      <c r="A11" s="2"/>
      <c r="B11" s="2"/>
      <c r="C11" s="40"/>
      <c r="D11" s="81"/>
      <c r="E11" s="40"/>
      <c r="F11" s="40"/>
      <c r="G11" s="81"/>
      <c r="H11" s="40"/>
      <c r="I11" s="40"/>
      <c r="J11" s="81"/>
      <c r="K11" s="40"/>
      <c r="L11" s="40"/>
      <c r="M11" s="81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3.5" customHeight="1">
      <c r="A12" s="40"/>
      <c r="B12" s="40"/>
      <c r="C12" s="40"/>
      <c r="D12" s="81"/>
      <c r="E12" s="40"/>
      <c r="F12" s="40"/>
      <c r="G12" s="81"/>
      <c r="H12" s="40"/>
      <c r="I12" s="40"/>
      <c r="J12" s="81"/>
      <c r="K12" s="40"/>
      <c r="L12" s="40"/>
      <c r="M12" s="81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3.5" customHeight="1">
      <c r="A13" s="88"/>
      <c r="B13" s="89"/>
      <c r="C13" s="89"/>
      <c r="D13" s="89"/>
      <c r="E13" s="89"/>
      <c r="F13" s="89"/>
      <c r="G13" s="89"/>
      <c r="H13" s="88"/>
      <c r="I13" s="88"/>
      <c r="J13" s="90"/>
      <c r="K13" s="88"/>
      <c r="L13" s="88"/>
      <c r="M13" s="90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ht="13.5" customHeight="1">
      <c r="A14" s="88" t="s">
        <v>161</v>
      </c>
      <c r="B14" s="89"/>
      <c r="C14" s="89"/>
      <c r="D14" s="89"/>
      <c r="E14" s="89"/>
      <c r="F14" s="89"/>
      <c r="G14" s="89"/>
      <c r="H14" s="88"/>
      <c r="I14" s="88"/>
      <c r="J14" s="90"/>
      <c r="K14" s="88"/>
      <c r="L14" s="88"/>
      <c r="M14" s="90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ht="13.5" customHeight="1">
      <c r="A15" s="88" t="s">
        <v>144</v>
      </c>
      <c r="B15" s="89"/>
      <c r="C15" s="89"/>
      <c r="D15" s="89"/>
      <c r="E15" s="89"/>
      <c r="F15" s="89"/>
      <c r="G15" s="89"/>
      <c r="H15" s="88"/>
      <c r="I15" s="88"/>
      <c r="J15" s="90"/>
      <c r="K15" s="88"/>
      <c r="L15" s="88"/>
      <c r="M15" s="90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ht="13.5" customHeight="1">
      <c r="A16" s="88"/>
      <c r="B16" s="89"/>
      <c r="C16" s="89"/>
      <c r="D16" s="89"/>
      <c r="E16" s="89"/>
      <c r="F16" s="89"/>
      <c r="G16" s="89"/>
      <c r="H16" s="88"/>
      <c r="I16" s="88"/>
      <c r="J16" s="90"/>
      <c r="K16" s="88"/>
      <c r="L16" s="88"/>
      <c r="M16" s="90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ht="13.5" customHeight="1">
      <c r="A17" s="88"/>
      <c r="B17" s="89"/>
      <c r="C17" s="89"/>
      <c r="D17" s="89"/>
      <c r="E17" s="89"/>
      <c r="F17" s="89"/>
      <c r="G17" s="89"/>
      <c r="H17" s="88"/>
      <c r="I17" s="88"/>
      <c r="J17" s="90"/>
      <c r="K17" s="88"/>
      <c r="L17" s="88"/>
      <c r="M17" s="90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ht="13.5" customHeight="1">
      <c r="A18" s="40"/>
      <c r="B18" s="40"/>
      <c r="C18" s="40"/>
      <c r="D18" s="81"/>
      <c r="E18" s="40"/>
      <c r="F18" s="40"/>
      <c r="G18" s="81"/>
      <c r="H18" s="40"/>
      <c r="I18" s="40"/>
      <c r="J18" s="81"/>
      <c r="K18" s="40"/>
      <c r="L18" s="40"/>
      <c r="M18" s="81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3.5" customHeight="1">
      <c r="A19" s="40"/>
      <c r="B19" s="40"/>
      <c r="C19" s="40"/>
      <c r="D19" s="81"/>
      <c r="E19" s="40"/>
      <c r="F19" s="40"/>
      <c r="G19" s="81"/>
      <c r="H19" s="40"/>
      <c r="I19" s="40"/>
      <c r="J19" s="81"/>
      <c r="K19" s="40"/>
      <c r="L19" s="40"/>
      <c r="M19" s="81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3.5" customHeight="1">
      <c r="A20" s="40"/>
      <c r="B20" s="40"/>
      <c r="C20" s="40"/>
      <c r="D20" s="81"/>
      <c r="E20" s="40"/>
      <c r="F20" s="40"/>
      <c r="G20" s="81"/>
      <c r="H20" s="40"/>
      <c r="I20" s="40"/>
      <c r="J20" s="81"/>
      <c r="K20" s="40"/>
      <c r="L20" s="40"/>
      <c r="M20" s="81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3.5" customHeight="1">
      <c r="A21" s="40"/>
      <c r="B21" s="40"/>
      <c r="C21" s="40"/>
      <c r="D21" s="81"/>
      <c r="E21" s="40"/>
      <c r="F21" s="40"/>
      <c r="G21" s="81"/>
      <c r="H21" s="40"/>
      <c r="I21" s="40"/>
      <c r="J21" s="81"/>
      <c r="K21" s="40"/>
      <c r="L21" s="40"/>
      <c r="M21" s="81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3.5" customHeight="1">
      <c r="A22" s="40"/>
      <c r="B22" s="40"/>
      <c r="C22" s="40"/>
      <c r="D22" s="81"/>
      <c r="E22" s="40"/>
      <c r="F22" s="40"/>
      <c r="G22" s="81"/>
      <c r="H22" s="40"/>
      <c r="I22" s="40"/>
      <c r="J22" s="81"/>
      <c r="K22" s="40"/>
      <c r="L22" s="40"/>
      <c r="M22" s="81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3.5" customHeight="1">
      <c r="A23" s="40"/>
      <c r="B23" s="40"/>
      <c r="C23" s="40"/>
      <c r="D23" s="81"/>
      <c r="E23" s="40"/>
      <c r="F23" s="40"/>
      <c r="G23" s="81"/>
      <c r="H23" s="40"/>
      <c r="I23" s="40"/>
      <c r="J23" s="81"/>
      <c r="K23" s="40"/>
      <c r="L23" s="40"/>
      <c r="M23" s="81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3.5" customHeight="1">
      <c r="A24" s="40"/>
      <c r="B24" s="40"/>
      <c r="C24" s="40"/>
      <c r="D24" s="81"/>
      <c r="E24" s="40"/>
      <c r="F24" s="40"/>
      <c r="G24" s="81"/>
      <c r="H24" s="40"/>
      <c r="I24" s="40"/>
      <c r="J24" s="81"/>
      <c r="K24" s="40"/>
      <c r="L24" s="40"/>
      <c r="M24" s="81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3.5" customHeight="1">
      <c r="A25" s="40"/>
      <c r="B25" s="40"/>
      <c r="C25" s="40"/>
      <c r="D25" s="81"/>
      <c r="E25" s="40"/>
      <c r="F25" s="40"/>
      <c r="G25" s="81"/>
      <c r="H25" s="40"/>
      <c r="I25" s="40"/>
      <c r="J25" s="81"/>
      <c r="K25" s="40"/>
      <c r="L25" s="40"/>
      <c r="M25" s="81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3.5" customHeight="1">
      <c r="A26" s="40"/>
      <c r="B26" s="40"/>
      <c r="C26" s="40"/>
      <c r="D26" s="81"/>
      <c r="E26" s="40"/>
      <c r="F26" s="40"/>
      <c r="G26" s="81"/>
      <c r="H26" s="40"/>
      <c r="I26" s="40"/>
      <c r="J26" s="81"/>
      <c r="K26" s="40"/>
      <c r="L26" s="40"/>
      <c r="M26" s="81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3.5" customHeight="1">
      <c r="A27" s="40"/>
      <c r="B27" s="40"/>
      <c r="C27" s="40"/>
      <c r="D27" s="81"/>
      <c r="E27" s="40"/>
      <c r="F27" s="40"/>
      <c r="G27" s="81"/>
      <c r="H27" s="40"/>
      <c r="I27" s="40"/>
      <c r="J27" s="81"/>
      <c r="K27" s="40"/>
      <c r="L27" s="40"/>
      <c r="M27" s="81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3.5" customHeight="1">
      <c r="A28" s="40"/>
      <c r="B28" s="40"/>
      <c r="C28" s="40"/>
      <c r="D28" s="81"/>
      <c r="E28" s="40"/>
      <c r="F28" s="40"/>
      <c r="G28" s="81"/>
      <c r="H28" s="40"/>
      <c r="I28" s="40"/>
      <c r="J28" s="81"/>
      <c r="K28" s="40"/>
      <c r="L28" s="40"/>
      <c r="M28" s="81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3.5" customHeight="1">
      <c r="A29" s="40"/>
      <c r="B29" s="40"/>
      <c r="C29" s="40"/>
      <c r="D29" s="81"/>
      <c r="E29" s="40"/>
      <c r="F29" s="40"/>
      <c r="G29" s="81"/>
      <c r="H29" s="40"/>
      <c r="I29" s="40"/>
      <c r="J29" s="81"/>
      <c r="K29" s="40"/>
      <c r="L29" s="40"/>
      <c r="M29" s="81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3.5" customHeight="1">
      <c r="A30" s="40"/>
      <c r="B30" s="40"/>
      <c r="C30" s="40"/>
      <c r="D30" s="81"/>
      <c r="E30" s="40"/>
      <c r="F30" s="40"/>
      <c r="G30" s="81"/>
      <c r="H30" s="40"/>
      <c r="I30" s="40"/>
      <c r="J30" s="81"/>
      <c r="K30" s="40"/>
      <c r="L30" s="40"/>
      <c r="M30" s="81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3.5" customHeight="1">
      <c r="A31" s="40"/>
      <c r="B31" s="40"/>
      <c r="C31" s="40"/>
      <c r="D31" s="81"/>
      <c r="E31" s="40"/>
      <c r="F31" s="40"/>
      <c r="G31" s="81"/>
      <c r="H31" s="40"/>
      <c r="I31" s="40"/>
      <c r="J31" s="81"/>
      <c r="K31" s="40"/>
      <c r="L31" s="40"/>
      <c r="M31" s="81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3.5" customHeight="1">
      <c r="A32" s="40"/>
      <c r="B32" s="40"/>
      <c r="C32" s="40"/>
      <c r="D32" s="81"/>
      <c r="E32" s="40"/>
      <c r="F32" s="40"/>
      <c r="G32" s="81"/>
      <c r="H32" s="40"/>
      <c r="I32" s="40"/>
      <c r="J32" s="81"/>
      <c r="K32" s="40"/>
      <c r="L32" s="40"/>
      <c r="M32" s="81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3.5" customHeight="1">
      <c r="A33" s="40"/>
      <c r="B33" s="40"/>
      <c r="C33" s="40"/>
      <c r="D33" s="81"/>
      <c r="E33" s="40"/>
      <c r="F33" s="40"/>
      <c r="G33" s="81"/>
      <c r="H33" s="40"/>
      <c r="I33" s="40"/>
      <c r="J33" s="81"/>
      <c r="K33" s="40"/>
      <c r="L33" s="40"/>
      <c r="M33" s="81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3.5" customHeight="1">
      <c r="A34" s="40"/>
      <c r="B34" s="40"/>
      <c r="C34" s="40"/>
      <c r="D34" s="81"/>
      <c r="E34" s="40"/>
      <c r="F34" s="40"/>
      <c r="G34" s="81"/>
      <c r="H34" s="40"/>
      <c r="I34" s="40"/>
      <c r="J34" s="81"/>
      <c r="K34" s="40"/>
      <c r="L34" s="40"/>
      <c r="M34" s="81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3.5" customHeight="1">
      <c r="A35" s="40"/>
      <c r="B35" s="40"/>
      <c r="C35" s="40"/>
      <c r="D35" s="81"/>
      <c r="E35" s="40"/>
      <c r="F35" s="40"/>
      <c r="G35" s="81"/>
      <c r="H35" s="40"/>
      <c r="I35" s="40"/>
      <c r="J35" s="81"/>
      <c r="K35" s="40"/>
      <c r="L35" s="40"/>
      <c r="M35" s="81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3.5" customHeight="1">
      <c r="A36" s="88" t="s">
        <v>162</v>
      </c>
      <c r="B36" s="40"/>
      <c r="C36" s="40"/>
      <c r="D36" s="81"/>
      <c r="E36" s="40"/>
      <c r="F36" s="40"/>
      <c r="G36" s="81"/>
      <c r="H36" s="40"/>
      <c r="I36" s="40"/>
      <c r="J36" s="81"/>
      <c r="K36" s="40"/>
      <c r="L36" s="40"/>
      <c r="M36" s="81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3.5" customHeight="1">
      <c r="A37" s="40"/>
      <c r="B37" s="40"/>
      <c r="C37" s="40"/>
      <c r="D37" s="81"/>
      <c r="E37" s="40"/>
      <c r="F37" s="40"/>
      <c r="G37" s="81"/>
      <c r="H37" s="40"/>
      <c r="I37" s="40"/>
      <c r="J37" s="81"/>
      <c r="K37" s="40"/>
      <c r="L37" s="40"/>
      <c r="M37" s="81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3.5" customHeight="1">
      <c r="A38" s="40"/>
      <c r="B38" s="40"/>
      <c r="C38" s="40"/>
      <c r="D38" s="81"/>
      <c r="E38" s="40"/>
      <c r="F38" s="40"/>
      <c r="G38" s="81"/>
      <c r="H38" s="40"/>
      <c r="I38" s="40"/>
      <c r="J38" s="81"/>
      <c r="K38" s="40"/>
      <c r="L38" s="40"/>
      <c r="M38" s="81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3.5" customHeight="1">
      <c r="A39" s="40"/>
      <c r="B39" s="40"/>
      <c r="C39" s="40"/>
      <c r="D39" s="81"/>
      <c r="E39" s="40"/>
      <c r="F39" s="40"/>
      <c r="G39" s="81"/>
      <c r="H39" s="40"/>
      <c r="I39" s="40"/>
      <c r="J39" s="81"/>
      <c r="K39" s="40"/>
      <c r="L39" s="40"/>
      <c r="M39" s="81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3.5" customHeight="1">
      <c r="A40" s="40"/>
      <c r="B40" s="40"/>
      <c r="C40" s="40"/>
      <c r="D40" s="81"/>
      <c r="E40" s="40"/>
      <c r="F40" s="40"/>
      <c r="G40" s="81"/>
      <c r="H40" s="40"/>
      <c r="I40" s="40"/>
      <c r="J40" s="81"/>
      <c r="K40" s="40"/>
      <c r="L40" s="40"/>
      <c r="M40" s="81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3.5" customHeight="1">
      <c r="A41" s="40"/>
      <c r="B41" s="40"/>
      <c r="C41" s="40"/>
      <c r="D41" s="81"/>
      <c r="E41" s="40"/>
      <c r="F41" s="40"/>
      <c r="G41" s="81"/>
      <c r="H41" s="40"/>
      <c r="I41" s="40"/>
      <c r="J41" s="81"/>
      <c r="K41" s="40"/>
      <c r="L41" s="40"/>
      <c r="M41" s="81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3.5" customHeight="1">
      <c r="A42" s="40"/>
      <c r="B42" s="40"/>
      <c r="C42" s="40"/>
      <c r="D42" s="81"/>
      <c r="E42" s="40"/>
      <c r="F42" s="40"/>
      <c r="G42" s="81"/>
      <c r="H42" s="40"/>
      <c r="I42" s="40"/>
      <c r="J42" s="81"/>
      <c r="K42" s="40"/>
      <c r="L42" s="40"/>
      <c r="M42" s="81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3.5" customHeight="1">
      <c r="A43" s="40"/>
      <c r="B43" s="40"/>
      <c r="C43" s="40"/>
      <c r="D43" s="81"/>
      <c r="E43" s="40"/>
      <c r="F43" s="40"/>
      <c r="G43" s="81"/>
      <c r="H43" s="40"/>
      <c r="I43" s="40"/>
      <c r="J43" s="81"/>
      <c r="K43" s="40"/>
      <c r="L43" s="40"/>
      <c r="M43" s="81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3.5" customHeight="1">
      <c r="A44" s="40"/>
      <c r="B44" s="40"/>
      <c r="C44" s="40"/>
      <c r="D44" s="81"/>
      <c r="E44" s="40"/>
      <c r="F44" s="40"/>
      <c r="G44" s="81"/>
      <c r="H44" s="40"/>
      <c r="I44" s="40"/>
      <c r="J44" s="81"/>
      <c r="K44" s="40"/>
      <c r="L44" s="40"/>
      <c r="M44" s="81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3.5" customHeight="1">
      <c r="A45" s="40"/>
      <c r="B45" s="40"/>
      <c r="C45" s="40"/>
      <c r="D45" s="81"/>
      <c r="E45" s="40"/>
      <c r="F45" s="40"/>
      <c r="G45" s="81"/>
      <c r="H45" s="40"/>
      <c r="I45" s="40"/>
      <c r="J45" s="81"/>
      <c r="K45" s="40"/>
      <c r="L45" s="40"/>
      <c r="M45" s="81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3.5" customHeight="1">
      <c r="A46" s="40"/>
      <c r="B46" s="40"/>
      <c r="C46" s="40"/>
      <c r="D46" s="81"/>
      <c r="E46" s="40"/>
      <c r="F46" s="40"/>
      <c r="G46" s="81"/>
      <c r="H46" s="40"/>
      <c r="I46" s="40"/>
      <c r="J46" s="81"/>
      <c r="K46" s="40"/>
      <c r="L46" s="40"/>
      <c r="M46" s="81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3.5" customHeight="1">
      <c r="A47" s="40"/>
      <c r="B47" s="40"/>
      <c r="C47" s="40"/>
      <c r="D47" s="81"/>
      <c r="E47" s="40"/>
      <c r="F47" s="40"/>
      <c r="G47" s="81"/>
      <c r="H47" s="40"/>
      <c r="I47" s="40"/>
      <c r="J47" s="81"/>
      <c r="K47" s="40"/>
      <c r="L47" s="40"/>
      <c r="M47" s="81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3.5" customHeight="1">
      <c r="A48" s="40"/>
      <c r="B48" s="40"/>
      <c r="C48" s="40"/>
      <c r="D48" s="81"/>
      <c r="E48" s="40"/>
      <c r="F48" s="40"/>
      <c r="G48" s="81"/>
      <c r="H48" s="40"/>
      <c r="I48" s="40"/>
      <c r="J48" s="81"/>
      <c r="K48" s="40"/>
      <c r="L48" s="40"/>
      <c r="M48" s="81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3.5" customHeight="1">
      <c r="A49" s="40"/>
      <c r="B49" s="40"/>
      <c r="C49" s="40"/>
      <c r="D49" s="81"/>
      <c r="E49" s="40"/>
      <c r="F49" s="40"/>
      <c r="G49" s="81"/>
      <c r="H49" s="40"/>
      <c r="I49" s="40"/>
      <c r="J49" s="81"/>
      <c r="K49" s="40"/>
      <c r="L49" s="40"/>
      <c r="M49" s="81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3.5" customHeight="1">
      <c r="A50" s="40"/>
      <c r="B50" s="40"/>
      <c r="C50" s="40"/>
      <c r="D50" s="81"/>
      <c r="E50" s="40"/>
      <c r="F50" s="40"/>
      <c r="G50" s="81"/>
      <c r="H50" s="40"/>
      <c r="I50" s="40"/>
      <c r="J50" s="81"/>
      <c r="K50" s="40"/>
      <c r="L50" s="40"/>
      <c r="M50" s="81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3.5" customHeight="1">
      <c r="A51" s="40"/>
      <c r="B51" s="40"/>
      <c r="C51" s="40"/>
      <c r="D51" s="81"/>
      <c r="E51" s="40"/>
      <c r="F51" s="40"/>
      <c r="G51" s="81"/>
      <c r="H51" s="40"/>
      <c r="I51" s="40"/>
      <c r="J51" s="81"/>
      <c r="K51" s="40"/>
      <c r="L51" s="40"/>
      <c r="M51" s="81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3.5" customHeight="1">
      <c r="A52" s="40"/>
      <c r="B52" s="40"/>
      <c r="C52" s="40"/>
      <c r="D52" s="81"/>
      <c r="E52" s="40"/>
      <c r="F52" s="40"/>
      <c r="G52" s="81"/>
      <c r="H52" s="40"/>
      <c r="I52" s="40"/>
      <c r="J52" s="81"/>
      <c r="K52" s="40"/>
      <c r="L52" s="40"/>
      <c r="M52" s="81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3.5" customHeight="1">
      <c r="A53" s="40"/>
      <c r="B53" s="40"/>
      <c r="C53" s="40"/>
      <c r="D53" s="81"/>
      <c r="E53" s="40"/>
      <c r="F53" s="40"/>
      <c r="G53" s="81"/>
      <c r="H53" s="40"/>
      <c r="I53" s="40"/>
      <c r="J53" s="81"/>
      <c r="K53" s="40"/>
      <c r="L53" s="40"/>
      <c r="M53" s="81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3.5" customHeight="1">
      <c r="A54" s="40"/>
      <c r="B54" s="40"/>
      <c r="C54" s="40"/>
      <c r="D54" s="81"/>
      <c r="E54" s="40"/>
      <c r="F54" s="40"/>
      <c r="G54" s="81"/>
      <c r="H54" s="40"/>
      <c r="I54" s="40"/>
      <c r="J54" s="81"/>
      <c r="K54" s="40"/>
      <c r="L54" s="40"/>
      <c r="M54" s="81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3.5" customHeight="1">
      <c r="A55" s="40"/>
      <c r="B55" s="40"/>
      <c r="C55" s="40"/>
      <c r="D55" s="81"/>
      <c r="E55" s="40"/>
      <c r="F55" s="40"/>
      <c r="G55" s="81"/>
      <c r="H55" s="40"/>
      <c r="I55" s="40"/>
      <c r="J55" s="81"/>
      <c r="K55" s="40"/>
      <c r="L55" s="40"/>
      <c r="M55" s="81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3.5" customHeight="1">
      <c r="A56" s="40"/>
      <c r="B56" s="40"/>
      <c r="C56" s="40"/>
      <c r="D56" s="81"/>
      <c r="E56" s="40"/>
      <c r="F56" s="40"/>
      <c r="G56" s="81"/>
      <c r="H56" s="40"/>
      <c r="I56" s="40"/>
      <c r="J56" s="81"/>
      <c r="K56" s="40"/>
      <c r="L56" s="40"/>
      <c r="M56" s="81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3.5" customHeight="1">
      <c r="A57" s="40"/>
      <c r="B57" s="40"/>
      <c r="C57" s="40"/>
      <c r="D57" s="81"/>
      <c r="E57" s="40"/>
      <c r="F57" s="40"/>
      <c r="G57" s="81"/>
      <c r="H57" s="40"/>
      <c r="I57" s="40"/>
      <c r="J57" s="81"/>
      <c r="K57" s="40"/>
      <c r="L57" s="40"/>
      <c r="M57" s="81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3.5" customHeight="1">
      <c r="A58" s="40"/>
      <c r="B58" s="40"/>
      <c r="C58" s="40"/>
      <c r="D58" s="81"/>
      <c r="E58" s="40"/>
      <c r="F58" s="40"/>
      <c r="G58" s="81"/>
      <c r="H58" s="40"/>
      <c r="I58" s="40"/>
      <c r="J58" s="81"/>
      <c r="K58" s="40"/>
      <c r="L58" s="40"/>
      <c r="M58" s="81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3.5" customHeight="1">
      <c r="A59" s="40"/>
      <c r="B59" s="40"/>
      <c r="C59" s="40"/>
      <c r="D59" s="81"/>
      <c r="E59" s="40"/>
      <c r="F59" s="40"/>
      <c r="G59" s="81"/>
      <c r="H59" s="40"/>
      <c r="I59" s="40"/>
      <c r="J59" s="81"/>
      <c r="K59" s="40"/>
      <c r="L59" s="40"/>
      <c r="M59" s="81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3.5" customHeight="1">
      <c r="A60" s="40"/>
      <c r="B60" s="40"/>
      <c r="C60" s="40"/>
      <c r="D60" s="81"/>
      <c r="E60" s="40"/>
      <c r="F60" s="40"/>
      <c r="G60" s="81"/>
      <c r="H60" s="40"/>
      <c r="I60" s="40"/>
      <c r="J60" s="81"/>
      <c r="K60" s="40"/>
      <c r="L60" s="40"/>
      <c r="M60" s="81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3.5" customHeight="1">
      <c r="A61" s="40"/>
      <c r="B61" s="40"/>
      <c r="C61" s="40"/>
      <c r="D61" s="81"/>
      <c r="E61" s="40"/>
      <c r="F61" s="40"/>
      <c r="G61" s="81"/>
      <c r="H61" s="40"/>
      <c r="I61" s="40"/>
      <c r="J61" s="81"/>
      <c r="K61" s="40"/>
      <c r="L61" s="40"/>
      <c r="M61" s="81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3.5" customHeight="1">
      <c r="A62" s="40"/>
      <c r="B62" s="40"/>
      <c r="C62" s="40"/>
      <c r="D62" s="81"/>
      <c r="E62" s="40"/>
      <c r="F62" s="40"/>
      <c r="G62" s="81"/>
      <c r="H62" s="40"/>
      <c r="I62" s="40"/>
      <c r="J62" s="81"/>
      <c r="K62" s="40"/>
      <c r="L62" s="40"/>
      <c r="M62" s="81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3.5" customHeight="1">
      <c r="A63" s="40"/>
      <c r="B63" s="40"/>
      <c r="C63" s="40"/>
      <c r="D63" s="81"/>
      <c r="E63" s="40"/>
      <c r="F63" s="40"/>
      <c r="G63" s="81"/>
      <c r="H63" s="40"/>
      <c r="I63" s="40"/>
      <c r="J63" s="81"/>
      <c r="K63" s="40"/>
      <c r="L63" s="40"/>
      <c r="M63" s="81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3.5" customHeight="1">
      <c r="A64" s="40"/>
      <c r="B64" s="40"/>
      <c r="C64" s="40"/>
      <c r="D64" s="81"/>
      <c r="E64" s="40"/>
      <c r="F64" s="40"/>
      <c r="G64" s="81"/>
      <c r="H64" s="40"/>
      <c r="I64" s="40"/>
      <c r="J64" s="81"/>
      <c r="K64" s="40"/>
      <c r="L64" s="40"/>
      <c r="M64" s="81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3.5" customHeight="1">
      <c r="A65" s="40"/>
      <c r="B65" s="40"/>
      <c r="C65" s="40"/>
      <c r="D65" s="81"/>
      <c r="E65" s="40"/>
      <c r="F65" s="40"/>
      <c r="G65" s="81"/>
      <c r="H65" s="40"/>
      <c r="I65" s="40"/>
      <c r="J65" s="81"/>
      <c r="K65" s="40"/>
      <c r="L65" s="40"/>
      <c r="M65" s="81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3.5" customHeight="1">
      <c r="A66" s="40"/>
      <c r="B66" s="40"/>
      <c r="C66" s="40"/>
      <c r="D66" s="81"/>
      <c r="E66" s="40"/>
      <c r="F66" s="40"/>
      <c r="G66" s="81"/>
      <c r="H66" s="40"/>
      <c r="I66" s="40"/>
      <c r="J66" s="81"/>
      <c r="K66" s="40"/>
      <c r="L66" s="40"/>
      <c r="M66" s="81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3.5" customHeight="1">
      <c r="A67" s="40"/>
      <c r="B67" s="40"/>
      <c r="C67" s="40"/>
      <c r="D67" s="81"/>
      <c r="E67" s="40"/>
      <c r="F67" s="40"/>
      <c r="G67" s="81"/>
      <c r="H67" s="40"/>
      <c r="I67" s="40"/>
      <c r="J67" s="81"/>
      <c r="K67" s="40"/>
      <c r="L67" s="40"/>
      <c r="M67" s="81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3.5" customHeight="1">
      <c r="A68" s="40"/>
      <c r="B68" s="40"/>
      <c r="C68" s="40"/>
      <c r="D68" s="81"/>
      <c r="E68" s="40"/>
      <c r="F68" s="40"/>
      <c r="G68" s="81"/>
      <c r="H68" s="40"/>
      <c r="I68" s="40"/>
      <c r="J68" s="81"/>
      <c r="K68" s="40"/>
      <c r="L68" s="40"/>
      <c r="M68" s="81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3.5" customHeight="1">
      <c r="A69" s="40"/>
      <c r="B69" s="40"/>
      <c r="C69" s="40"/>
      <c r="D69" s="81"/>
      <c r="E69" s="40"/>
      <c r="F69" s="40"/>
      <c r="G69" s="81"/>
      <c r="H69" s="40"/>
      <c r="I69" s="40"/>
      <c r="J69" s="81"/>
      <c r="K69" s="40"/>
      <c r="L69" s="40"/>
      <c r="M69" s="81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3.5" customHeight="1">
      <c r="A70" s="40"/>
      <c r="B70" s="40"/>
      <c r="C70" s="40"/>
      <c r="D70" s="81"/>
      <c r="E70" s="40"/>
      <c r="F70" s="40"/>
      <c r="G70" s="81"/>
      <c r="H70" s="40"/>
      <c r="I70" s="40"/>
      <c r="J70" s="81"/>
      <c r="K70" s="40"/>
      <c r="L70" s="40"/>
      <c r="M70" s="81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3.5" customHeight="1">
      <c r="A71" s="40"/>
      <c r="B71" s="40"/>
      <c r="C71" s="40"/>
      <c r="D71" s="81"/>
      <c r="E71" s="40"/>
      <c r="F71" s="40"/>
      <c r="G71" s="81"/>
      <c r="H71" s="40"/>
      <c r="I71" s="40"/>
      <c r="J71" s="81"/>
      <c r="K71" s="40"/>
      <c r="L71" s="40"/>
      <c r="M71" s="81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3.5" customHeight="1">
      <c r="A72" s="40"/>
      <c r="B72" s="40"/>
      <c r="C72" s="40"/>
      <c r="D72" s="81"/>
      <c r="E72" s="40"/>
      <c r="F72" s="40"/>
      <c r="G72" s="81"/>
      <c r="H72" s="40"/>
      <c r="I72" s="40"/>
      <c r="J72" s="81"/>
      <c r="K72" s="40"/>
      <c r="L72" s="40"/>
      <c r="M72" s="81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3.5" customHeight="1">
      <c r="A73" s="40"/>
      <c r="B73" s="40"/>
      <c r="C73" s="40"/>
      <c r="D73" s="81"/>
      <c r="E73" s="40"/>
      <c r="F73" s="40"/>
      <c r="G73" s="81"/>
      <c r="H73" s="40"/>
      <c r="I73" s="40"/>
      <c r="J73" s="81"/>
      <c r="K73" s="40"/>
      <c r="L73" s="40"/>
      <c r="M73" s="81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3.5" customHeight="1">
      <c r="A74" s="40"/>
      <c r="B74" s="40"/>
      <c r="C74" s="40"/>
      <c r="D74" s="81"/>
      <c r="E74" s="40"/>
      <c r="F74" s="40"/>
      <c r="G74" s="81"/>
      <c r="H74" s="40"/>
      <c r="I74" s="40"/>
      <c r="J74" s="81"/>
      <c r="K74" s="40"/>
      <c r="L74" s="40"/>
      <c r="M74" s="81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3.5" customHeight="1">
      <c r="A75" s="40"/>
      <c r="B75" s="40"/>
      <c r="C75" s="40"/>
      <c r="D75" s="81"/>
      <c r="E75" s="40"/>
      <c r="F75" s="40"/>
      <c r="G75" s="81"/>
      <c r="H75" s="40"/>
      <c r="I75" s="40"/>
      <c r="J75" s="81"/>
      <c r="K75" s="40"/>
      <c r="L75" s="40"/>
      <c r="M75" s="81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3.5" customHeight="1">
      <c r="A76" s="40"/>
      <c r="B76" s="40"/>
      <c r="C76" s="40"/>
      <c r="D76" s="81"/>
      <c r="E76" s="40"/>
      <c r="F76" s="40"/>
      <c r="G76" s="81"/>
      <c r="H76" s="40"/>
      <c r="I76" s="40"/>
      <c r="J76" s="81"/>
      <c r="K76" s="40"/>
      <c r="L76" s="40"/>
      <c r="M76" s="81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3.5" customHeight="1">
      <c r="A77" s="40"/>
      <c r="B77" s="40"/>
      <c r="C77" s="40"/>
      <c r="D77" s="81"/>
      <c r="E77" s="40"/>
      <c r="F77" s="40"/>
      <c r="G77" s="81"/>
      <c r="H77" s="40"/>
      <c r="I77" s="40"/>
      <c r="J77" s="81"/>
      <c r="K77" s="40"/>
      <c r="L77" s="40"/>
      <c r="M77" s="81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3.5" customHeight="1">
      <c r="A78" s="40"/>
      <c r="B78" s="40"/>
      <c r="C78" s="40"/>
      <c r="D78" s="81"/>
      <c r="E78" s="40"/>
      <c r="F78" s="40"/>
      <c r="G78" s="81"/>
      <c r="H78" s="40"/>
      <c r="I78" s="40"/>
      <c r="J78" s="81"/>
      <c r="K78" s="40"/>
      <c r="L78" s="40"/>
      <c r="M78" s="81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3.5" customHeight="1">
      <c r="A79" s="40"/>
      <c r="B79" s="40"/>
      <c r="C79" s="40"/>
      <c r="D79" s="81"/>
      <c r="E79" s="40"/>
      <c r="F79" s="40"/>
      <c r="G79" s="81"/>
      <c r="H79" s="40"/>
      <c r="I79" s="40"/>
      <c r="J79" s="81"/>
      <c r="K79" s="40"/>
      <c r="L79" s="40"/>
      <c r="M79" s="81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3.5" customHeight="1">
      <c r="A80" s="40"/>
      <c r="B80" s="40"/>
      <c r="C80" s="40"/>
      <c r="D80" s="81"/>
      <c r="E80" s="40"/>
      <c r="F80" s="40"/>
      <c r="G80" s="81"/>
      <c r="H80" s="40"/>
      <c r="I80" s="40"/>
      <c r="J80" s="81"/>
      <c r="K80" s="40"/>
      <c r="L80" s="40"/>
      <c r="M80" s="81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3.5" customHeight="1">
      <c r="A81" s="40"/>
      <c r="B81" s="40"/>
      <c r="C81" s="40"/>
      <c r="D81" s="81"/>
      <c r="E81" s="40"/>
      <c r="F81" s="40"/>
      <c r="G81" s="81"/>
      <c r="H81" s="40"/>
      <c r="I81" s="40"/>
      <c r="J81" s="81"/>
      <c r="K81" s="40"/>
      <c r="L81" s="40"/>
      <c r="M81" s="81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3.5" customHeight="1">
      <c r="A82" s="40"/>
      <c r="B82" s="40"/>
      <c r="C82" s="40"/>
      <c r="D82" s="81"/>
      <c r="E82" s="40"/>
      <c r="F82" s="40"/>
      <c r="G82" s="81"/>
      <c r="H82" s="40"/>
      <c r="I82" s="40"/>
      <c r="J82" s="81"/>
      <c r="K82" s="40"/>
      <c r="L82" s="40"/>
      <c r="M82" s="81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3.5" customHeight="1">
      <c r="A83" s="40"/>
      <c r="B83" s="40"/>
      <c r="C83" s="40"/>
      <c r="D83" s="81"/>
      <c r="E83" s="40"/>
      <c r="F83" s="40"/>
      <c r="G83" s="81"/>
      <c r="H83" s="40"/>
      <c r="I83" s="40"/>
      <c r="J83" s="81"/>
      <c r="K83" s="40"/>
      <c r="L83" s="40"/>
      <c r="M83" s="81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3.5" customHeight="1">
      <c r="A84" s="40"/>
      <c r="B84" s="40"/>
      <c r="C84" s="40"/>
      <c r="D84" s="81"/>
      <c r="E84" s="40"/>
      <c r="F84" s="40"/>
      <c r="G84" s="81"/>
      <c r="H84" s="40"/>
      <c r="I84" s="40"/>
      <c r="J84" s="81"/>
      <c r="K84" s="40"/>
      <c r="L84" s="40"/>
      <c r="M84" s="81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3.5" customHeight="1">
      <c r="A85" s="40"/>
      <c r="B85" s="40"/>
      <c r="C85" s="40"/>
      <c r="D85" s="81"/>
      <c r="E85" s="40"/>
      <c r="F85" s="40"/>
      <c r="G85" s="81"/>
      <c r="H85" s="40"/>
      <c r="I85" s="40"/>
      <c r="J85" s="81"/>
      <c r="K85" s="40"/>
      <c r="L85" s="40"/>
      <c r="M85" s="81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3.5" customHeight="1">
      <c r="A86" s="40"/>
      <c r="B86" s="40"/>
      <c r="C86" s="40"/>
      <c r="D86" s="81"/>
      <c r="E86" s="40"/>
      <c r="F86" s="40"/>
      <c r="G86" s="81"/>
      <c r="H86" s="40"/>
      <c r="I86" s="40"/>
      <c r="J86" s="81"/>
      <c r="K86" s="40"/>
      <c r="L86" s="40"/>
      <c r="M86" s="81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3.5" customHeight="1">
      <c r="A87" s="40"/>
      <c r="B87" s="40"/>
      <c r="C87" s="40"/>
      <c r="D87" s="81"/>
      <c r="E87" s="40"/>
      <c r="F87" s="40"/>
      <c r="G87" s="81"/>
      <c r="H87" s="40"/>
      <c r="I87" s="40"/>
      <c r="J87" s="81"/>
      <c r="K87" s="40"/>
      <c r="L87" s="40"/>
      <c r="M87" s="81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3.5" customHeight="1">
      <c r="A88" s="40"/>
      <c r="B88" s="40"/>
      <c r="C88" s="40"/>
      <c r="D88" s="81"/>
      <c r="E88" s="40"/>
      <c r="F88" s="40"/>
      <c r="G88" s="81"/>
      <c r="H88" s="40"/>
      <c r="I88" s="40"/>
      <c r="J88" s="81"/>
      <c r="K88" s="40"/>
      <c r="L88" s="40"/>
      <c r="M88" s="81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3.5" customHeight="1">
      <c r="A89" s="40"/>
      <c r="B89" s="40"/>
      <c r="C89" s="40"/>
      <c r="D89" s="81"/>
      <c r="E89" s="40"/>
      <c r="F89" s="40"/>
      <c r="G89" s="81"/>
      <c r="H89" s="40"/>
      <c r="I89" s="40"/>
      <c r="J89" s="81"/>
      <c r="K89" s="40"/>
      <c r="L89" s="40"/>
      <c r="M89" s="81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3.5" customHeight="1">
      <c r="A90" s="40"/>
      <c r="B90" s="40"/>
      <c r="C90" s="40"/>
      <c r="D90" s="81"/>
      <c r="E90" s="40"/>
      <c r="F90" s="40"/>
      <c r="G90" s="81"/>
      <c r="H90" s="40"/>
      <c r="I90" s="40"/>
      <c r="J90" s="81"/>
      <c r="K90" s="40"/>
      <c r="L90" s="40"/>
      <c r="M90" s="81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3.5" customHeight="1">
      <c r="A91" s="40"/>
      <c r="B91" s="40"/>
      <c r="C91" s="40"/>
      <c r="D91" s="81"/>
      <c r="E91" s="40"/>
      <c r="F91" s="40"/>
      <c r="G91" s="81"/>
      <c r="H91" s="40"/>
      <c r="I91" s="40"/>
      <c r="J91" s="81"/>
      <c r="K91" s="40"/>
      <c r="L91" s="40"/>
      <c r="M91" s="81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3.5" customHeight="1">
      <c r="A92" s="40"/>
      <c r="B92" s="40"/>
      <c r="C92" s="40"/>
      <c r="D92" s="81"/>
      <c r="E92" s="40"/>
      <c r="F92" s="40"/>
      <c r="G92" s="81"/>
      <c r="H92" s="40"/>
      <c r="I92" s="40"/>
      <c r="J92" s="81"/>
      <c r="K92" s="40"/>
      <c r="L92" s="40"/>
      <c r="M92" s="81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3.5" customHeight="1">
      <c r="A93" s="40"/>
      <c r="B93" s="40"/>
      <c r="C93" s="40"/>
      <c r="D93" s="81"/>
      <c r="E93" s="40"/>
      <c r="F93" s="40"/>
      <c r="G93" s="81"/>
      <c r="H93" s="40"/>
      <c r="I93" s="40"/>
      <c r="J93" s="81"/>
      <c r="K93" s="40"/>
      <c r="L93" s="40"/>
      <c r="M93" s="81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3.5" customHeight="1">
      <c r="A94" s="40"/>
      <c r="B94" s="40"/>
      <c r="C94" s="40"/>
      <c r="D94" s="81"/>
      <c r="E94" s="40"/>
      <c r="F94" s="40"/>
      <c r="G94" s="81"/>
      <c r="H94" s="40"/>
      <c r="I94" s="40"/>
      <c r="J94" s="81"/>
      <c r="K94" s="40"/>
      <c r="L94" s="40"/>
      <c r="M94" s="81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3.5" customHeight="1">
      <c r="A95" s="40"/>
      <c r="B95" s="40"/>
      <c r="C95" s="40"/>
      <c r="D95" s="81"/>
      <c r="E95" s="40"/>
      <c r="F95" s="40"/>
      <c r="G95" s="81"/>
      <c r="H95" s="40"/>
      <c r="I95" s="40"/>
      <c r="J95" s="81"/>
      <c r="K95" s="40"/>
      <c r="L95" s="40"/>
      <c r="M95" s="81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3.5" customHeight="1">
      <c r="A96" s="40"/>
      <c r="B96" s="40"/>
      <c r="C96" s="40"/>
      <c r="D96" s="81"/>
      <c r="E96" s="40"/>
      <c r="F96" s="40"/>
      <c r="G96" s="81"/>
      <c r="H96" s="40"/>
      <c r="I96" s="40"/>
      <c r="J96" s="81"/>
      <c r="K96" s="40"/>
      <c r="L96" s="40"/>
      <c r="M96" s="81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3.5" customHeight="1">
      <c r="A97" s="40"/>
      <c r="B97" s="40"/>
      <c r="C97" s="40"/>
      <c r="D97" s="81"/>
      <c r="E97" s="40"/>
      <c r="F97" s="40"/>
      <c r="G97" s="81"/>
      <c r="H97" s="40"/>
      <c r="I97" s="40"/>
      <c r="J97" s="81"/>
      <c r="K97" s="40"/>
      <c r="L97" s="40"/>
      <c r="M97" s="81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3.5" customHeight="1">
      <c r="A98" s="40"/>
      <c r="B98" s="40"/>
      <c r="C98" s="40"/>
      <c r="D98" s="81"/>
      <c r="E98" s="40"/>
      <c r="F98" s="40"/>
      <c r="G98" s="81"/>
      <c r="H98" s="40"/>
      <c r="I98" s="40"/>
      <c r="J98" s="81"/>
      <c r="K98" s="40"/>
      <c r="L98" s="40"/>
      <c r="M98" s="81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3.5" customHeight="1">
      <c r="A99" s="40"/>
      <c r="B99" s="40"/>
      <c r="C99" s="40"/>
      <c r="D99" s="81"/>
      <c r="E99" s="40"/>
      <c r="F99" s="40"/>
      <c r="G99" s="81"/>
      <c r="H99" s="40"/>
      <c r="I99" s="40"/>
      <c r="J99" s="81"/>
      <c r="K99" s="40"/>
      <c r="L99" s="40"/>
      <c r="M99" s="81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3.5" customHeight="1">
      <c r="A100" s="40"/>
      <c r="B100" s="40"/>
      <c r="C100" s="40"/>
      <c r="D100" s="81"/>
      <c r="E100" s="40"/>
      <c r="F100" s="40"/>
      <c r="G100" s="81"/>
      <c r="H100" s="40"/>
      <c r="I100" s="40"/>
      <c r="J100" s="81"/>
      <c r="K100" s="40"/>
      <c r="L100" s="40"/>
      <c r="M100" s="81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3.5" customHeight="1">
      <c r="A101" s="40"/>
      <c r="B101" s="40"/>
      <c r="C101" s="40"/>
      <c r="D101" s="81"/>
      <c r="E101" s="40"/>
      <c r="F101" s="40"/>
      <c r="G101" s="81"/>
      <c r="H101" s="40"/>
      <c r="I101" s="40"/>
      <c r="J101" s="81"/>
      <c r="K101" s="40"/>
      <c r="L101" s="40"/>
      <c r="M101" s="81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3.5" customHeight="1">
      <c r="A102" s="40"/>
      <c r="B102" s="40"/>
      <c r="C102" s="40"/>
      <c r="D102" s="81"/>
      <c r="E102" s="40"/>
      <c r="F102" s="40"/>
      <c r="G102" s="81"/>
      <c r="H102" s="40"/>
      <c r="I102" s="40"/>
      <c r="J102" s="81"/>
      <c r="K102" s="40"/>
      <c r="L102" s="40"/>
      <c r="M102" s="81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3.5" customHeight="1">
      <c r="A103" s="40"/>
      <c r="B103" s="40"/>
      <c r="C103" s="40"/>
      <c r="D103" s="81"/>
      <c r="E103" s="40"/>
      <c r="F103" s="40"/>
      <c r="G103" s="81"/>
      <c r="H103" s="40"/>
      <c r="I103" s="40"/>
      <c r="J103" s="81"/>
      <c r="K103" s="40"/>
      <c r="L103" s="40"/>
      <c r="M103" s="81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3.5" customHeight="1">
      <c r="A104" s="40"/>
      <c r="B104" s="40"/>
      <c r="C104" s="40"/>
      <c r="D104" s="81"/>
      <c r="E104" s="40"/>
      <c r="F104" s="40"/>
      <c r="G104" s="81"/>
      <c r="H104" s="40"/>
      <c r="I104" s="40"/>
      <c r="J104" s="81"/>
      <c r="K104" s="40"/>
      <c r="L104" s="40"/>
      <c r="M104" s="81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3.5" customHeight="1">
      <c r="A105" s="40"/>
      <c r="B105" s="40"/>
      <c r="C105" s="40"/>
      <c r="D105" s="81"/>
      <c r="E105" s="40"/>
      <c r="F105" s="40"/>
      <c r="G105" s="81"/>
      <c r="H105" s="40"/>
      <c r="I105" s="40"/>
      <c r="J105" s="81"/>
      <c r="K105" s="40"/>
      <c r="L105" s="40"/>
      <c r="M105" s="81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3.5" customHeight="1">
      <c r="A106" s="40"/>
      <c r="B106" s="40"/>
      <c r="C106" s="40"/>
      <c r="D106" s="81"/>
      <c r="E106" s="40"/>
      <c r="F106" s="40"/>
      <c r="G106" s="81"/>
      <c r="H106" s="40"/>
      <c r="I106" s="40"/>
      <c r="J106" s="81"/>
      <c r="K106" s="40"/>
      <c r="L106" s="40"/>
      <c r="M106" s="81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3.5" customHeight="1">
      <c r="A107" s="40"/>
      <c r="B107" s="40"/>
      <c r="C107" s="40"/>
      <c r="D107" s="81"/>
      <c r="E107" s="40"/>
      <c r="F107" s="40"/>
      <c r="G107" s="81"/>
      <c r="H107" s="40"/>
      <c r="I107" s="40"/>
      <c r="J107" s="81"/>
      <c r="K107" s="40"/>
      <c r="L107" s="40"/>
      <c r="M107" s="81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3.5" customHeight="1">
      <c r="A108" s="40"/>
      <c r="B108" s="40"/>
      <c r="C108" s="40"/>
      <c r="D108" s="81"/>
      <c r="E108" s="40"/>
      <c r="F108" s="40"/>
      <c r="G108" s="81"/>
      <c r="H108" s="40"/>
      <c r="I108" s="40"/>
      <c r="J108" s="81"/>
      <c r="K108" s="40"/>
      <c r="L108" s="40"/>
      <c r="M108" s="81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3.5" customHeight="1">
      <c r="A109" s="40"/>
      <c r="B109" s="40"/>
      <c r="C109" s="40"/>
      <c r="D109" s="81"/>
      <c r="E109" s="40"/>
      <c r="F109" s="40"/>
      <c r="G109" s="81"/>
      <c r="H109" s="40"/>
      <c r="I109" s="40"/>
      <c r="J109" s="81"/>
      <c r="K109" s="40"/>
      <c r="L109" s="40"/>
      <c r="M109" s="81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3.5" customHeight="1">
      <c r="A110" s="40"/>
      <c r="B110" s="40"/>
      <c r="C110" s="40"/>
      <c r="D110" s="81"/>
      <c r="E110" s="40"/>
      <c r="F110" s="40"/>
      <c r="G110" s="81"/>
      <c r="H110" s="40"/>
      <c r="I110" s="40"/>
      <c r="J110" s="81"/>
      <c r="K110" s="40"/>
      <c r="L110" s="40"/>
      <c r="M110" s="81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3.5" customHeight="1">
      <c r="A111" s="40"/>
      <c r="B111" s="40"/>
      <c r="C111" s="40"/>
      <c r="D111" s="81"/>
      <c r="E111" s="40"/>
      <c r="F111" s="40"/>
      <c r="G111" s="81"/>
      <c r="H111" s="40"/>
      <c r="I111" s="40"/>
      <c r="J111" s="81"/>
      <c r="K111" s="40"/>
      <c r="L111" s="40"/>
      <c r="M111" s="81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3.5" customHeight="1">
      <c r="A112" s="40"/>
      <c r="B112" s="40"/>
      <c r="C112" s="40"/>
      <c r="D112" s="81"/>
      <c r="E112" s="40"/>
      <c r="F112" s="40"/>
      <c r="G112" s="81"/>
      <c r="H112" s="40"/>
      <c r="I112" s="40"/>
      <c r="J112" s="81"/>
      <c r="K112" s="40"/>
      <c r="L112" s="40"/>
      <c r="M112" s="81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3.5" customHeight="1">
      <c r="A113" s="40"/>
      <c r="B113" s="40"/>
      <c r="C113" s="40"/>
      <c r="D113" s="81"/>
      <c r="E113" s="40"/>
      <c r="F113" s="40"/>
      <c r="G113" s="81"/>
      <c r="H113" s="40"/>
      <c r="I113" s="40"/>
      <c r="J113" s="81"/>
      <c r="K113" s="40"/>
      <c r="L113" s="40"/>
      <c r="M113" s="81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3.5" customHeight="1">
      <c r="A114" s="40"/>
      <c r="B114" s="40"/>
      <c r="C114" s="40"/>
      <c r="D114" s="81"/>
      <c r="E114" s="40"/>
      <c r="F114" s="40"/>
      <c r="G114" s="81"/>
      <c r="H114" s="40"/>
      <c r="I114" s="40"/>
      <c r="J114" s="81"/>
      <c r="K114" s="40"/>
      <c r="L114" s="40"/>
      <c r="M114" s="81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3.5" customHeight="1">
      <c r="A115" s="40"/>
      <c r="B115" s="40"/>
      <c r="C115" s="40"/>
      <c r="D115" s="81"/>
      <c r="E115" s="40"/>
      <c r="F115" s="40"/>
      <c r="G115" s="81"/>
      <c r="H115" s="40"/>
      <c r="I115" s="40"/>
      <c r="J115" s="81"/>
      <c r="K115" s="40"/>
      <c r="L115" s="40"/>
      <c r="M115" s="81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3.5" customHeight="1">
      <c r="A116" s="40"/>
      <c r="B116" s="40"/>
      <c r="C116" s="40"/>
      <c r="D116" s="81"/>
      <c r="E116" s="40"/>
      <c r="F116" s="40"/>
      <c r="G116" s="81"/>
      <c r="H116" s="40"/>
      <c r="I116" s="40"/>
      <c r="J116" s="81"/>
      <c r="K116" s="40"/>
      <c r="L116" s="40"/>
      <c r="M116" s="81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3.5" customHeight="1">
      <c r="A117" s="40"/>
      <c r="B117" s="40"/>
      <c r="C117" s="40"/>
      <c r="D117" s="81"/>
      <c r="E117" s="40"/>
      <c r="F117" s="40"/>
      <c r="G117" s="81"/>
      <c r="H117" s="40"/>
      <c r="I117" s="40"/>
      <c r="J117" s="81"/>
      <c r="K117" s="40"/>
      <c r="L117" s="40"/>
      <c r="M117" s="81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3.5" customHeight="1">
      <c r="A118" s="40"/>
      <c r="B118" s="40"/>
      <c r="C118" s="40"/>
      <c r="D118" s="81"/>
      <c r="E118" s="40"/>
      <c r="F118" s="40"/>
      <c r="G118" s="81"/>
      <c r="H118" s="40"/>
      <c r="I118" s="40"/>
      <c r="J118" s="81"/>
      <c r="K118" s="40"/>
      <c r="L118" s="40"/>
      <c r="M118" s="81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3.5" customHeight="1">
      <c r="A119" s="40"/>
      <c r="B119" s="40"/>
      <c r="C119" s="40"/>
      <c r="D119" s="81"/>
      <c r="E119" s="40"/>
      <c r="F119" s="40"/>
      <c r="G119" s="81"/>
      <c r="H119" s="40"/>
      <c r="I119" s="40"/>
      <c r="J119" s="81"/>
      <c r="K119" s="40"/>
      <c r="L119" s="40"/>
      <c r="M119" s="81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3.5" customHeight="1">
      <c r="A120" s="40"/>
      <c r="B120" s="40"/>
      <c r="C120" s="40"/>
      <c r="D120" s="81"/>
      <c r="E120" s="40"/>
      <c r="F120" s="40"/>
      <c r="G120" s="81"/>
      <c r="H120" s="40"/>
      <c r="I120" s="40"/>
      <c r="J120" s="81"/>
      <c r="K120" s="40"/>
      <c r="L120" s="40"/>
      <c r="M120" s="81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3.5" customHeight="1">
      <c r="A121" s="40"/>
      <c r="B121" s="40"/>
      <c r="C121" s="40"/>
      <c r="D121" s="81"/>
      <c r="E121" s="40"/>
      <c r="F121" s="40"/>
      <c r="G121" s="81"/>
      <c r="H121" s="40"/>
      <c r="I121" s="40"/>
      <c r="J121" s="81"/>
      <c r="K121" s="40"/>
      <c r="L121" s="40"/>
      <c r="M121" s="81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3.5" customHeight="1">
      <c r="A122" s="40"/>
      <c r="B122" s="40"/>
      <c r="C122" s="40"/>
      <c r="D122" s="81"/>
      <c r="E122" s="40"/>
      <c r="F122" s="40"/>
      <c r="G122" s="81"/>
      <c r="H122" s="40"/>
      <c r="I122" s="40"/>
      <c r="J122" s="81"/>
      <c r="K122" s="40"/>
      <c r="L122" s="40"/>
      <c r="M122" s="81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3.5" customHeight="1">
      <c r="A123" s="40"/>
      <c r="B123" s="40"/>
      <c r="C123" s="40"/>
      <c r="D123" s="81"/>
      <c r="E123" s="40"/>
      <c r="F123" s="40"/>
      <c r="G123" s="81"/>
      <c r="H123" s="40"/>
      <c r="I123" s="40"/>
      <c r="J123" s="81"/>
      <c r="K123" s="40"/>
      <c r="L123" s="40"/>
      <c r="M123" s="81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3.5" customHeight="1">
      <c r="A124" s="40"/>
      <c r="B124" s="40"/>
      <c r="C124" s="40"/>
      <c r="D124" s="81"/>
      <c r="E124" s="40"/>
      <c r="F124" s="40"/>
      <c r="G124" s="81"/>
      <c r="H124" s="40"/>
      <c r="I124" s="40"/>
      <c r="J124" s="81"/>
      <c r="K124" s="40"/>
      <c r="L124" s="40"/>
      <c r="M124" s="81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3.5" customHeight="1">
      <c r="A125" s="40"/>
      <c r="B125" s="40"/>
      <c r="C125" s="40"/>
      <c r="D125" s="81"/>
      <c r="E125" s="40"/>
      <c r="F125" s="40"/>
      <c r="G125" s="81"/>
      <c r="H125" s="40"/>
      <c r="I125" s="40"/>
      <c r="J125" s="81"/>
      <c r="K125" s="40"/>
      <c r="L125" s="40"/>
      <c r="M125" s="81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3.5" customHeight="1">
      <c r="A126" s="40"/>
      <c r="B126" s="40"/>
      <c r="C126" s="40"/>
      <c r="D126" s="81"/>
      <c r="E126" s="40"/>
      <c r="F126" s="40"/>
      <c r="G126" s="81"/>
      <c r="H126" s="40"/>
      <c r="I126" s="40"/>
      <c r="J126" s="81"/>
      <c r="K126" s="40"/>
      <c r="L126" s="40"/>
      <c r="M126" s="81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3.5" customHeight="1">
      <c r="A127" s="40"/>
      <c r="B127" s="40"/>
      <c r="C127" s="40"/>
      <c r="D127" s="81"/>
      <c r="E127" s="40"/>
      <c r="F127" s="40"/>
      <c r="G127" s="81"/>
      <c r="H127" s="40"/>
      <c r="I127" s="40"/>
      <c r="J127" s="81"/>
      <c r="K127" s="40"/>
      <c r="L127" s="40"/>
      <c r="M127" s="81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3.5" customHeight="1">
      <c r="A128" s="40"/>
      <c r="B128" s="40"/>
      <c r="C128" s="40"/>
      <c r="D128" s="81"/>
      <c r="E128" s="40"/>
      <c r="F128" s="40"/>
      <c r="G128" s="81"/>
      <c r="H128" s="40"/>
      <c r="I128" s="40"/>
      <c r="J128" s="81"/>
      <c r="K128" s="40"/>
      <c r="L128" s="40"/>
      <c r="M128" s="81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3.5" customHeight="1">
      <c r="A129" s="40"/>
      <c r="B129" s="40"/>
      <c r="C129" s="40"/>
      <c r="D129" s="81"/>
      <c r="E129" s="40"/>
      <c r="F129" s="40"/>
      <c r="G129" s="81"/>
      <c r="H129" s="40"/>
      <c r="I129" s="40"/>
      <c r="J129" s="81"/>
      <c r="K129" s="40"/>
      <c r="L129" s="40"/>
      <c r="M129" s="81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3.5" customHeight="1">
      <c r="A130" s="40"/>
      <c r="B130" s="40"/>
      <c r="C130" s="40"/>
      <c r="D130" s="81"/>
      <c r="E130" s="40"/>
      <c r="F130" s="40"/>
      <c r="G130" s="81"/>
      <c r="H130" s="40"/>
      <c r="I130" s="40"/>
      <c r="J130" s="81"/>
      <c r="K130" s="40"/>
      <c r="L130" s="40"/>
      <c r="M130" s="81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3.5" customHeight="1">
      <c r="A131" s="40"/>
      <c r="B131" s="40"/>
      <c r="C131" s="40"/>
      <c r="D131" s="81"/>
      <c r="E131" s="40"/>
      <c r="F131" s="40"/>
      <c r="G131" s="81"/>
      <c r="H131" s="40"/>
      <c r="I131" s="40"/>
      <c r="J131" s="81"/>
      <c r="K131" s="40"/>
      <c r="L131" s="40"/>
      <c r="M131" s="81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3.5" customHeight="1">
      <c r="A132" s="40"/>
      <c r="B132" s="40"/>
      <c r="C132" s="40"/>
      <c r="D132" s="81"/>
      <c r="E132" s="40"/>
      <c r="F132" s="40"/>
      <c r="G132" s="81"/>
      <c r="H132" s="40"/>
      <c r="I132" s="40"/>
      <c r="J132" s="81"/>
      <c r="K132" s="40"/>
      <c r="L132" s="40"/>
      <c r="M132" s="81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3.5" customHeight="1">
      <c r="A133" s="40"/>
      <c r="B133" s="40"/>
      <c r="C133" s="40"/>
      <c r="D133" s="81"/>
      <c r="E133" s="40"/>
      <c r="F133" s="40"/>
      <c r="G133" s="81"/>
      <c r="H133" s="40"/>
      <c r="I133" s="40"/>
      <c r="J133" s="81"/>
      <c r="K133" s="40"/>
      <c r="L133" s="40"/>
      <c r="M133" s="81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3.5" customHeight="1">
      <c r="A134" s="40"/>
      <c r="B134" s="40"/>
      <c r="C134" s="40"/>
      <c r="D134" s="81"/>
      <c r="E134" s="40"/>
      <c r="F134" s="40"/>
      <c r="G134" s="81"/>
      <c r="H134" s="40"/>
      <c r="I134" s="40"/>
      <c r="J134" s="81"/>
      <c r="K134" s="40"/>
      <c r="L134" s="40"/>
      <c r="M134" s="81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3.5" customHeight="1">
      <c r="A135" s="40"/>
      <c r="B135" s="40"/>
      <c r="C135" s="40"/>
      <c r="D135" s="81"/>
      <c r="E135" s="40"/>
      <c r="F135" s="40"/>
      <c r="G135" s="81"/>
      <c r="H135" s="40"/>
      <c r="I135" s="40"/>
      <c r="J135" s="81"/>
      <c r="K135" s="40"/>
      <c r="L135" s="40"/>
      <c r="M135" s="81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3.5" customHeight="1">
      <c r="A136" s="40"/>
      <c r="B136" s="40"/>
      <c r="C136" s="40"/>
      <c r="D136" s="81"/>
      <c r="E136" s="40"/>
      <c r="F136" s="40"/>
      <c r="G136" s="81"/>
      <c r="H136" s="40"/>
      <c r="I136" s="40"/>
      <c r="J136" s="81"/>
      <c r="K136" s="40"/>
      <c r="L136" s="40"/>
      <c r="M136" s="81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3.5" customHeight="1">
      <c r="A137" s="40"/>
      <c r="B137" s="40"/>
      <c r="C137" s="40"/>
      <c r="D137" s="81"/>
      <c r="E137" s="40"/>
      <c r="F137" s="40"/>
      <c r="G137" s="81"/>
      <c r="H137" s="40"/>
      <c r="I137" s="40"/>
      <c r="J137" s="81"/>
      <c r="K137" s="40"/>
      <c r="L137" s="40"/>
      <c r="M137" s="81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3.5" customHeight="1">
      <c r="A138" s="40"/>
      <c r="B138" s="40"/>
      <c r="C138" s="40"/>
      <c r="D138" s="81"/>
      <c r="E138" s="40"/>
      <c r="F138" s="40"/>
      <c r="G138" s="81"/>
      <c r="H138" s="40"/>
      <c r="I138" s="40"/>
      <c r="J138" s="81"/>
      <c r="K138" s="40"/>
      <c r="L138" s="40"/>
      <c r="M138" s="81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3.5" customHeight="1">
      <c r="A139" s="40"/>
      <c r="B139" s="40"/>
      <c r="C139" s="40"/>
      <c r="D139" s="81"/>
      <c r="E139" s="40"/>
      <c r="F139" s="40"/>
      <c r="G139" s="81"/>
      <c r="H139" s="40"/>
      <c r="I139" s="40"/>
      <c r="J139" s="81"/>
      <c r="K139" s="40"/>
      <c r="L139" s="40"/>
      <c r="M139" s="81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3.5" customHeight="1">
      <c r="A140" s="40"/>
      <c r="B140" s="40"/>
      <c r="C140" s="40"/>
      <c r="D140" s="81"/>
      <c r="E140" s="40"/>
      <c r="F140" s="40"/>
      <c r="G140" s="81"/>
      <c r="H140" s="40"/>
      <c r="I140" s="40"/>
      <c r="J140" s="81"/>
      <c r="K140" s="40"/>
      <c r="L140" s="40"/>
      <c r="M140" s="81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3.5" customHeight="1">
      <c r="A141" s="40"/>
      <c r="B141" s="40"/>
      <c r="C141" s="40"/>
      <c r="D141" s="81"/>
      <c r="E141" s="40"/>
      <c r="F141" s="40"/>
      <c r="G141" s="81"/>
      <c r="H141" s="40"/>
      <c r="I141" s="40"/>
      <c r="J141" s="81"/>
      <c r="K141" s="40"/>
      <c r="L141" s="40"/>
      <c r="M141" s="81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3.5" customHeight="1">
      <c r="A142" s="40"/>
      <c r="B142" s="40"/>
      <c r="C142" s="40"/>
      <c r="D142" s="81"/>
      <c r="E142" s="40"/>
      <c r="F142" s="40"/>
      <c r="G142" s="81"/>
      <c r="H142" s="40"/>
      <c r="I142" s="40"/>
      <c r="J142" s="81"/>
      <c r="K142" s="40"/>
      <c r="L142" s="40"/>
      <c r="M142" s="81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3.5" customHeight="1">
      <c r="A143" s="40"/>
      <c r="B143" s="40"/>
      <c r="C143" s="40"/>
      <c r="D143" s="81"/>
      <c r="E143" s="40"/>
      <c r="F143" s="40"/>
      <c r="G143" s="81"/>
      <c r="H143" s="40"/>
      <c r="I143" s="40"/>
      <c r="J143" s="81"/>
      <c r="K143" s="40"/>
      <c r="L143" s="40"/>
      <c r="M143" s="81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3.5" customHeight="1">
      <c r="A144" s="40"/>
      <c r="B144" s="40"/>
      <c r="C144" s="40"/>
      <c r="D144" s="81"/>
      <c r="E144" s="40"/>
      <c r="F144" s="40"/>
      <c r="G144" s="81"/>
      <c r="H144" s="40"/>
      <c r="I144" s="40"/>
      <c r="J144" s="81"/>
      <c r="K144" s="40"/>
      <c r="L144" s="40"/>
      <c r="M144" s="81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3.5" customHeight="1">
      <c r="A145" s="40"/>
      <c r="B145" s="40"/>
      <c r="C145" s="40"/>
      <c r="D145" s="81"/>
      <c r="E145" s="40"/>
      <c r="F145" s="40"/>
      <c r="G145" s="81"/>
      <c r="H145" s="40"/>
      <c r="I145" s="40"/>
      <c r="J145" s="81"/>
      <c r="K145" s="40"/>
      <c r="L145" s="40"/>
      <c r="M145" s="81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3.5" customHeight="1">
      <c r="A146" s="40"/>
      <c r="B146" s="40"/>
      <c r="C146" s="40"/>
      <c r="D146" s="81"/>
      <c r="E146" s="40"/>
      <c r="F146" s="40"/>
      <c r="G146" s="81"/>
      <c r="H146" s="40"/>
      <c r="I146" s="40"/>
      <c r="J146" s="81"/>
      <c r="K146" s="40"/>
      <c r="L146" s="40"/>
      <c r="M146" s="81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3.5" customHeight="1">
      <c r="A147" s="40"/>
      <c r="B147" s="40"/>
      <c r="C147" s="40"/>
      <c r="D147" s="81"/>
      <c r="E147" s="40"/>
      <c r="F147" s="40"/>
      <c r="G147" s="81"/>
      <c r="H147" s="40"/>
      <c r="I147" s="40"/>
      <c r="J147" s="81"/>
      <c r="K147" s="40"/>
      <c r="L147" s="40"/>
      <c r="M147" s="81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3.5" customHeight="1">
      <c r="A148" s="40"/>
      <c r="B148" s="40"/>
      <c r="C148" s="40"/>
      <c r="D148" s="81"/>
      <c r="E148" s="40"/>
      <c r="F148" s="40"/>
      <c r="G148" s="81"/>
      <c r="H148" s="40"/>
      <c r="I148" s="40"/>
      <c r="J148" s="81"/>
      <c r="K148" s="40"/>
      <c r="L148" s="40"/>
      <c r="M148" s="81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3.5" customHeight="1">
      <c r="A149" s="40"/>
      <c r="B149" s="40"/>
      <c r="C149" s="40"/>
      <c r="D149" s="81"/>
      <c r="E149" s="40"/>
      <c r="F149" s="40"/>
      <c r="G149" s="81"/>
      <c r="H149" s="40"/>
      <c r="I149" s="40"/>
      <c r="J149" s="81"/>
      <c r="K149" s="40"/>
      <c r="L149" s="40"/>
      <c r="M149" s="81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3.5" customHeight="1">
      <c r="A150" s="40"/>
      <c r="B150" s="40"/>
      <c r="C150" s="40"/>
      <c r="D150" s="81"/>
      <c r="E150" s="40"/>
      <c r="F150" s="40"/>
      <c r="G150" s="81"/>
      <c r="H150" s="40"/>
      <c r="I150" s="40"/>
      <c r="J150" s="81"/>
      <c r="K150" s="40"/>
      <c r="L150" s="40"/>
      <c r="M150" s="81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3.5" customHeight="1">
      <c r="A151" s="40"/>
      <c r="B151" s="40"/>
      <c r="C151" s="40"/>
      <c r="D151" s="81"/>
      <c r="E151" s="40"/>
      <c r="F151" s="40"/>
      <c r="G151" s="81"/>
      <c r="H151" s="40"/>
      <c r="I151" s="40"/>
      <c r="J151" s="81"/>
      <c r="K151" s="40"/>
      <c r="L151" s="40"/>
      <c r="M151" s="81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3.5" customHeight="1">
      <c r="A152" s="40"/>
      <c r="B152" s="40"/>
      <c r="C152" s="40"/>
      <c r="D152" s="81"/>
      <c r="E152" s="40"/>
      <c r="F152" s="40"/>
      <c r="G152" s="81"/>
      <c r="H152" s="40"/>
      <c r="I152" s="40"/>
      <c r="J152" s="81"/>
      <c r="K152" s="40"/>
      <c r="L152" s="40"/>
      <c r="M152" s="81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3.5" customHeight="1">
      <c r="A153" s="40"/>
      <c r="B153" s="40"/>
      <c r="C153" s="40"/>
      <c r="D153" s="81"/>
      <c r="E153" s="40"/>
      <c r="F153" s="40"/>
      <c r="G153" s="81"/>
      <c r="H153" s="40"/>
      <c r="I153" s="40"/>
      <c r="J153" s="81"/>
      <c r="K153" s="40"/>
      <c r="L153" s="40"/>
      <c r="M153" s="81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3.5" customHeight="1">
      <c r="A154" s="40"/>
      <c r="B154" s="40"/>
      <c r="C154" s="40"/>
      <c r="D154" s="81"/>
      <c r="E154" s="40"/>
      <c r="F154" s="40"/>
      <c r="G154" s="81"/>
      <c r="H154" s="40"/>
      <c r="I154" s="40"/>
      <c r="J154" s="81"/>
      <c r="K154" s="40"/>
      <c r="L154" s="40"/>
      <c r="M154" s="81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3.5" customHeight="1">
      <c r="A155" s="40"/>
      <c r="B155" s="40"/>
      <c r="C155" s="40"/>
      <c r="D155" s="81"/>
      <c r="E155" s="40"/>
      <c r="F155" s="40"/>
      <c r="G155" s="81"/>
      <c r="H155" s="40"/>
      <c r="I155" s="40"/>
      <c r="J155" s="81"/>
      <c r="K155" s="40"/>
      <c r="L155" s="40"/>
      <c r="M155" s="81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3.5" customHeight="1">
      <c r="A156" s="40"/>
      <c r="B156" s="40"/>
      <c r="C156" s="40"/>
      <c r="D156" s="81"/>
      <c r="E156" s="40"/>
      <c r="F156" s="40"/>
      <c r="G156" s="81"/>
      <c r="H156" s="40"/>
      <c r="I156" s="40"/>
      <c r="J156" s="81"/>
      <c r="K156" s="40"/>
      <c r="L156" s="40"/>
      <c r="M156" s="81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3.5" customHeight="1">
      <c r="A157" s="40"/>
      <c r="B157" s="40"/>
      <c r="C157" s="40"/>
      <c r="D157" s="81"/>
      <c r="E157" s="40"/>
      <c r="F157" s="40"/>
      <c r="G157" s="81"/>
      <c r="H157" s="40"/>
      <c r="I157" s="40"/>
      <c r="J157" s="81"/>
      <c r="K157" s="40"/>
      <c r="L157" s="40"/>
      <c r="M157" s="81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3.5" customHeight="1">
      <c r="A158" s="40"/>
      <c r="B158" s="40"/>
      <c r="C158" s="40"/>
      <c r="D158" s="81"/>
      <c r="E158" s="40"/>
      <c r="F158" s="40"/>
      <c r="G158" s="81"/>
      <c r="H158" s="40"/>
      <c r="I158" s="40"/>
      <c r="J158" s="81"/>
      <c r="K158" s="40"/>
      <c r="L158" s="40"/>
      <c r="M158" s="81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3.5" customHeight="1">
      <c r="A159" s="40"/>
      <c r="B159" s="40"/>
      <c r="C159" s="40"/>
      <c r="D159" s="81"/>
      <c r="E159" s="40"/>
      <c r="F159" s="40"/>
      <c r="G159" s="81"/>
      <c r="H159" s="40"/>
      <c r="I159" s="40"/>
      <c r="J159" s="81"/>
      <c r="K159" s="40"/>
      <c r="L159" s="40"/>
      <c r="M159" s="81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3.5" customHeight="1">
      <c r="A160" s="40"/>
      <c r="B160" s="40"/>
      <c r="C160" s="40"/>
      <c r="D160" s="81"/>
      <c r="E160" s="40"/>
      <c r="F160" s="40"/>
      <c r="G160" s="81"/>
      <c r="H160" s="40"/>
      <c r="I160" s="40"/>
      <c r="J160" s="81"/>
      <c r="K160" s="40"/>
      <c r="L160" s="40"/>
      <c r="M160" s="81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3.5" customHeight="1">
      <c r="A161" s="40"/>
      <c r="B161" s="40"/>
      <c r="C161" s="40"/>
      <c r="D161" s="81"/>
      <c r="E161" s="40"/>
      <c r="F161" s="40"/>
      <c r="G161" s="81"/>
      <c r="H161" s="40"/>
      <c r="I161" s="40"/>
      <c r="J161" s="81"/>
      <c r="K161" s="40"/>
      <c r="L161" s="40"/>
      <c r="M161" s="81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3.5" customHeight="1">
      <c r="A162" s="40"/>
      <c r="B162" s="40"/>
      <c r="C162" s="40"/>
      <c r="D162" s="81"/>
      <c r="E162" s="40"/>
      <c r="F162" s="40"/>
      <c r="G162" s="81"/>
      <c r="H162" s="40"/>
      <c r="I162" s="40"/>
      <c r="J162" s="81"/>
      <c r="K162" s="40"/>
      <c r="L162" s="40"/>
      <c r="M162" s="81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3.5" customHeight="1">
      <c r="A163" s="40"/>
      <c r="B163" s="40"/>
      <c r="C163" s="40"/>
      <c r="D163" s="81"/>
      <c r="E163" s="40"/>
      <c r="F163" s="40"/>
      <c r="G163" s="81"/>
      <c r="H163" s="40"/>
      <c r="I163" s="40"/>
      <c r="J163" s="81"/>
      <c r="K163" s="40"/>
      <c r="L163" s="40"/>
      <c r="M163" s="81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3.5" customHeight="1">
      <c r="A164" s="40"/>
      <c r="B164" s="40"/>
      <c r="C164" s="40"/>
      <c r="D164" s="81"/>
      <c r="E164" s="40"/>
      <c r="F164" s="40"/>
      <c r="G164" s="81"/>
      <c r="H164" s="40"/>
      <c r="I164" s="40"/>
      <c r="J164" s="81"/>
      <c r="K164" s="40"/>
      <c r="L164" s="40"/>
      <c r="M164" s="81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3.5" customHeight="1">
      <c r="A165" s="40"/>
      <c r="B165" s="40"/>
      <c r="C165" s="40"/>
      <c r="D165" s="81"/>
      <c r="E165" s="40"/>
      <c r="F165" s="40"/>
      <c r="G165" s="81"/>
      <c r="H165" s="40"/>
      <c r="I165" s="40"/>
      <c r="J165" s="81"/>
      <c r="K165" s="40"/>
      <c r="L165" s="40"/>
      <c r="M165" s="81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3.5" customHeight="1">
      <c r="A166" s="40"/>
      <c r="B166" s="40"/>
      <c r="C166" s="40"/>
      <c r="D166" s="81"/>
      <c r="E166" s="40"/>
      <c r="F166" s="40"/>
      <c r="G166" s="81"/>
      <c r="H166" s="40"/>
      <c r="I166" s="40"/>
      <c r="J166" s="81"/>
      <c r="K166" s="40"/>
      <c r="L166" s="40"/>
      <c r="M166" s="81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3.5" customHeight="1">
      <c r="A167" s="40"/>
      <c r="B167" s="40"/>
      <c r="C167" s="40"/>
      <c r="D167" s="81"/>
      <c r="E167" s="40"/>
      <c r="F167" s="40"/>
      <c r="G167" s="81"/>
      <c r="H167" s="40"/>
      <c r="I167" s="40"/>
      <c r="J167" s="81"/>
      <c r="K167" s="40"/>
      <c r="L167" s="40"/>
      <c r="M167" s="81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3.5" customHeight="1">
      <c r="A168" s="40"/>
      <c r="B168" s="40"/>
      <c r="C168" s="40"/>
      <c r="D168" s="81"/>
      <c r="E168" s="40"/>
      <c r="F168" s="40"/>
      <c r="G168" s="81"/>
      <c r="H168" s="40"/>
      <c r="I168" s="40"/>
      <c r="J168" s="81"/>
      <c r="K168" s="40"/>
      <c r="L168" s="40"/>
      <c r="M168" s="81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3.5" customHeight="1">
      <c r="A169" s="40"/>
      <c r="B169" s="40"/>
      <c r="C169" s="40"/>
      <c r="D169" s="81"/>
      <c r="E169" s="40"/>
      <c r="F169" s="40"/>
      <c r="G169" s="81"/>
      <c r="H169" s="40"/>
      <c r="I169" s="40"/>
      <c r="J169" s="81"/>
      <c r="K169" s="40"/>
      <c r="L169" s="40"/>
      <c r="M169" s="81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3.5" customHeight="1">
      <c r="A170" s="40"/>
      <c r="B170" s="40"/>
      <c r="C170" s="40"/>
      <c r="D170" s="81"/>
      <c r="E170" s="40"/>
      <c r="F170" s="40"/>
      <c r="G170" s="81"/>
      <c r="H170" s="40"/>
      <c r="I170" s="40"/>
      <c r="J170" s="81"/>
      <c r="K170" s="40"/>
      <c r="L170" s="40"/>
      <c r="M170" s="81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3.5" customHeight="1">
      <c r="A171" s="40"/>
      <c r="B171" s="40"/>
      <c r="C171" s="40"/>
      <c r="D171" s="81"/>
      <c r="E171" s="40"/>
      <c r="F171" s="40"/>
      <c r="G171" s="81"/>
      <c r="H171" s="40"/>
      <c r="I171" s="40"/>
      <c r="J171" s="81"/>
      <c r="K171" s="40"/>
      <c r="L171" s="40"/>
      <c r="M171" s="81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3.5" customHeight="1">
      <c r="A172" s="40"/>
      <c r="B172" s="40"/>
      <c r="C172" s="40"/>
      <c r="D172" s="81"/>
      <c r="E172" s="40"/>
      <c r="F172" s="40"/>
      <c r="G172" s="81"/>
      <c r="H172" s="40"/>
      <c r="I172" s="40"/>
      <c r="J172" s="81"/>
      <c r="K172" s="40"/>
      <c r="L172" s="40"/>
      <c r="M172" s="81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3.5" customHeight="1">
      <c r="A173" s="40"/>
      <c r="B173" s="40"/>
      <c r="C173" s="40"/>
      <c r="D173" s="81"/>
      <c r="E173" s="40"/>
      <c r="F173" s="40"/>
      <c r="G173" s="81"/>
      <c r="H173" s="40"/>
      <c r="I173" s="40"/>
      <c r="J173" s="81"/>
      <c r="K173" s="40"/>
      <c r="L173" s="40"/>
      <c r="M173" s="81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3.5" customHeight="1">
      <c r="A174" s="40"/>
      <c r="B174" s="40"/>
      <c r="C174" s="40"/>
      <c r="D174" s="81"/>
      <c r="E174" s="40"/>
      <c r="F174" s="40"/>
      <c r="G174" s="81"/>
      <c r="H174" s="40"/>
      <c r="I174" s="40"/>
      <c r="J174" s="81"/>
      <c r="K174" s="40"/>
      <c r="L174" s="40"/>
      <c r="M174" s="81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3.5" customHeight="1">
      <c r="A175" s="40"/>
      <c r="B175" s="40"/>
      <c r="C175" s="40"/>
      <c r="D175" s="81"/>
      <c r="E175" s="40"/>
      <c r="F175" s="40"/>
      <c r="G175" s="81"/>
      <c r="H175" s="40"/>
      <c r="I175" s="40"/>
      <c r="J175" s="81"/>
      <c r="K175" s="40"/>
      <c r="L175" s="40"/>
      <c r="M175" s="81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3.5" customHeight="1">
      <c r="A176" s="40"/>
      <c r="B176" s="40"/>
      <c r="C176" s="40"/>
      <c r="D176" s="81"/>
      <c r="E176" s="40"/>
      <c r="F176" s="40"/>
      <c r="G176" s="81"/>
      <c r="H176" s="40"/>
      <c r="I176" s="40"/>
      <c r="J176" s="81"/>
      <c r="K176" s="40"/>
      <c r="L176" s="40"/>
      <c r="M176" s="81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3.5" customHeight="1">
      <c r="A177" s="40"/>
      <c r="B177" s="40"/>
      <c r="C177" s="40"/>
      <c r="D177" s="81"/>
      <c r="E177" s="40"/>
      <c r="F177" s="40"/>
      <c r="G177" s="81"/>
      <c r="H177" s="40"/>
      <c r="I177" s="40"/>
      <c r="J177" s="81"/>
      <c r="K177" s="40"/>
      <c r="L177" s="40"/>
      <c r="M177" s="81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3.5" customHeight="1">
      <c r="A178" s="40"/>
      <c r="B178" s="40"/>
      <c r="C178" s="40"/>
      <c r="D178" s="81"/>
      <c r="E178" s="40"/>
      <c r="F178" s="40"/>
      <c r="G178" s="81"/>
      <c r="H178" s="40"/>
      <c r="I178" s="40"/>
      <c r="J178" s="81"/>
      <c r="K178" s="40"/>
      <c r="L178" s="40"/>
      <c r="M178" s="81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3.5" customHeight="1">
      <c r="A179" s="40"/>
      <c r="B179" s="40"/>
      <c r="C179" s="40"/>
      <c r="D179" s="81"/>
      <c r="E179" s="40"/>
      <c r="F179" s="40"/>
      <c r="G179" s="81"/>
      <c r="H179" s="40"/>
      <c r="I179" s="40"/>
      <c r="J179" s="81"/>
      <c r="K179" s="40"/>
      <c r="L179" s="40"/>
      <c r="M179" s="81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3.5" customHeight="1">
      <c r="A180" s="40"/>
      <c r="B180" s="40"/>
      <c r="C180" s="40"/>
      <c r="D180" s="81"/>
      <c r="E180" s="40"/>
      <c r="F180" s="40"/>
      <c r="G180" s="81"/>
      <c r="H180" s="40"/>
      <c r="I180" s="40"/>
      <c r="J180" s="81"/>
      <c r="K180" s="40"/>
      <c r="L180" s="40"/>
      <c r="M180" s="81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3.5" customHeight="1">
      <c r="A181" s="40"/>
      <c r="B181" s="40"/>
      <c r="C181" s="40"/>
      <c r="D181" s="81"/>
      <c r="E181" s="40"/>
      <c r="F181" s="40"/>
      <c r="G181" s="81"/>
      <c r="H181" s="40"/>
      <c r="I181" s="40"/>
      <c r="J181" s="81"/>
      <c r="K181" s="40"/>
      <c r="L181" s="40"/>
      <c r="M181" s="81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3.5" customHeight="1">
      <c r="A182" s="40"/>
      <c r="B182" s="40"/>
      <c r="C182" s="40"/>
      <c r="D182" s="81"/>
      <c r="E182" s="40"/>
      <c r="F182" s="40"/>
      <c r="G182" s="81"/>
      <c r="H182" s="40"/>
      <c r="I182" s="40"/>
      <c r="J182" s="81"/>
      <c r="K182" s="40"/>
      <c r="L182" s="40"/>
      <c r="M182" s="81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3.5" customHeight="1">
      <c r="A183" s="40"/>
      <c r="B183" s="40"/>
      <c r="C183" s="40"/>
      <c r="D183" s="81"/>
      <c r="E183" s="40"/>
      <c r="F183" s="40"/>
      <c r="G183" s="81"/>
      <c r="H183" s="40"/>
      <c r="I183" s="40"/>
      <c r="J183" s="81"/>
      <c r="K183" s="40"/>
      <c r="L183" s="40"/>
      <c r="M183" s="81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3.5" customHeight="1">
      <c r="A184" s="40"/>
      <c r="B184" s="40"/>
      <c r="C184" s="40"/>
      <c r="D184" s="81"/>
      <c r="E184" s="40"/>
      <c r="F184" s="40"/>
      <c r="G184" s="81"/>
      <c r="H184" s="40"/>
      <c r="I184" s="40"/>
      <c r="J184" s="81"/>
      <c r="K184" s="40"/>
      <c r="L184" s="40"/>
      <c r="M184" s="81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3.5" customHeight="1">
      <c r="A185" s="40"/>
      <c r="B185" s="40"/>
      <c r="C185" s="40"/>
      <c r="D185" s="81"/>
      <c r="E185" s="40"/>
      <c r="F185" s="40"/>
      <c r="G185" s="81"/>
      <c r="H185" s="40"/>
      <c r="I185" s="40"/>
      <c r="J185" s="81"/>
      <c r="K185" s="40"/>
      <c r="L185" s="40"/>
      <c r="M185" s="81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3.5" customHeight="1">
      <c r="A186" s="40"/>
      <c r="B186" s="40"/>
      <c r="C186" s="40"/>
      <c r="D186" s="81"/>
      <c r="E186" s="40"/>
      <c r="F186" s="40"/>
      <c r="G186" s="81"/>
      <c r="H186" s="40"/>
      <c r="I186" s="40"/>
      <c r="J186" s="81"/>
      <c r="K186" s="40"/>
      <c r="L186" s="40"/>
      <c r="M186" s="81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3.5" customHeight="1">
      <c r="A187" s="40"/>
      <c r="B187" s="40"/>
      <c r="C187" s="40"/>
      <c r="D187" s="81"/>
      <c r="E187" s="40"/>
      <c r="F187" s="40"/>
      <c r="G187" s="81"/>
      <c r="H187" s="40"/>
      <c r="I187" s="40"/>
      <c r="J187" s="81"/>
      <c r="K187" s="40"/>
      <c r="L187" s="40"/>
      <c r="M187" s="81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3.5" customHeight="1">
      <c r="A188" s="40"/>
      <c r="B188" s="40"/>
      <c r="C188" s="40"/>
      <c r="D188" s="81"/>
      <c r="E188" s="40"/>
      <c r="F188" s="40"/>
      <c r="G188" s="81"/>
      <c r="H188" s="40"/>
      <c r="I188" s="40"/>
      <c r="J188" s="81"/>
      <c r="K188" s="40"/>
      <c r="L188" s="40"/>
      <c r="M188" s="81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3.5" customHeight="1">
      <c r="A189" s="40"/>
      <c r="B189" s="40"/>
      <c r="C189" s="40"/>
      <c r="D189" s="81"/>
      <c r="E189" s="40"/>
      <c r="F189" s="40"/>
      <c r="G189" s="81"/>
      <c r="H189" s="40"/>
      <c r="I189" s="40"/>
      <c r="J189" s="81"/>
      <c r="K189" s="40"/>
      <c r="L189" s="40"/>
      <c r="M189" s="81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3.5" customHeight="1">
      <c r="A190" s="40"/>
      <c r="B190" s="40"/>
      <c r="C190" s="40"/>
      <c r="D190" s="81"/>
      <c r="E190" s="40"/>
      <c r="F190" s="40"/>
      <c r="G190" s="81"/>
      <c r="H190" s="40"/>
      <c r="I190" s="40"/>
      <c r="J190" s="81"/>
      <c r="K190" s="40"/>
      <c r="L190" s="40"/>
      <c r="M190" s="81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3.5" customHeight="1">
      <c r="A191" s="40"/>
      <c r="B191" s="40"/>
      <c r="C191" s="40"/>
      <c r="D191" s="81"/>
      <c r="E191" s="40"/>
      <c r="F191" s="40"/>
      <c r="G191" s="81"/>
      <c r="H191" s="40"/>
      <c r="I191" s="40"/>
      <c r="J191" s="81"/>
      <c r="K191" s="40"/>
      <c r="L191" s="40"/>
      <c r="M191" s="81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3.5" customHeight="1">
      <c r="A192" s="40"/>
      <c r="B192" s="40"/>
      <c r="C192" s="40"/>
      <c r="D192" s="81"/>
      <c r="E192" s="40"/>
      <c r="F192" s="40"/>
      <c r="G192" s="81"/>
      <c r="H192" s="40"/>
      <c r="I192" s="40"/>
      <c r="J192" s="81"/>
      <c r="K192" s="40"/>
      <c r="L192" s="40"/>
      <c r="M192" s="81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3.5" customHeight="1">
      <c r="A193" s="40"/>
      <c r="B193" s="40"/>
      <c r="C193" s="40"/>
      <c r="D193" s="81"/>
      <c r="E193" s="40"/>
      <c r="F193" s="40"/>
      <c r="G193" s="81"/>
      <c r="H193" s="40"/>
      <c r="I193" s="40"/>
      <c r="J193" s="81"/>
      <c r="K193" s="40"/>
      <c r="L193" s="40"/>
      <c r="M193" s="81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3.5" customHeight="1">
      <c r="A194" s="40"/>
      <c r="B194" s="40"/>
      <c r="C194" s="40"/>
      <c r="D194" s="81"/>
      <c r="E194" s="40"/>
      <c r="F194" s="40"/>
      <c r="G194" s="81"/>
      <c r="H194" s="40"/>
      <c r="I194" s="40"/>
      <c r="J194" s="81"/>
      <c r="K194" s="40"/>
      <c r="L194" s="40"/>
      <c r="M194" s="81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3.5" customHeight="1">
      <c r="A195" s="40"/>
      <c r="B195" s="40"/>
      <c r="C195" s="40"/>
      <c r="D195" s="81"/>
      <c r="E195" s="40"/>
      <c r="F195" s="40"/>
      <c r="G195" s="81"/>
      <c r="H195" s="40"/>
      <c r="I195" s="40"/>
      <c r="J195" s="81"/>
      <c r="K195" s="40"/>
      <c r="L195" s="40"/>
      <c r="M195" s="81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3.5" customHeight="1">
      <c r="A196" s="40"/>
      <c r="B196" s="40"/>
      <c r="C196" s="40"/>
      <c r="D196" s="81"/>
      <c r="E196" s="40"/>
      <c r="F196" s="40"/>
      <c r="G196" s="81"/>
      <c r="H196" s="40"/>
      <c r="I196" s="40"/>
      <c r="J196" s="81"/>
      <c r="K196" s="40"/>
      <c r="L196" s="40"/>
      <c r="M196" s="81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3.5" customHeight="1">
      <c r="A197" s="40"/>
      <c r="B197" s="40"/>
      <c r="C197" s="40"/>
      <c r="D197" s="81"/>
      <c r="E197" s="40"/>
      <c r="F197" s="40"/>
      <c r="G197" s="81"/>
      <c r="H197" s="40"/>
      <c r="I197" s="40"/>
      <c r="J197" s="81"/>
      <c r="K197" s="40"/>
      <c r="L197" s="40"/>
      <c r="M197" s="81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3.5" customHeight="1">
      <c r="A198" s="40"/>
      <c r="B198" s="40"/>
      <c r="C198" s="40"/>
      <c r="D198" s="81"/>
      <c r="E198" s="40"/>
      <c r="F198" s="40"/>
      <c r="G198" s="81"/>
      <c r="H198" s="40"/>
      <c r="I198" s="40"/>
      <c r="J198" s="81"/>
      <c r="K198" s="40"/>
      <c r="L198" s="40"/>
      <c r="M198" s="81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3.5" customHeight="1">
      <c r="A199" s="40"/>
      <c r="B199" s="40"/>
      <c r="C199" s="40"/>
      <c r="D199" s="81"/>
      <c r="E199" s="40"/>
      <c r="F199" s="40"/>
      <c r="G199" s="81"/>
      <c r="H199" s="40"/>
      <c r="I199" s="40"/>
      <c r="J199" s="81"/>
      <c r="K199" s="40"/>
      <c r="L199" s="40"/>
      <c r="M199" s="81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3.5" customHeight="1">
      <c r="A200" s="40"/>
      <c r="B200" s="40"/>
      <c r="C200" s="40"/>
      <c r="D200" s="81"/>
      <c r="E200" s="40"/>
      <c r="F200" s="40"/>
      <c r="G200" s="81"/>
      <c r="H200" s="40"/>
      <c r="I200" s="40"/>
      <c r="J200" s="81"/>
      <c r="K200" s="40"/>
      <c r="L200" s="40"/>
      <c r="M200" s="81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3.5" customHeight="1">
      <c r="A201" s="40"/>
      <c r="B201" s="40"/>
      <c r="C201" s="40"/>
      <c r="D201" s="81"/>
      <c r="E201" s="40"/>
      <c r="F201" s="40"/>
      <c r="G201" s="81"/>
      <c r="H201" s="40"/>
      <c r="I201" s="40"/>
      <c r="J201" s="81"/>
      <c r="K201" s="40"/>
      <c r="L201" s="40"/>
      <c r="M201" s="81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3.5" customHeight="1">
      <c r="A202" s="40"/>
      <c r="B202" s="40"/>
      <c r="C202" s="40"/>
      <c r="D202" s="81"/>
      <c r="E202" s="40"/>
      <c r="F202" s="40"/>
      <c r="G202" s="81"/>
      <c r="H202" s="40"/>
      <c r="I202" s="40"/>
      <c r="J202" s="81"/>
      <c r="K202" s="40"/>
      <c r="L202" s="40"/>
      <c r="M202" s="81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3.5" customHeight="1">
      <c r="A203" s="40"/>
      <c r="B203" s="40"/>
      <c r="C203" s="40"/>
      <c r="D203" s="81"/>
      <c r="E203" s="40"/>
      <c r="F203" s="40"/>
      <c r="G203" s="81"/>
      <c r="H203" s="40"/>
      <c r="I203" s="40"/>
      <c r="J203" s="81"/>
      <c r="K203" s="40"/>
      <c r="L203" s="40"/>
      <c r="M203" s="81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3.5" customHeight="1">
      <c r="A204" s="40"/>
      <c r="B204" s="40"/>
      <c r="C204" s="40"/>
      <c r="D204" s="81"/>
      <c r="E204" s="40"/>
      <c r="F204" s="40"/>
      <c r="G204" s="81"/>
      <c r="H204" s="40"/>
      <c r="I204" s="40"/>
      <c r="J204" s="81"/>
      <c r="K204" s="40"/>
      <c r="L204" s="40"/>
      <c r="M204" s="81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3.5" customHeight="1">
      <c r="A205" s="40"/>
      <c r="B205" s="40"/>
      <c r="C205" s="40"/>
      <c r="D205" s="81"/>
      <c r="E205" s="40"/>
      <c r="F205" s="40"/>
      <c r="G205" s="81"/>
      <c r="H205" s="40"/>
      <c r="I205" s="40"/>
      <c r="J205" s="81"/>
      <c r="K205" s="40"/>
      <c r="L205" s="40"/>
      <c r="M205" s="81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3.5" customHeight="1">
      <c r="A206" s="40"/>
      <c r="B206" s="40"/>
      <c r="C206" s="40"/>
      <c r="D206" s="81"/>
      <c r="E206" s="40"/>
      <c r="F206" s="40"/>
      <c r="G206" s="81"/>
      <c r="H206" s="40"/>
      <c r="I206" s="40"/>
      <c r="J206" s="81"/>
      <c r="K206" s="40"/>
      <c r="L206" s="40"/>
      <c r="M206" s="81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3.5" customHeight="1">
      <c r="A207" s="40"/>
      <c r="B207" s="40"/>
      <c r="C207" s="40"/>
      <c r="D207" s="81"/>
      <c r="E207" s="40"/>
      <c r="F207" s="40"/>
      <c r="G207" s="81"/>
      <c r="H207" s="40"/>
      <c r="I207" s="40"/>
      <c r="J207" s="81"/>
      <c r="K207" s="40"/>
      <c r="L207" s="40"/>
      <c r="M207" s="81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3.5" customHeight="1">
      <c r="A208" s="40"/>
      <c r="B208" s="40"/>
      <c r="C208" s="40"/>
      <c r="D208" s="81"/>
      <c r="E208" s="40"/>
      <c r="F208" s="40"/>
      <c r="G208" s="81"/>
      <c r="H208" s="40"/>
      <c r="I208" s="40"/>
      <c r="J208" s="81"/>
      <c r="K208" s="40"/>
      <c r="L208" s="40"/>
      <c r="M208" s="81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3.5" customHeight="1">
      <c r="A209" s="40"/>
      <c r="B209" s="40"/>
      <c r="C209" s="40"/>
      <c r="D209" s="81"/>
      <c r="E209" s="40"/>
      <c r="F209" s="40"/>
      <c r="G209" s="81"/>
      <c r="H209" s="40"/>
      <c r="I209" s="40"/>
      <c r="J209" s="81"/>
      <c r="K209" s="40"/>
      <c r="L209" s="40"/>
      <c r="M209" s="81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3.5" customHeight="1">
      <c r="A210" s="40"/>
      <c r="B210" s="40"/>
      <c r="C210" s="40"/>
      <c r="D210" s="81"/>
      <c r="E210" s="40"/>
      <c r="F210" s="40"/>
      <c r="G210" s="81"/>
      <c r="H210" s="40"/>
      <c r="I210" s="40"/>
      <c r="J210" s="81"/>
      <c r="K210" s="40"/>
      <c r="L210" s="40"/>
      <c r="M210" s="81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3.5" customHeight="1">
      <c r="A211" s="40"/>
      <c r="B211" s="40"/>
      <c r="C211" s="40"/>
      <c r="D211" s="81"/>
      <c r="E211" s="40"/>
      <c r="F211" s="40"/>
      <c r="G211" s="81"/>
      <c r="H211" s="40"/>
      <c r="I211" s="40"/>
      <c r="J211" s="81"/>
      <c r="K211" s="40"/>
      <c r="L211" s="40"/>
      <c r="M211" s="81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3.5" customHeight="1">
      <c r="A212" s="40"/>
      <c r="B212" s="40"/>
      <c r="C212" s="40"/>
      <c r="D212" s="81"/>
      <c r="E212" s="40"/>
      <c r="F212" s="40"/>
      <c r="G212" s="81"/>
      <c r="H212" s="40"/>
      <c r="I212" s="40"/>
      <c r="J212" s="81"/>
      <c r="K212" s="40"/>
      <c r="L212" s="40"/>
      <c r="M212" s="81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3.5" customHeight="1">
      <c r="A213" s="40"/>
      <c r="B213" s="40"/>
      <c r="C213" s="40"/>
      <c r="D213" s="81"/>
      <c r="E213" s="40"/>
      <c r="F213" s="40"/>
      <c r="G213" s="81"/>
      <c r="H213" s="40"/>
      <c r="I213" s="40"/>
      <c r="J213" s="81"/>
      <c r="K213" s="40"/>
      <c r="L213" s="40"/>
      <c r="M213" s="81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3.5" customHeight="1">
      <c r="A214" s="40"/>
      <c r="B214" s="40"/>
      <c r="C214" s="40"/>
      <c r="D214" s="81"/>
      <c r="E214" s="40"/>
      <c r="F214" s="40"/>
      <c r="G214" s="81"/>
      <c r="H214" s="40"/>
      <c r="I214" s="40"/>
      <c r="J214" s="81"/>
      <c r="K214" s="40"/>
      <c r="L214" s="40"/>
      <c r="M214" s="81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3.5" customHeight="1">
      <c r="A215" s="40"/>
      <c r="B215" s="40"/>
      <c r="C215" s="40"/>
      <c r="D215" s="81"/>
      <c r="E215" s="40"/>
      <c r="F215" s="40"/>
      <c r="G215" s="81"/>
      <c r="H215" s="40"/>
      <c r="I215" s="40"/>
      <c r="J215" s="81"/>
      <c r="K215" s="40"/>
      <c r="L215" s="40"/>
      <c r="M215" s="81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3.5" customHeight="1">
      <c r="A216" s="40"/>
      <c r="B216" s="40"/>
      <c r="C216" s="40"/>
      <c r="D216" s="81"/>
      <c r="E216" s="40"/>
      <c r="F216" s="40"/>
      <c r="G216" s="81"/>
      <c r="H216" s="40"/>
      <c r="I216" s="40"/>
      <c r="J216" s="81"/>
      <c r="K216" s="40"/>
      <c r="L216" s="40"/>
      <c r="M216" s="81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3.5" customHeight="1">
      <c r="A217" s="40"/>
      <c r="B217" s="40"/>
      <c r="C217" s="40"/>
      <c r="D217" s="81"/>
      <c r="E217" s="40"/>
      <c r="F217" s="40"/>
      <c r="G217" s="81"/>
      <c r="H217" s="40"/>
      <c r="I217" s="40"/>
      <c r="J217" s="81"/>
      <c r="K217" s="40"/>
      <c r="L217" s="40"/>
      <c r="M217" s="81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3.5" customHeight="1">
      <c r="A218" s="40"/>
      <c r="B218" s="40"/>
      <c r="C218" s="40"/>
      <c r="D218" s="81"/>
      <c r="E218" s="40"/>
      <c r="F218" s="40"/>
      <c r="G218" s="81"/>
      <c r="H218" s="40"/>
      <c r="I218" s="40"/>
      <c r="J218" s="81"/>
      <c r="K218" s="40"/>
      <c r="L218" s="40"/>
      <c r="M218" s="81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3.5" customHeight="1">
      <c r="A219" s="40"/>
      <c r="B219" s="40"/>
      <c r="C219" s="40"/>
      <c r="D219" s="81"/>
      <c r="E219" s="40"/>
      <c r="F219" s="40"/>
      <c r="G219" s="81"/>
      <c r="H219" s="40"/>
      <c r="I219" s="40"/>
      <c r="J219" s="81"/>
      <c r="K219" s="40"/>
      <c r="L219" s="40"/>
      <c r="M219" s="81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3.5" customHeight="1">
      <c r="A220" s="40"/>
      <c r="B220" s="40"/>
      <c r="C220" s="40"/>
      <c r="D220" s="81"/>
      <c r="E220" s="40"/>
      <c r="F220" s="40"/>
      <c r="G220" s="81"/>
      <c r="H220" s="40"/>
      <c r="I220" s="40"/>
      <c r="J220" s="81"/>
      <c r="K220" s="40"/>
      <c r="L220" s="40"/>
      <c r="M220" s="81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3.5" customHeight="1">
      <c r="A221" s="40"/>
      <c r="B221" s="40"/>
      <c r="C221" s="40"/>
      <c r="D221" s="81"/>
      <c r="E221" s="40"/>
      <c r="F221" s="40"/>
      <c r="G221" s="81"/>
      <c r="H221" s="40"/>
      <c r="I221" s="40"/>
      <c r="J221" s="81"/>
      <c r="K221" s="40"/>
      <c r="L221" s="40"/>
      <c r="M221" s="81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3.5" customHeight="1">
      <c r="A222" s="40"/>
      <c r="B222" s="40"/>
      <c r="C222" s="40"/>
      <c r="D222" s="81"/>
      <c r="E222" s="40"/>
      <c r="F222" s="40"/>
      <c r="G222" s="81"/>
      <c r="H222" s="40"/>
      <c r="I222" s="40"/>
      <c r="J222" s="81"/>
      <c r="K222" s="40"/>
      <c r="L222" s="40"/>
      <c r="M222" s="81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3.5" customHeight="1">
      <c r="A223" s="40"/>
      <c r="B223" s="40"/>
      <c r="C223" s="40"/>
      <c r="D223" s="81"/>
      <c r="E223" s="40"/>
      <c r="F223" s="40"/>
      <c r="G223" s="81"/>
      <c r="H223" s="40"/>
      <c r="I223" s="40"/>
      <c r="J223" s="81"/>
      <c r="K223" s="40"/>
      <c r="L223" s="40"/>
      <c r="M223" s="81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3.5" customHeight="1">
      <c r="A224" s="40"/>
      <c r="B224" s="40"/>
      <c r="C224" s="40"/>
      <c r="D224" s="81"/>
      <c r="E224" s="40"/>
      <c r="F224" s="40"/>
      <c r="G224" s="81"/>
      <c r="H224" s="40"/>
      <c r="I224" s="40"/>
      <c r="J224" s="81"/>
      <c r="K224" s="40"/>
      <c r="L224" s="40"/>
      <c r="M224" s="81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3.5" customHeight="1">
      <c r="A225" s="40"/>
      <c r="B225" s="40"/>
      <c r="C225" s="40"/>
      <c r="D225" s="81"/>
      <c r="E225" s="40"/>
      <c r="F225" s="40"/>
      <c r="G225" s="81"/>
      <c r="H225" s="40"/>
      <c r="I225" s="40"/>
      <c r="J225" s="81"/>
      <c r="K225" s="40"/>
      <c r="L225" s="40"/>
      <c r="M225" s="81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3.5" customHeight="1">
      <c r="A226" s="40"/>
      <c r="B226" s="40"/>
      <c r="C226" s="40"/>
      <c r="D226" s="81"/>
      <c r="E226" s="40"/>
      <c r="F226" s="40"/>
      <c r="G226" s="81"/>
      <c r="H226" s="40"/>
      <c r="I226" s="40"/>
      <c r="J226" s="81"/>
      <c r="K226" s="40"/>
      <c r="L226" s="40"/>
      <c r="M226" s="81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3.5" customHeight="1">
      <c r="A227" s="40"/>
      <c r="B227" s="40"/>
      <c r="C227" s="40"/>
      <c r="D227" s="81"/>
      <c r="E227" s="40"/>
      <c r="F227" s="40"/>
      <c r="G227" s="81"/>
      <c r="H227" s="40"/>
      <c r="I227" s="40"/>
      <c r="J227" s="81"/>
      <c r="K227" s="40"/>
      <c r="L227" s="40"/>
      <c r="M227" s="81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3.5" customHeight="1">
      <c r="A228" s="40"/>
      <c r="B228" s="40"/>
      <c r="C228" s="40"/>
      <c r="D228" s="81"/>
      <c r="E228" s="40"/>
      <c r="F228" s="40"/>
      <c r="G228" s="81"/>
      <c r="H228" s="40"/>
      <c r="I228" s="40"/>
      <c r="J228" s="81"/>
      <c r="K228" s="40"/>
      <c r="L228" s="40"/>
      <c r="M228" s="81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3.5" customHeight="1">
      <c r="A229" s="40"/>
      <c r="B229" s="40"/>
      <c r="C229" s="40"/>
      <c r="D229" s="81"/>
      <c r="E229" s="40"/>
      <c r="F229" s="40"/>
      <c r="G229" s="81"/>
      <c r="H229" s="40"/>
      <c r="I229" s="40"/>
      <c r="J229" s="81"/>
      <c r="K229" s="40"/>
      <c r="L229" s="40"/>
      <c r="M229" s="81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3.5" customHeight="1">
      <c r="A230" s="40"/>
      <c r="B230" s="40"/>
      <c r="C230" s="40"/>
      <c r="D230" s="81"/>
      <c r="E230" s="40"/>
      <c r="F230" s="40"/>
      <c r="G230" s="81"/>
      <c r="H230" s="40"/>
      <c r="I230" s="40"/>
      <c r="J230" s="81"/>
      <c r="K230" s="40"/>
      <c r="L230" s="40"/>
      <c r="M230" s="81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3.5" customHeight="1">
      <c r="A231" s="40"/>
      <c r="B231" s="40"/>
      <c r="C231" s="40"/>
      <c r="D231" s="81"/>
      <c r="E231" s="40"/>
      <c r="F231" s="40"/>
      <c r="G231" s="81"/>
      <c r="H231" s="40"/>
      <c r="I231" s="40"/>
      <c r="J231" s="81"/>
      <c r="K231" s="40"/>
      <c r="L231" s="40"/>
      <c r="M231" s="81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3.5" customHeight="1">
      <c r="A232" s="40"/>
      <c r="B232" s="40"/>
      <c r="C232" s="40"/>
      <c r="D232" s="81"/>
      <c r="E232" s="40"/>
      <c r="F232" s="40"/>
      <c r="G232" s="81"/>
      <c r="H232" s="40"/>
      <c r="I232" s="40"/>
      <c r="J232" s="81"/>
      <c r="K232" s="40"/>
      <c r="L232" s="40"/>
      <c r="M232" s="81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3.5" customHeight="1">
      <c r="A233" s="40"/>
      <c r="B233" s="40"/>
      <c r="C233" s="40"/>
      <c r="D233" s="81"/>
      <c r="E233" s="40"/>
      <c r="F233" s="40"/>
      <c r="G233" s="81"/>
      <c r="H233" s="40"/>
      <c r="I233" s="40"/>
      <c r="J233" s="81"/>
      <c r="K233" s="40"/>
      <c r="L233" s="40"/>
      <c r="M233" s="81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3.5" customHeight="1">
      <c r="A234" s="40"/>
      <c r="B234" s="40"/>
      <c r="C234" s="40"/>
      <c r="D234" s="81"/>
      <c r="E234" s="40"/>
      <c r="F234" s="40"/>
      <c r="G234" s="81"/>
      <c r="H234" s="40"/>
      <c r="I234" s="40"/>
      <c r="J234" s="81"/>
      <c r="K234" s="40"/>
      <c r="L234" s="40"/>
      <c r="M234" s="81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3.5" customHeight="1">
      <c r="A235" s="40"/>
      <c r="B235" s="40"/>
      <c r="C235" s="40"/>
      <c r="D235" s="81"/>
      <c r="E235" s="40"/>
      <c r="F235" s="40"/>
      <c r="G235" s="81"/>
      <c r="H235" s="40"/>
      <c r="I235" s="40"/>
      <c r="J235" s="81"/>
      <c r="K235" s="40"/>
      <c r="L235" s="40"/>
      <c r="M235" s="81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3.5" customHeight="1">
      <c r="A236" s="40"/>
      <c r="B236" s="40"/>
      <c r="C236" s="40"/>
      <c r="D236" s="81"/>
      <c r="E236" s="40"/>
      <c r="F236" s="40"/>
      <c r="G236" s="81"/>
      <c r="H236" s="40"/>
      <c r="I236" s="40"/>
      <c r="J236" s="81"/>
      <c r="K236" s="40"/>
      <c r="L236" s="40"/>
      <c r="M236" s="81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3.5" customHeight="1">
      <c r="A237" s="40"/>
      <c r="B237" s="40"/>
      <c r="C237" s="40"/>
      <c r="D237" s="81"/>
      <c r="E237" s="40"/>
      <c r="F237" s="40"/>
      <c r="G237" s="81"/>
      <c r="H237" s="40"/>
      <c r="I237" s="40"/>
      <c r="J237" s="81"/>
      <c r="K237" s="40"/>
      <c r="L237" s="40"/>
      <c r="M237" s="81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3.5" customHeight="1">
      <c r="A238" s="40"/>
      <c r="B238" s="40"/>
      <c r="C238" s="40"/>
      <c r="D238" s="81"/>
      <c r="E238" s="40"/>
      <c r="F238" s="40"/>
      <c r="G238" s="81"/>
      <c r="H238" s="40"/>
      <c r="I238" s="40"/>
      <c r="J238" s="81"/>
      <c r="K238" s="40"/>
      <c r="L238" s="40"/>
      <c r="M238" s="81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3.5" customHeight="1">
      <c r="A239" s="40"/>
      <c r="B239" s="40"/>
      <c r="C239" s="40"/>
      <c r="D239" s="81"/>
      <c r="E239" s="40"/>
      <c r="F239" s="40"/>
      <c r="G239" s="81"/>
      <c r="H239" s="40"/>
      <c r="I239" s="40"/>
      <c r="J239" s="81"/>
      <c r="K239" s="40"/>
      <c r="L239" s="40"/>
      <c r="M239" s="81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3.5" customHeight="1">
      <c r="A240" s="40"/>
      <c r="B240" s="40"/>
      <c r="C240" s="40"/>
      <c r="D240" s="81"/>
      <c r="E240" s="40"/>
      <c r="F240" s="40"/>
      <c r="G240" s="81"/>
      <c r="H240" s="40"/>
      <c r="I240" s="40"/>
      <c r="J240" s="81"/>
      <c r="K240" s="40"/>
      <c r="L240" s="40"/>
      <c r="M240" s="81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3.5" customHeight="1">
      <c r="A241" s="40"/>
      <c r="B241" s="40"/>
      <c r="C241" s="40"/>
      <c r="D241" s="81"/>
      <c r="E241" s="40"/>
      <c r="F241" s="40"/>
      <c r="G241" s="81"/>
      <c r="H241" s="40"/>
      <c r="I241" s="40"/>
      <c r="J241" s="81"/>
      <c r="K241" s="40"/>
      <c r="L241" s="40"/>
      <c r="M241" s="81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3.5" customHeight="1">
      <c r="A242" s="40"/>
      <c r="B242" s="40"/>
      <c r="C242" s="40"/>
      <c r="D242" s="81"/>
      <c r="E242" s="40"/>
      <c r="F242" s="40"/>
      <c r="G242" s="81"/>
      <c r="H242" s="40"/>
      <c r="I242" s="40"/>
      <c r="J242" s="81"/>
      <c r="K242" s="40"/>
      <c r="L242" s="40"/>
      <c r="M242" s="81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3.5" customHeight="1">
      <c r="A243" s="40"/>
      <c r="B243" s="40"/>
      <c r="C243" s="40"/>
      <c r="D243" s="81"/>
      <c r="E243" s="40"/>
      <c r="F243" s="40"/>
      <c r="G243" s="81"/>
      <c r="H243" s="40"/>
      <c r="I243" s="40"/>
      <c r="J243" s="81"/>
      <c r="K243" s="40"/>
      <c r="L243" s="40"/>
      <c r="M243" s="81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3.5" customHeight="1">
      <c r="A244" s="40"/>
      <c r="B244" s="40"/>
      <c r="C244" s="40"/>
      <c r="D244" s="81"/>
      <c r="E244" s="40"/>
      <c r="F244" s="40"/>
      <c r="G244" s="81"/>
      <c r="H244" s="40"/>
      <c r="I244" s="40"/>
      <c r="J244" s="81"/>
      <c r="K244" s="40"/>
      <c r="L244" s="40"/>
      <c r="M244" s="81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3.5" customHeight="1">
      <c r="A245" s="40"/>
      <c r="B245" s="40"/>
      <c r="C245" s="40"/>
      <c r="D245" s="81"/>
      <c r="E245" s="40"/>
      <c r="F245" s="40"/>
      <c r="G245" s="81"/>
      <c r="H245" s="40"/>
      <c r="I245" s="40"/>
      <c r="J245" s="81"/>
      <c r="K245" s="40"/>
      <c r="L245" s="40"/>
      <c r="M245" s="81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3.5" customHeight="1">
      <c r="A246" s="40"/>
      <c r="B246" s="40"/>
      <c r="C246" s="40"/>
      <c r="D246" s="81"/>
      <c r="E246" s="40"/>
      <c r="F246" s="40"/>
      <c r="G246" s="81"/>
      <c r="H246" s="40"/>
      <c r="I246" s="40"/>
      <c r="J246" s="81"/>
      <c r="K246" s="40"/>
      <c r="L246" s="40"/>
      <c r="M246" s="81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3.5" customHeight="1">
      <c r="A247" s="40"/>
      <c r="B247" s="40"/>
      <c r="C247" s="40"/>
      <c r="D247" s="81"/>
      <c r="E247" s="40"/>
      <c r="F247" s="40"/>
      <c r="G247" s="81"/>
      <c r="H247" s="40"/>
      <c r="I247" s="40"/>
      <c r="J247" s="81"/>
      <c r="K247" s="40"/>
      <c r="L247" s="40"/>
      <c r="M247" s="81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3.5" customHeight="1">
      <c r="A248" s="40"/>
      <c r="B248" s="40"/>
      <c r="C248" s="40"/>
      <c r="D248" s="81"/>
      <c r="E248" s="40"/>
      <c r="F248" s="40"/>
      <c r="G248" s="81"/>
      <c r="H248" s="40"/>
      <c r="I248" s="40"/>
      <c r="J248" s="81"/>
      <c r="K248" s="40"/>
      <c r="L248" s="40"/>
      <c r="M248" s="81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3.5" customHeight="1">
      <c r="A249" s="40"/>
      <c r="B249" s="40"/>
      <c r="C249" s="40"/>
      <c r="D249" s="81"/>
      <c r="E249" s="40"/>
      <c r="F249" s="40"/>
      <c r="G249" s="81"/>
      <c r="H249" s="40"/>
      <c r="I249" s="40"/>
      <c r="J249" s="81"/>
      <c r="K249" s="40"/>
      <c r="L249" s="40"/>
      <c r="M249" s="81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3.5" customHeight="1">
      <c r="A250" s="40"/>
      <c r="B250" s="40"/>
      <c r="C250" s="40"/>
      <c r="D250" s="81"/>
      <c r="E250" s="40"/>
      <c r="F250" s="40"/>
      <c r="G250" s="81"/>
      <c r="H250" s="40"/>
      <c r="I250" s="40"/>
      <c r="J250" s="81"/>
      <c r="K250" s="40"/>
      <c r="L250" s="40"/>
      <c r="M250" s="81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3.5" customHeight="1">
      <c r="A251" s="40"/>
      <c r="B251" s="40"/>
      <c r="C251" s="40"/>
      <c r="D251" s="81"/>
      <c r="E251" s="40"/>
      <c r="F251" s="40"/>
      <c r="G251" s="81"/>
      <c r="H251" s="40"/>
      <c r="I251" s="40"/>
      <c r="J251" s="81"/>
      <c r="K251" s="40"/>
      <c r="L251" s="40"/>
      <c r="M251" s="81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3.5" customHeight="1">
      <c r="A252" s="40"/>
      <c r="B252" s="40"/>
      <c r="C252" s="40"/>
      <c r="D252" s="81"/>
      <c r="E252" s="40"/>
      <c r="F252" s="40"/>
      <c r="G252" s="81"/>
      <c r="H252" s="40"/>
      <c r="I252" s="40"/>
      <c r="J252" s="81"/>
      <c r="K252" s="40"/>
      <c r="L252" s="40"/>
      <c r="M252" s="81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3.5" customHeight="1">
      <c r="A253" s="40"/>
      <c r="B253" s="40"/>
      <c r="C253" s="40"/>
      <c r="D253" s="81"/>
      <c r="E253" s="40"/>
      <c r="F253" s="40"/>
      <c r="G253" s="81"/>
      <c r="H253" s="40"/>
      <c r="I253" s="40"/>
      <c r="J253" s="81"/>
      <c r="K253" s="40"/>
      <c r="L253" s="40"/>
      <c r="M253" s="81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3.5" customHeight="1">
      <c r="A254" s="40"/>
      <c r="B254" s="40"/>
      <c r="C254" s="40"/>
      <c r="D254" s="81"/>
      <c r="E254" s="40"/>
      <c r="F254" s="40"/>
      <c r="G254" s="81"/>
      <c r="H254" s="40"/>
      <c r="I254" s="40"/>
      <c r="J254" s="81"/>
      <c r="K254" s="40"/>
      <c r="L254" s="40"/>
      <c r="M254" s="81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3.5" customHeight="1">
      <c r="A255" s="40"/>
      <c r="B255" s="40"/>
      <c r="C255" s="40"/>
      <c r="D255" s="81"/>
      <c r="E255" s="40"/>
      <c r="F255" s="40"/>
      <c r="G255" s="81"/>
      <c r="H255" s="40"/>
      <c r="I255" s="40"/>
      <c r="J255" s="81"/>
      <c r="K255" s="40"/>
      <c r="L255" s="40"/>
      <c r="M255" s="81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3.5" customHeight="1">
      <c r="A256" s="40"/>
      <c r="B256" s="40"/>
      <c r="C256" s="40"/>
      <c r="D256" s="81"/>
      <c r="E256" s="40"/>
      <c r="F256" s="40"/>
      <c r="G256" s="81"/>
      <c r="H256" s="40"/>
      <c r="I256" s="40"/>
      <c r="J256" s="81"/>
      <c r="K256" s="40"/>
      <c r="L256" s="40"/>
      <c r="M256" s="81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3.5" customHeight="1">
      <c r="A257" s="40"/>
      <c r="B257" s="40"/>
      <c r="C257" s="40"/>
      <c r="D257" s="81"/>
      <c r="E257" s="40"/>
      <c r="F257" s="40"/>
      <c r="G257" s="81"/>
      <c r="H257" s="40"/>
      <c r="I257" s="40"/>
      <c r="J257" s="81"/>
      <c r="K257" s="40"/>
      <c r="L257" s="40"/>
      <c r="M257" s="81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3.5" customHeight="1">
      <c r="A258" s="40"/>
      <c r="B258" s="40"/>
      <c r="C258" s="40"/>
      <c r="D258" s="81"/>
      <c r="E258" s="40"/>
      <c r="F258" s="40"/>
      <c r="G258" s="81"/>
      <c r="H258" s="40"/>
      <c r="I258" s="40"/>
      <c r="J258" s="81"/>
      <c r="K258" s="40"/>
      <c r="L258" s="40"/>
      <c r="M258" s="81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3.5" customHeight="1">
      <c r="A259" s="40"/>
      <c r="B259" s="40"/>
      <c r="C259" s="40"/>
      <c r="D259" s="81"/>
      <c r="E259" s="40"/>
      <c r="F259" s="40"/>
      <c r="G259" s="81"/>
      <c r="H259" s="40"/>
      <c r="I259" s="40"/>
      <c r="J259" s="81"/>
      <c r="K259" s="40"/>
      <c r="L259" s="40"/>
      <c r="M259" s="81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3.5" customHeight="1">
      <c r="A260" s="40"/>
      <c r="B260" s="40"/>
      <c r="C260" s="40"/>
      <c r="D260" s="81"/>
      <c r="E260" s="40"/>
      <c r="F260" s="40"/>
      <c r="G260" s="81"/>
      <c r="H260" s="40"/>
      <c r="I260" s="40"/>
      <c r="J260" s="81"/>
      <c r="K260" s="40"/>
      <c r="L260" s="40"/>
      <c r="M260" s="81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3.5" customHeight="1">
      <c r="A261" s="40"/>
      <c r="B261" s="40"/>
      <c r="C261" s="40"/>
      <c r="D261" s="81"/>
      <c r="E261" s="40"/>
      <c r="F261" s="40"/>
      <c r="G261" s="81"/>
      <c r="H261" s="40"/>
      <c r="I261" s="40"/>
      <c r="J261" s="81"/>
      <c r="K261" s="40"/>
      <c r="L261" s="40"/>
      <c r="M261" s="81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3.5" customHeight="1">
      <c r="A262" s="40"/>
      <c r="B262" s="40"/>
      <c r="C262" s="40"/>
      <c r="D262" s="81"/>
      <c r="E262" s="40"/>
      <c r="F262" s="40"/>
      <c r="G262" s="81"/>
      <c r="H262" s="40"/>
      <c r="I262" s="40"/>
      <c r="J262" s="81"/>
      <c r="K262" s="40"/>
      <c r="L262" s="40"/>
      <c r="M262" s="81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3.5" customHeight="1">
      <c r="A263" s="40"/>
      <c r="B263" s="40"/>
      <c r="C263" s="40"/>
      <c r="D263" s="81"/>
      <c r="E263" s="40"/>
      <c r="F263" s="40"/>
      <c r="G263" s="81"/>
      <c r="H263" s="40"/>
      <c r="I263" s="40"/>
      <c r="J263" s="81"/>
      <c r="K263" s="40"/>
      <c r="L263" s="40"/>
      <c r="M263" s="81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3.5" customHeight="1">
      <c r="A264" s="40"/>
      <c r="B264" s="40"/>
      <c r="C264" s="40"/>
      <c r="D264" s="81"/>
      <c r="E264" s="40"/>
      <c r="F264" s="40"/>
      <c r="G264" s="81"/>
      <c r="H264" s="40"/>
      <c r="I264" s="40"/>
      <c r="J264" s="81"/>
      <c r="K264" s="40"/>
      <c r="L264" s="40"/>
      <c r="M264" s="81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3.5" customHeight="1">
      <c r="A265" s="40"/>
      <c r="B265" s="40"/>
      <c r="C265" s="40"/>
      <c r="D265" s="81"/>
      <c r="E265" s="40"/>
      <c r="F265" s="40"/>
      <c r="G265" s="81"/>
      <c r="H265" s="40"/>
      <c r="I265" s="40"/>
      <c r="J265" s="81"/>
      <c r="K265" s="40"/>
      <c r="L265" s="40"/>
      <c r="M265" s="81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3.5" customHeight="1">
      <c r="A266" s="40"/>
      <c r="B266" s="40"/>
      <c r="C266" s="40"/>
      <c r="D266" s="81"/>
      <c r="E266" s="40"/>
      <c r="F266" s="40"/>
      <c r="G266" s="81"/>
      <c r="H266" s="40"/>
      <c r="I266" s="40"/>
      <c r="J266" s="81"/>
      <c r="K266" s="40"/>
      <c r="L266" s="40"/>
      <c r="M266" s="81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3.5" customHeight="1">
      <c r="A267" s="40"/>
      <c r="B267" s="40"/>
      <c r="C267" s="40"/>
      <c r="D267" s="81"/>
      <c r="E267" s="40"/>
      <c r="F267" s="40"/>
      <c r="G267" s="81"/>
      <c r="H267" s="40"/>
      <c r="I267" s="40"/>
      <c r="J267" s="81"/>
      <c r="K267" s="40"/>
      <c r="L267" s="40"/>
      <c r="M267" s="81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3.5" customHeight="1">
      <c r="A268" s="40"/>
      <c r="B268" s="40"/>
      <c r="C268" s="40"/>
      <c r="D268" s="81"/>
      <c r="E268" s="40"/>
      <c r="F268" s="40"/>
      <c r="G268" s="81"/>
      <c r="H268" s="40"/>
      <c r="I268" s="40"/>
      <c r="J268" s="81"/>
      <c r="K268" s="40"/>
      <c r="L268" s="40"/>
      <c r="M268" s="81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3.5" customHeight="1">
      <c r="A269" s="40"/>
      <c r="B269" s="40"/>
      <c r="C269" s="40"/>
      <c r="D269" s="81"/>
      <c r="E269" s="40"/>
      <c r="F269" s="40"/>
      <c r="G269" s="81"/>
      <c r="H269" s="40"/>
      <c r="I269" s="40"/>
      <c r="J269" s="81"/>
      <c r="K269" s="40"/>
      <c r="L269" s="40"/>
      <c r="M269" s="81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3.5" customHeight="1">
      <c r="A270" s="40"/>
      <c r="B270" s="40"/>
      <c r="C270" s="40"/>
      <c r="D270" s="81"/>
      <c r="E270" s="40"/>
      <c r="F270" s="40"/>
      <c r="G270" s="81"/>
      <c r="H270" s="40"/>
      <c r="I270" s="40"/>
      <c r="J270" s="81"/>
      <c r="K270" s="40"/>
      <c r="L270" s="40"/>
      <c r="M270" s="81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3.5" customHeight="1">
      <c r="A271" s="40"/>
      <c r="B271" s="40"/>
      <c r="C271" s="40"/>
      <c r="D271" s="81"/>
      <c r="E271" s="40"/>
      <c r="F271" s="40"/>
      <c r="G271" s="81"/>
      <c r="H271" s="40"/>
      <c r="I271" s="40"/>
      <c r="J271" s="81"/>
      <c r="K271" s="40"/>
      <c r="L271" s="40"/>
      <c r="M271" s="81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3.5" customHeight="1">
      <c r="A272" s="40"/>
      <c r="B272" s="40"/>
      <c r="C272" s="40"/>
      <c r="D272" s="81"/>
      <c r="E272" s="40"/>
      <c r="F272" s="40"/>
      <c r="G272" s="81"/>
      <c r="H272" s="40"/>
      <c r="I272" s="40"/>
      <c r="J272" s="81"/>
      <c r="K272" s="40"/>
      <c r="L272" s="40"/>
      <c r="M272" s="81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3.5" customHeight="1">
      <c r="A273" s="40"/>
      <c r="B273" s="40"/>
      <c r="C273" s="40"/>
      <c r="D273" s="81"/>
      <c r="E273" s="40"/>
      <c r="F273" s="40"/>
      <c r="G273" s="81"/>
      <c r="H273" s="40"/>
      <c r="I273" s="40"/>
      <c r="J273" s="81"/>
      <c r="K273" s="40"/>
      <c r="L273" s="40"/>
      <c r="M273" s="81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3.5" customHeight="1">
      <c r="A274" s="40"/>
      <c r="B274" s="40"/>
      <c r="C274" s="40"/>
      <c r="D274" s="81"/>
      <c r="E274" s="40"/>
      <c r="F274" s="40"/>
      <c r="G274" s="81"/>
      <c r="H274" s="40"/>
      <c r="I274" s="40"/>
      <c r="J274" s="81"/>
      <c r="K274" s="40"/>
      <c r="L274" s="40"/>
      <c r="M274" s="81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3.5" customHeight="1">
      <c r="A275" s="40"/>
      <c r="B275" s="40"/>
      <c r="C275" s="40"/>
      <c r="D275" s="81"/>
      <c r="E275" s="40"/>
      <c r="F275" s="40"/>
      <c r="G275" s="81"/>
      <c r="H275" s="40"/>
      <c r="I275" s="40"/>
      <c r="J275" s="81"/>
      <c r="K275" s="40"/>
      <c r="L275" s="40"/>
      <c r="M275" s="81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3.5" customHeight="1">
      <c r="A276" s="40"/>
      <c r="B276" s="40"/>
      <c r="C276" s="40"/>
      <c r="D276" s="81"/>
      <c r="E276" s="40"/>
      <c r="F276" s="40"/>
      <c r="G276" s="81"/>
      <c r="H276" s="40"/>
      <c r="I276" s="40"/>
      <c r="J276" s="81"/>
      <c r="K276" s="40"/>
      <c r="L276" s="40"/>
      <c r="M276" s="81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3.5" customHeight="1">
      <c r="A277" s="40"/>
      <c r="B277" s="40"/>
      <c r="C277" s="40"/>
      <c r="D277" s="81"/>
      <c r="E277" s="40"/>
      <c r="F277" s="40"/>
      <c r="G277" s="81"/>
      <c r="H277" s="40"/>
      <c r="I277" s="40"/>
      <c r="J277" s="81"/>
      <c r="K277" s="40"/>
      <c r="L277" s="40"/>
      <c r="M277" s="81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3.5" customHeight="1">
      <c r="A278" s="40"/>
      <c r="B278" s="40"/>
      <c r="C278" s="40"/>
      <c r="D278" s="81"/>
      <c r="E278" s="40"/>
      <c r="F278" s="40"/>
      <c r="G278" s="81"/>
      <c r="H278" s="40"/>
      <c r="I278" s="40"/>
      <c r="J278" s="81"/>
      <c r="K278" s="40"/>
      <c r="L278" s="40"/>
      <c r="M278" s="81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3.5" customHeight="1">
      <c r="A279" s="40"/>
      <c r="B279" s="40"/>
      <c r="C279" s="40"/>
      <c r="D279" s="81"/>
      <c r="E279" s="40"/>
      <c r="F279" s="40"/>
      <c r="G279" s="81"/>
      <c r="H279" s="40"/>
      <c r="I279" s="40"/>
      <c r="J279" s="81"/>
      <c r="K279" s="40"/>
      <c r="L279" s="40"/>
      <c r="M279" s="81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3.5" customHeight="1">
      <c r="A280" s="40"/>
      <c r="B280" s="40"/>
      <c r="C280" s="40"/>
      <c r="D280" s="81"/>
      <c r="E280" s="40"/>
      <c r="F280" s="40"/>
      <c r="G280" s="81"/>
      <c r="H280" s="40"/>
      <c r="I280" s="40"/>
      <c r="J280" s="81"/>
      <c r="K280" s="40"/>
      <c r="L280" s="40"/>
      <c r="M280" s="81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3.5" customHeight="1">
      <c r="A281" s="40"/>
      <c r="B281" s="40"/>
      <c r="C281" s="40"/>
      <c r="D281" s="81"/>
      <c r="E281" s="40"/>
      <c r="F281" s="40"/>
      <c r="G281" s="81"/>
      <c r="H281" s="40"/>
      <c r="I281" s="40"/>
      <c r="J281" s="81"/>
      <c r="K281" s="40"/>
      <c r="L281" s="40"/>
      <c r="M281" s="81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3.5" customHeight="1">
      <c r="A282" s="40"/>
      <c r="B282" s="40"/>
      <c r="C282" s="40"/>
      <c r="D282" s="81"/>
      <c r="E282" s="40"/>
      <c r="F282" s="40"/>
      <c r="G282" s="81"/>
      <c r="H282" s="40"/>
      <c r="I282" s="40"/>
      <c r="J282" s="81"/>
      <c r="K282" s="40"/>
      <c r="L282" s="40"/>
      <c r="M282" s="81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3.5" customHeight="1">
      <c r="A283" s="40"/>
      <c r="B283" s="40"/>
      <c r="C283" s="40"/>
      <c r="D283" s="81"/>
      <c r="E283" s="40"/>
      <c r="F283" s="40"/>
      <c r="G283" s="81"/>
      <c r="H283" s="40"/>
      <c r="I283" s="40"/>
      <c r="J283" s="81"/>
      <c r="K283" s="40"/>
      <c r="L283" s="40"/>
      <c r="M283" s="81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3.5" customHeight="1">
      <c r="A284" s="40"/>
      <c r="B284" s="40"/>
      <c r="C284" s="40"/>
      <c r="D284" s="81"/>
      <c r="E284" s="40"/>
      <c r="F284" s="40"/>
      <c r="G284" s="81"/>
      <c r="H284" s="40"/>
      <c r="I284" s="40"/>
      <c r="J284" s="81"/>
      <c r="K284" s="40"/>
      <c r="L284" s="40"/>
      <c r="M284" s="81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3.5" customHeight="1">
      <c r="A285" s="40"/>
      <c r="B285" s="40"/>
      <c r="C285" s="40"/>
      <c r="D285" s="81"/>
      <c r="E285" s="40"/>
      <c r="F285" s="40"/>
      <c r="G285" s="81"/>
      <c r="H285" s="40"/>
      <c r="I285" s="40"/>
      <c r="J285" s="81"/>
      <c r="K285" s="40"/>
      <c r="L285" s="40"/>
      <c r="M285" s="81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3.5" customHeight="1">
      <c r="A286" s="40"/>
      <c r="B286" s="40"/>
      <c r="C286" s="40"/>
      <c r="D286" s="81"/>
      <c r="E286" s="40"/>
      <c r="F286" s="40"/>
      <c r="G286" s="81"/>
      <c r="H286" s="40"/>
      <c r="I286" s="40"/>
      <c r="J286" s="81"/>
      <c r="K286" s="40"/>
      <c r="L286" s="40"/>
      <c r="M286" s="81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3.5" customHeight="1">
      <c r="A287" s="40"/>
      <c r="B287" s="40"/>
      <c r="C287" s="40"/>
      <c r="D287" s="81"/>
      <c r="E287" s="40"/>
      <c r="F287" s="40"/>
      <c r="G287" s="81"/>
      <c r="H287" s="40"/>
      <c r="I287" s="40"/>
      <c r="J287" s="81"/>
      <c r="K287" s="40"/>
      <c r="L287" s="40"/>
      <c r="M287" s="81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3.5" customHeight="1">
      <c r="A288" s="40"/>
      <c r="B288" s="40"/>
      <c r="C288" s="40"/>
      <c r="D288" s="81"/>
      <c r="E288" s="40"/>
      <c r="F288" s="40"/>
      <c r="G288" s="81"/>
      <c r="H288" s="40"/>
      <c r="I288" s="40"/>
      <c r="J288" s="81"/>
      <c r="K288" s="40"/>
      <c r="L288" s="40"/>
      <c r="M288" s="81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3.5" customHeight="1">
      <c r="A289" s="40"/>
      <c r="B289" s="40"/>
      <c r="C289" s="40"/>
      <c r="D289" s="81"/>
      <c r="E289" s="40"/>
      <c r="F289" s="40"/>
      <c r="G289" s="81"/>
      <c r="H289" s="40"/>
      <c r="I289" s="40"/>
      <c r="J289" s="81"/>
      <c r="K289" s="40"/>
      <c r="L289" s="40"/>
      <c r="M289" s="81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3.5" customHeight="1">
      <c r="A290" s="40"/>
      <c r="B290" s="40"/>
      <c r="C290" s="40"/>
      <c r="D290" s="81"/>
      <c r="E290" s="40"/>
      <c r="F290" s="40"/>
      <c r="G290" s="81"/>
      <c r="H290" s="40"/>
      <c r="I290" s="40"/>
      <c r="J290" s="81"/>
      <c r="K290" s="40"/>
      <c r="L290" s="40"/>
      <c r="M290" s="81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3.5" customHeight="1">
      <c r="A291" s="40"/>
      <c r="B291" s="40"/>
      <c r="C291" s="40"/>
      <c r="D291" s="81"/>
      <c r="E291" s="40"/>
      <c r="F291" s="40"/>
      <c r="G291" s="81"/>
      <c r="H291" s="40"/>
      <c r="I291" s="40"/>
      <c r="J291" s="81"/>
      <c r="K291" s="40"/>
      <c r="L291" s="40"/>
      <c r="M291" s="81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3.5" customHeight="1">
      <c r="A292" s="40"/>
      <c r="B292" s="40"/>
      <c r="C292" s="40"/>
      <c r="D292" s="81"/>
      <c r="E292" s="40"/>
      <c r="F292" s="40"/>
      <c r="G292" s="81"/>
      <c r="H292" s="40"/>
      <c r="I292" s="40"/>
      <c r="J292" s="81"/>
      <c r="K292" s="40"/>
      <c r="L292" s="40"/>
      <c r="M292" s="81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3.5" customHeight="1">
      <c r="A293" s="40"/>
      <c r="B293" s="40"/>
      <c r="C293" s="40"/>
      <c r="D293" s="81"/>
      <c r="E293" s="40"/>
      <c r="F293" s="40"/>
      <c r="G293" s="81"/>
      <c r="H293" s="40"/>
      <c r="I293" s="40"/>
      <c r="J293" s="81"/>
      <c r="K293" s="40"/>
      <c r="L293" s="40"/>
      <c r="M293" s="81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3.5" customHeight="1">
      <c r="A294" s="40"/>
      <c r="B294" s="40"/>
      <c r="C294" s="40"/>
      <c r="D294" s="81"/>
      <c r="E294" s="40"/>
      <c r="F294" s="40"/>
      <c r="G294" s="81"/>
      <c r="H294" s="40"/>
      <c r="I294" s="40"/>
      <c r="J294" s="81"/>
      <c r="K294" s="40"/>
      <c r="L294" s="40"/>
      <c r="M294" s="81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3.5" customHeight="1">
      <c r="A295" s="40"/>
      <c r="B295" s="40"/>
      <c r="C295" s="40"/>
      <c r="D295" s="81"/>
      <c r="E295" s="40"/>
      <c r="F295" s="40"/>
      <c r="G295" s="81"/>
      <c r="H295" s="40"/>
      <c r="I295" s="40"/>
      <c r="J295" s="81"/>
      <c r="K295" s="40"/>
      <c r="L295" s="40"/>
      <c r="M295" s="81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3.5" customHeight="1">
      <c r="A296" s="40"/>
      <c r="B296" s="40"/>
      <c r="C296" s="40"/>
      <c r="D296" s="81"/>
      <c r="E296" s="40"/>
      <c r="F296" s="40"/>
      <c r="G296" s="81"/>
      <c r="H296" s="40"/>
      <c r="I296" s="40"/>
      <c r="J296" s="81"/>
      <c r="K296" s="40"/>
      <c r="L296" s="40"/>
      <c r="M296" s="81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3.5" customHeight="1">
      <c r="A297" s="40"/>
      <c r="B297" s="40"/>
      <c r="C297" s="40"/>
      <c r="D297" s="81"/>
      <c r="E297" s="40"/>
      <c r="F297" s="40"/>
      <c r="G297" s="81"/>
      <c r="H297" s="40"/>
      <c r="I297" s="40"/>
      <c r="J297" s="81"/>
      <c r="K297" s="40"/>
      <c r="L297" s="40"/>
      <c r="M297" s="81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3.5" customHeight="1">
      <c r="A298" s="40"/>
      <c r="B298" s="40"/>
      <c r="C298" s="40"/>
      <c r="D298" s="81"/>
      <c r="E298" s="40"/>
      <c r="F298" s="40"/>
      <c r="G298" s="81"/>
      <c r="H298" s="40"/>
      <c r="I298" s="40"/>
      <c r="J298" s="81"/>
      <c r="K298" s="40"/>
      <c r="L298" s="40"/>
      <c r="M298" s="81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3.5" customHeight="1">
      <c r="A299" s="40"/>
      <c r="B299" s="40"/>
      <c r="C299" s="40"/>
      <c r="D299" s="81"/>
      <c r="E299" s="40"/>
      <c r="F299" s="40"/>
      <c r="G299" s="81"/>
      <c r="H299" s="40"/>
      <c r="I299" s="40"/>
      <c r="J299" s="81"/>
      <c r="K299" s="40"/>
      <c r="L299" s="40"/>
      <c r="M299" s="81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3.5" customHeight="1">
      <c r="A300" s="40"/>
      <c r="B300" s="40"/>
      <c r="C300" s="40"/>
      <c r="D300" s="81"/>
      <c r="E300" s="40"/>
      <c r="F300" s="40"/>
      <c r="G300" s="81"/>
      <c r="H300" s="40"/>
      <c r="I300" s="40"/>
      <c r="J300" s="81"/>
      <c r="K300" s="40"/>
      <c r="L300" s="40"/>
      <c r="M300" s="81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3.5" customHeight="1">
      <c r="A301" s="40"/>
      <c r="B301" s="40"/>
      <c r="C301" s="40"/>
      <c r="D301" s="81"/>
      <c r="E301" s="40"/>
      <c r="F301" s="40"/>
      <c r="G301" s="81"/>
      <c r="H301" s="40"/>
      <c r="I301" s="40"/>
      <c r="J301" s="81"/>
      <c r="K301" s="40"/>
      <c r="L301" s="40"/>
      <c r="M301" s="81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3.5" customHeight="1">
      <c r="A302" s="40"/>
      <c r="B302" s="40"/>
      <c r="C302" s="40"/>
      <c r="D302" s="81"/>
      <c r="E302" s="40"/>
      <c r="F302" s="40"/>
      <c r="G302" s="81"/>
      <c r="H302" s="40"/>
      <c r="I302" s="40"/>
      <c r="J302" s="81"/>
      <c r="K302" s="40"/>
      <c r="L302" s="40"/>
      <c r="M302" s="81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3.5" customHeight="1">
      <c r="A303" s="40"/>
      <c r="B303" s="40"/>
      <c r="C303" s="40"/>
      <c r="D303" s="81"/>
      <c r="E303" s="40"/>
      <c r="F303" s="40"/>
      <c r="G303" s="81"/>
      <c r="H303" s="40"/>
      <c r="I303" s="40"/>
      <c r="J303" s="81"/>
      <c r="K303" s="40"/>
      <c r="L303" s="40"/>
      <c r="M303" s="81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3.5" customHeight="1">
      <c r="A304" s="40"/>
      <c r="B304" s="40"/>
      <c r="C304" s="40"/>
      <c r="D304" s="81"/>
      <c r="E304" s="40"/>
      <c r="F304" s="40"/>
      <c r="G304" s="81"/>
      <c r="H304" s="40"/>
      <c r="I304" s="40"/>
      <c r="J304" s="81"/>
      <c r="K304" s="40"/>
      <c r="L304" s="40"/>
      <c r="M304" s="81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3.5" customHeight="1">
      <c r="A305" s="40"/>
      <c r="B305" s="40"/>
      <c r="C305" s="40"/>
      <c r="D305" s="81"/>
      <c r="E305" s="40"/>
      <c r="F305" s="40"/>
      <c r="G305" s="81"/>
      <c r="H305" s="40"/>
      <c r="I305" s="40"/>
      <c r="J305" s="81"/>
      <c r="K305" s="40"/>
      <c r="L305" s="40"/>
      <c r="M305" s="81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3.5" customHeight="1">
      <c r="A306" s="40"/>
      <c r="B306" s="40"/>
      <c r="C306" s="40"/>
      <c r="D306" s="81"/>
      <c r="E306" s="40"/>
      <c r="F306" s="40"/>
      <c r="G306" s="81"/>
      <c r="H306" s="40"/>
      <c r="I306" s="40"/>
      <c r="J306" s="81"/>
      <c r="K306" s="40"/>
      <c r="L306" s="40"/>
      <c r="M306" s="81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3.5" customHeight="1">
      <c r="A307" s="40"/>
      <c r="B307" s="40"/>
      <c r="C307" s="40"/>
      <c r="D307" s="81"/>
      <c r="E307" s="40"/>
      <c r="F307" s="40"/>
      <c r="G307" s="81"/>
      <c r="H307" s="40"/>
      <c r="I307" s="40"/>
      <c r="J307" s="81"/>
      <c r="K307" s="40"/>
      <c r="L307" s="40"/>
      <c r="M307" s="81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3.5" customHeight="1">
      <c r="A308" s="40"/>
      <c r="B308" s="40"/>
      <c r="C308" s="40"/>
      <c r="D308" s="81"/>
      <c r="E308" s="40"/>
      <c r="F308" s="40"/>
      <c r="G308" s="81"/>
      <c r="H308" s="40"/>
      <c r="I308" s="40"/>
      <c r="J308" s="81"/>
      <c r="K308" s="40"/>
      <c r="L308" s="40"/>
      <c r="M308" s="81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3.5" customHeight="1">
      <c r="A309" s="40"/>
      <c r="B309" s="40"/>
      <c r="C309" s="40"/>
      <c r="D309" s="81"/>
      <c r="E309" s="40"/>
      <c r="F309" s="40"/>
      <c r="G309" s="81"/>
      <c r="H309" s="40"/>
      <c r="I309" s="40"/>
      <c r="J309" s="81"/>
      <c r="K309" s="40"/>
      <c r="L309" s="40"/>
      <c r="M309" s="81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3.5" customHeight="1">
      <c r="A310" s="40"/>
      <c r="B310" s="40"/>
      <c r="C310" s="40"/>
      <c r="D310" s="81"/>
      <c r="E310" s="40"/>
      <c r="F310" s="40"/>
      <c r="G310" s="81"/>
      <c r="H310" s="40"/>
      <c r="I310" s="40"/>
      <c r="J310" s="81"/>
      <c r="K310" s="40"/>
      <c r="L310" s="40"/>
      <c r="M310" s="81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3.5" customHeight="1">
      <c r="A311" s="40"/>
      <c r="B311" s="40"/>
      <c r="C311" s="40"/>
      <c r="D311" s="81"/>
      <c r="E311" s="40"/>
      <c r="F311" s="40"/>
      <c r="G311" s="81"/>
      <c r="H311" s="40"/>
      <c r="I311" s="40"/>
      <c r="J311" s="81"/>
      <c r="K311" s="40"/>
      <c r="L311" s="40"/>
      <c r="M311" s="81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3.5" customHeight="1">
      <c r="A312" s="40"/>
      <c r="B312" s="40"/>
      <c r="C312" s="40"/>
      <c r="D312" s="81"/>
      <c r="E312" s="40"/>
      <c r="F312" s="40"/>
      <c r="G312" s="81"/>
      <c r="H312" s="40"/>
      <c r="I312" s="40"/>
      <c r="J312" s="81"/>
      <c r="K312" s="40"/>
      <c r="L312" s="40"/>
      <c r="M312" s="81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3.5" customHeight="1">
      <c r="A313" s="40"/>
      <c r="B313" s="40"/>
      <c r="C313" s="40"/>
      <c r="D313" s="81"/>
      <c r="E313" s="40"/>
      <c r="F313" s="40"/>
      <c r="G313" s="81"/>
      <c r="H313" s="40"/>
      <c r="I313" s="40"/>
      <c r="J313" s="81"/>
      <c r="K313" s="40"/>
      <c r="L313" s="40"/>
      <c r="M313" s="81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3.5" customHeight="1">
      <c r="A314" s="40"/>
      <c r="B314" s="40"/>
      <c r="C314" s="40"/>
      <c r="D314" s="81"/>
      <c r="E314" s="40"/>
      <c r="F314" s="40"/>
      <c r="G314" s="81"/>
      <c r="H314" s="40"/>
      <c r="I314" s="40"/>
      <c r="J314" s="81"/>
      <c r="K314" s="40"/>
      <c r="L314" s="40"/>
      <c r="M314" s="81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3.5" customHeight="1">
      <c r="A315" s="40"/>
      <c r="B315" s="40"/>
      <c r="C315" s="40"/>
      <c r="D315" s="81"/>
      <c r="E315" s="40"/>
      <c r="F315" s="40"/>
      <c r="G315" s="81"/>
      <c r="H315" s="40"/>
      <c r="I315" s="40"/>
      <c r="J315" s="81"/>
      <c r="K315" s="40"/>
      <c r="L315" s="40"/>
      <c r="M315" s="81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3.5" customHeight="1">
      <c r="A316" s="40"/>
      <c r="B316" s="40"/>
      <c r="C316" s="40"/>
      <c r="D316" s="81"/>
      <c r="E316" s="40"/>
      <c r="F316" s="40"/>
      <c r="G316" s="81"/>
      <c r="H316" s="40"/>
      <c r="I316" s="40"/>
      <c r="J316" s="81"/>
      <c r="K316" s="40"/>
      <c r="L316" s="40"/>
      <c r="M316" s="81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3.5" customHeight="1">
      <c r="A317" s="40"/>
      <c r="B317" s="40"/>
      <c r="C317" s="40"/>
      <c r="D317" s="81"/>
      <c r="E317" s="40"/>
      <c r="F317" s="40"/>
      <c r="G317" s="81"/>
      <c r="H317" s="40"/>
      <c r="I317" s="40"/>
      <c r="J317" s="81"/>
      <c r="K317" s="40"/>
      <c r="L317" s="40"/>
      <c r="M317" s="81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3.5" customHeight="1">
      <c r="A318" s="40"/>
      <c r="B318" s="40"/>
      <c r="C318" s="40"/>
      <c r="D318" s="81"/>
      <c r="E318" s="40"/>
      <c r="F318" s="40"/>
      <c r="G318" s="81"/>
      <c r="H318" s="40"/>
      <c r="I318" s="40"/>
      <c r="J318" s="81"/>
      <c r="K318" s="40"/>
      <c r="L318" s="40"/>
      <c r="M318" s="81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3.5" customHeight="1">
      <c r="A319" s="40"/>
      <c r="B319" s="40"/>
      <c r="C319" s="40"/>
      <c r="D319" s="81"/>
      <c r="E319" s="40"/>
      <c r="F319" s="40"/>
      <c r="G319" s="81"/>
      <c r="H319" s="40"/>
      <c r="I319" s="40"/>
      <c r="J319" s="81"/>
      <c r="K319" s="40"/>
      <c r="L319" s="40"/>
      <c r="M319" s="81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3.5" customHeight="1">
      <c r="A320" s="40"/>
      <c r="B320" s="40"/>
      <c r="C320" s="40"/>
      <c r="D320" s="81"/>
      <c r="E320" s="40"/>
      <c r="F320" s="40"/>
      <c r="G320" s="81"/>
      <c r="H320" s="40"/>
      <c r="I320" s="40"/>
      <c r="J320" s="81"/>
      <c r="K320" s="40"/>
      <c r="L320" s="40"/>
      <c r="M320" s="81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3.5" customHeight="1">
      <c r="A321" s="40"/>
      <c r="B321" s="40"/>
      <c r="C321" s="40"/>
      <c r="D321" s="81"/>
      <c r="E321" s="40"/>
      <c r="F321" s="40"/>
      <c r="G321" s="81"/>
      <c r="H321" s="40"/>
      <c r="I321" s="40"/>
      <c r="J321" s="81"/>
      <c r="K321" s="40"/>
      <c r="L321" s="40"/>
      <c r="M321" s="81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3.5" customHeight="1">
      <c r="A322" s="40"/>
      <c r="B322" s="40"/>
      <c r="C322" s="40"/>
      <c r="D322" s="81"/>
      <c r="E322" s="40"/>
      <c r="F322" s="40"/>
      <c r="G322" s="81"/>
      <c r="H322" s="40"/>
      <c r="I322" s="40"/>
      <c r="J322" s="81"/>
      <c r="K322" s="40"/>
      <c r="L322" s="40"/>
      <c r="M322" s="81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3.5" customHeight="1">
      <c r="A323" s="40"/>
      <c r="B323" s="40"/>
      <c r="C323" s="40"/>
      <c r="D323" s="81"/>
      <c r="E323" s="40"/>
      <c r="F323" s="40"/>
      <c r="G323" s="81"/>
      <c r="H323" s="40"/>
      <c r="I323" s="40"/>
      <c r="J323" s="81"/>
      <c r="K323" s="40"/>
      <c r="L323" s="40"/>
      <c r="M323" s="81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3.5" customHeight="1">
      <c r="A324" s="40"/>
      <c r="B324" s="40"/>
      <c r="C324" s="40"/>
      <c r="D324" s="81"/>
      <c r="E324" s="40"/>
      <c r="F324" s="40"/>
      <c r="G324" s="81"/>
      <c r="H324" s="40"/>
      <c r="I324" s="40"/>
      <c r="J324" s="81"/>
      <c r="K324" s="40"/>
      <c r="L324" s="40"/>
      <c r="M324" s="81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3.5" customHeight="1">
      <c r="A325" s="40"/>
      <c r="B325" s="40"/>
      <c r="C325" s="40"/>
      <c r="D325" s="81"/>
      <c r="E325" s="40"/>
      <c r="F325" s="40"/>
      <c r="G325" s="81"/>
      <c r="H325" s="40"/>
      <c r="I325" s="40"/>
      <c r="J325" s="81"/>
      <c r="K325" s="40"/>
      <c r="L325" s="40"/>
      <c r="M325" s="81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3.5" customHeight="1">
      <c r="A326" s="40"/>
      <c r="B326" s="40"/>
      <c r="C326" s="40"/>
      <c r="D326" s="81"/>
      <c r="E326" s="40"/>
      <c r="F326" s="40"/>
      <c r="G326" s="81"/>
      <c r="H326" s="40"/>
      <c r="I326" s="40"/>
      <c r="J326" s="81"/>
      <c r="K326" s="40"/>
      <c r="L326" s="40"/>
      <c r="M326" s="81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3.5" customHeight="1">
      <c r="A327" s="40"/>
      <c r="B327" s="40"/>
      <c r="C327" s="40"/>
      <c r="D327" s="81"/>
      <c r="E327" s="40"/>
      <c r="F327" s="40"/>
      <c r="G327" s="81"/>
      <c r="H327" s="40"/>
      <c r="I327" s="40"/>
      <c r="J327" s="81"/>
      <c r="K327" s="40"/>
      <c r="L327" s="40"/>
      <c r="M327" s="81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3.5" customHeight="1">
      <c r="A328" s="40"/>
      <c r="B328" s="40"/>
      <c r="C328" s="40"/>
      <c r="D328" s="81"/>
      <c r="E328" s="40"/>
      <c r="F328" s="40"/>
      <c r="G328" s="81"/>
      <c r="H328" s="40"/>
      <c r="I328" s="40"/>
      <c r="J328" s="81"/>
      <c r="K328" s="40"/>
      <c r="L328" s="40"/>
      <c r="M328" s="81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3.5" customHeight="1">
      <c r="A329" s="40"/>
      <c r="B329" s="40"/>
      <c r="C329" s="40"/>
      <c r="D329" s="81"/>
      <c r="E329" s="40"/>
      <c r="F329" s="40"/>
      <c r="G329" s="81"/>
      <c r="H329" s="40"/>
      <c r="I329" s="40"/>
      <c r="J329" s="81"/>
      <c r="K329" s="40"/>
      <c r="L329" s="40"/>
      <c r="M329" s="81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3.5" customHeight="1">
      <c r="A330" s="40"/>
      <c r="B330" s="40"/>
      <c r="C330" s="40"/>
      <c r="D330" s="81"/>
      <c r="E330" s="40"/>
      <c r="F330" s="40"/>
      <c r="G330" s="81"/>
      <c r="H330" s="40"/>
      <c r="I330" s="40"/>
      <c r="J330" s="81"/>
      <c r="K330" s="40"/>
      <c r="L330" s="40"/>
      <c r="M330" s="81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3.5" customHeight="1">
      <c r="A331" s="40"/>
      <c r="B331" s="40"/>
      <c r="C331" s="40"/>
      <c r="D331" s="81"/>
      <c r="E331" s="40"/>
      <c r="F331" s="40"/>
      <c r="G331" s="81"/>
      <c r="H331" s="40"/>
      <c r="I331" s="40"/>
      <c r="J331" s="81"/>
      <c r="K331" s="40"/>
      <c r="L331" s="40"/>
      <c r="M331" s="81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3.5" customHeight="1">
      <c r="A332" s="40"/>
      <c r="B332" s="40"/>
      <c r="C332" s="40"/>
      <c r="D332" s="81"/>
      <c r="E332" s="40"/>
      <c r="F332" s="40"/>
      <c r="G332" s="81"/>
      <c r="H332" s="40"/>
      <c r="I332" s="40"/>
      <c r="J332" s="81"/>
      <c r="K332" s="40"/>
      <c r="L332" s="40"/>
      <c r="M332" s="81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3.5" customHeight="1">
      <c r="A333" s="40"/>
      <c r="B333" s="40"/>
      <c r="C333" s="40"/>
      <c r="D333" s="81"/>
      <c r="E333" s="40"/>
      <c r="F333" s="40"/>
      <c r="G333" s="81"/>
      <c r="H333" s="40"/>
      <c r="I333" s="40"/>
      <c r="J333" s="81"/>
      <c r="K333" s="40"/>
      <c r="L333" s="40"/>
      <c r="M333" s="81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3.5" customHeight="1">
      <c r="A334" s="40"/>
      <c r="B334" s="40"/>
      <c r="C334" s="40"/>
      <c r="D334" s="81"/>
      <c r="E334" s="40"/>
      <c r="F334" s="40"/>
      <c r="G334" s="81"/>
      <c r="H334" s="40"/>
      <c r="I334" s="40"/>
      <c r="J334" s="81"/>
      <c r="K334" s="40"/>
      <c r="L334" s="40"/>
      <c r="M334" s="81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3.5" customHeight="1">
      <c r="A335" s="40"/>
      <c r="B335" s="40"/>
      <c r="C335" s="40"/>
      <c r="D335" s="81"/>
      <c r="E335" s="40"/>
      <c r="F335" s="40"/>
      <c r="G335" s="81"/>
      <c r="H335" s="40"/>
      <c r="I335" s="40"/>
      <c r="J335" s="81"/>
      <c r="K335" s="40"/>
      <c r="L335" s="40"/>
      <c r="M335" s="81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3.5" customHeight="1">
      <c r="A336" s="40"/>
      <c r="B336" s="40"/>
      <c r="C336" s="40"/>
      <c r="D336" s="81"/>
      <c r="E336" s="40"/>
      <c r="F336" s="40"/>
      <c r="G336" s="81"/>
      <c r="H336" s="40"/>
      <c r="I336" s="40"/>
      <c r="J336" s="81"/>
      <c r="K336" s="40"/>
      <c r="L336" s="40"/>
      <c r="M336" s="81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3.5" customHeight="1">
      <c r="A337" s="40"/>
      <c r="B337" s="40"/>
      <c r="C337" s="40"/>
      <c r="D337" s="81"/>
      <c r="E337" s="40"/>
      <c r="F337" s="40"/>
      <c r="G337" s="81"/>
      <c r="H337" s="40"/>
      <c r="I337" s="40"/>
      <c r="J337" s="81"/>
      <c r="K337" s="40"/>
      <c r="L337" s="40"/>
      <c r="M337" s="81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3.5" customHeight="1">
      <c r="A338" s="40"/>
      <c r="B338" s="40"/>
      <c r="C338" s="40"/>
      <c r="D338" s="81"/>
      <c r="E338" s="40"/>
      <c r="F338" s="40"/>
      <c r="G338" s="81"/>
      <c r="H338" s="40"/>
      <c r="I338" s="40"/>
      <c r="J338" s="81"/>
      <c r="K338" s="40"/>
      <c r="L338" s="40"/>
      <c r="M338" s="81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3.5" customHeight="1">
      <c r="A339" s="40"/>
      <c r="B339" s="40"/>
      <c r="C339" s="40"/>
      <c r="D339" s="81"/>
      <c r="E339" s="40"/>
      <c r="F339" s="40"/>
      <c r="G339" s="81"/>
      <c r="H339" s="40"/>
      <c r="I339" s="40"/>
      <c r="J339" s="81"/>
      <c r="K339" s="40"/>
      <c r="L339" s="40"/>
      <c r="M339" s="81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3.5" customHeight="1">
      <c r="A340" s="40"/>
      <c r="B340" s="40"/>
      <c r="C340" s="40"/>
      <c r="D340" s="81"/>
      <c r="E340" s="40"/>
      <c r="F340" s="40"/>
      <c r="G340" s="81"/>
      <c r="H340" s="40"/>
      <c r="I340" s="40"/>
      <c r="J340" s="81"/>
      <c r="K340" s="40"/>
      <c r="L340" s="40"/>
      <c r="M340" s="81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3.5" customHeight="1">
      <c r="A341" s="40"/>
      <c r="B341" s="40"/>
      <c r="C341" s="40"/>
      <c r="D341" s="81"/>
      <c r="E341" s="40"/>
      <c r="F341" s="40"/>
      <c r="G341" s="81"/>
      <c r="H341" s="40"/>
      <c r="I341" s="40"/>
      <c r="J341" s="81"/>
      <c r="K341" s="40"/>
      <c r="L341" s="40"/>
      <c r="M341" s="81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3.5" customHeight="1">
      <c r="A342" s="40"/>
      <c r="B342" s="40"/>
      <c r="C342" s="40"/>
      <c r="D342" s="81"/>
      <c r="E342" s="40"/>
      <c r="F342" s="40"/>
      <c r="G342" s="81"/>
      <c r="H342" s="40"/>
      <c r="I342" s="40"/>
      <c r="J342" s="81"/>
      <c r="K342" s="40"/>
      <c r="L342" s="40"/>
      <c r="M342" s="81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3.5" customHeight="1">
      <c r="A343" s="40"/>
      <c r="B343" s="40"/>
      <c r="C343" s="40"/>
      <c r="D343" s="81"/>
      <c r="E343" s="40"/>
      <c r="F343" s="40"/>
      <c r="G343" s="81"/>
      <c r="H343" s="40"/>
      <c r="I343" s="40"/>
      <c r="J343" s="81"/>
      <c r="K343" s="40"/>
      <c r="L343" s="40"/>
      <c r="M343" s="81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3.5" customHeight="1">
      <c r="A344" s="40"/>
      <c r="B344" s="40"/>
      <c r="C344" s="40"/>
      <c r="D344" s="81"/>
      <c r="E344" s="40"/>
      <c r="F344" s="40"/>
      <c r="G344" s="81"/>
      <c r="H344" s="40"/>
      <c r="I344" s="40"/>
      <c r="J344" s="81"/>
      <c r="K344" s="40"/>
      <c r="L344" s="40"/>
      <c r="M344" s="81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3.5" customHeight="1">
      <c r="A345" s="40"/>
      <c r="B345" s="40"/>
      <c r="C345" s="40"/>
      <c r="D345" s="81"/>
      <c r="E345" s="40"/>
      <c r="F345" s="40"/>
      <c r="G345" s="81"/>
      <c r="H345" s="40"/>
      <c r="I345" s="40"/>
      <c r="J345" s="81"/>
      <c r="K345" s="40"/>
      <c r="L345" s="40"/>
      <c r="M345" s="81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3.5" customHeight="1">
      <c r="A346" s="40"/>
      <c r="B346" s="40"/>
      <c r="C346" s="40"/>
      <c r="D346" s="81"/>
      <c r="E346" s="40"/>
      <c r="F346" s="40"/>
      <c r="G346" s="81"/>
      <c r="H346" s="40"/>
      <c r="I346" s="40"/>
      <c r="J346" s="81"/>
      <c r="K346" s="40"/>
      <c r="L346" s="40"/>
      <c r="M346" s="81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3.5" customHeight="1">
      <c r="A347" s="40"/>
      <c r="B347" s="40"/>
      <c r="C347" s="40"/>
      <c r="D347" s="81"/>
      <c r="E347" s="40"/>
      <c r="F347" s="40"/>
      <c r="G347" s="81"/>
      <c r="H347" s="40"/>
      <c r="I347" s="40"/>
      <c r="J347" s="81"/>
      <c r="K347" s="40"/>
      <c r="L347" s="40"/>
      <c r="M347" s="81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3.5" customHeight="1">
      <c r="A348" s="40"/>
      <c r="B348" s="40"/>
      <c r="C348" s="40"/>
      <c r="D348" s="81"/>
      <c r="E348" s="40"/>
      <c r="F348" s="40"/>
      <c r="G348" s="81"/>
      <c r="H348" s="40"/>
      <c r="I348" s="40"/>
      <c r="J348" s="81"/>
      <c r="K348" s="40"/>
      <c r="L348" s="40"/>
      <c r="M348" s="81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3.5" customHeight="1">
      <c r="A349" s="40"/>
      <c r="B349" s="40"/>
      <c r="C349" s="40"/>
      <c r="D349" s="81"/>
      <c r="E349" s="40"/>
      <c r="F349" s="40"/>
      <c r="G349" s="81"/>
      <c r="H349" s="40"/>
      <c r="I349" s="40"/>
      <c r="J349" s="81"/>
      <c r="K349" s="40"/>
      <c r="L349" s="40"/>
      <c r="M349" s="81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3.5" customHeight="1">
      <c r="A350" s="40"/>
      <c r="B350" s="40"/>
      <c r="C350" s="40"/>
      <c r="D350" s="81"/>
      <c r="E350" s="40"/>
      <c r="F350" s="40"/>
      <c r="G350" s="81"/>
      <c r="H350" s="40"/>
      <c r="I350" s="40"/>
      <c r="J350" s="81"/>
      <c r="K350" s="40"/>
      <c r="L350" s="40"/>
      <c r="M350" s="81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3.5" customHeight="1">
      <c r="A351" s="40"/>
      <c r="B351" s="40"/>
      <c r="C351" s="40"/>
      <c r="D351" s="81"/>
      <c r="E351" s="40"/>
      <c r="F351" s="40"/>
      <c r="G351" s="81"/>
      <c r="H351" s="40"/>
      <c r="I351" s="40"/>
      <c r="J351" s="81"/>
      <c r="K351" s="40"/>
      <c r="L351" s="40"/>
      <c r="M351" s="81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3.5" customHeight="1">
      <c r="A352" s="40"/>
      <c r="B352" s="40"/>
      <c r="C352" s="40"/>
      <c r="D352" s="81"/>
      <c r="E352" s="40"/>
      <c r="F352" s="40"/>
      <c r="G352" s="81"/>
      <c r="H352" s="40"/>
      <c r="I352" s="40"/>
      <c r="J352" s="81"/>
      <c r="K352" s="40"/>
      <c r="L352" s="40"/>
      <c r="M352" s="81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3.5" customHeight="1">
      <c r="A353" s="40"/>
      <c r="B353" s="40"/>
      <c r="C353" s="40"/>
      <c r="D353" s="81"/>
      <c r="E353" s="40"/>
      <c r="F353" s="40"/>
      <c r="G353" s="81"/>
      <c r="H353" s="40"/>
      <c r="I353" s="40"/>
      <c r="J353" s="81"/>
      <c r="K353" s="40"/>
      <c r="L353" s="40"/>
      <c r="M353" s="81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3.5" customHeight="1">
      <c r="A354" s="40"/>
      <c r="B354" s="40"/>
      <c r="C354" s="40"/>
      <c r="D354" s="81"/>
      <c r="E354" s="40"/>
      <c r="F354" s="40"/>
      <c r="G354" s="81"/>
      <c r="H354" s="40"/>
      <c r="I354" s="40"/>
      <c r="J354" s="81"/>
      <c r="K354" s="40"/>
      <c r="L354" s="40"/>
      <c r="M354" s="81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3.5" customHeight="1">
      <c r="A355" s="40"/>
      <c r="B355" s="40"/>
      <c r="C355" s="40"/>
      <c r="D355" s="81"/>
      <c r="E355" s="40"/>
      <c r="F355" s="40"/>
      <c r="G355" s="81"/>
      <c r="H355" s="40"/>
      <c r="I355" s="40"/>
      <c r="J355" s="81"/>
      <c r="K355" s="40"/>
      <c r="L355" s="40"/>
      <c r="M355" s="81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3.5" customHeight="1">
      <c r="A356" s="40"/>
      <c r="B356" s="40"/>
      <c r="C356" s="40"/>
      <c r="D356" s="81"/>
      <c r="E356" s="40"/>
      <c r="F356" s="40"/>
      <c r="G356" s="81"/>
      <c r="H356" s="40"/>
      <c r="I356" s="40"/>
      <c r="J356" s="81"/>
      <c r="K356" s="40"/>
      <c r="L356" s="40"/>
      <c r="M356" s="81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3.5" customHeight="1">
      <c r="A357" s="40"/>
      <c r="B357" s="40"/>
      <c r="C357" s="40"/>
      <c r="D357" s="81"/>
      <c r="E357" s="40"/>
      <c r="F357" s="40"/>
      <c r="G357" s="81"/>
      <c r="H357" s="40"/>
      <c r="I357" s="40"/>
      <c r="J357" s="81"/>
      <c r="K357" s="40"/>
      <c r="L357" s="40"/>
      <c r="M357" s="81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3.5" customHeight="1">
      <c r="A358" s="40"/>
      <c r="B358" s="40"/>
      <c r="C358" s="40"/>
      <c r="D358" s="81"/>
      <c r="E358" s="40"/>
      <c r="F358" s="40"/>
      <c r="G358" s="81"/>
      <c r="H358" s="40"/>
      <c r="I358" s="40"/>
      <c r="J358" s="81"/>
      <c r="K358" s="40"/>
      <c r="L358" s="40"/>
      <c r="M358" s="81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3.5" customHeight="1">
      <c r="A359" s="40"/>
      <c r="B359" s="40"/>
      <c r="C359" s="40"/>
      <c r="D359" s="81"/>
      <c r="E359" s="40"/>
      <c r="F359" s="40"/>
      <c r="G359" s="81"/>
      <c r="H359" s="40"/>
      <c r="I359" s="40"/>
      <c r="J359" s="81"/>
      <c r="K359" s="40"/>
      <c r="L359" s="40"/>
      <c r="M359" s="81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3.5" customHeight="1">
      <c r="A360" s="40"/>
      <c r="B360" s="40"/>
      <c r="C360" s="40"/>
      <c r="D360" s="81"/>
      <c r="E360" s="40"/>
      <c r="F360" s="40"/>
      <c r="G360" s="81"/>
      <c r="H360" s="40"/>
      <c r="I360" s="40"/>
      <c r="J360" s="81"/>
      <c r="K360" s="40"/>
      <c r="L360" s="40"/>
      <c r="M360" s="81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3.5" customHeight="1">
      <c r="A361" s="40"/>
      <c r="B361" s="40"/>
      <c r="C361" s="40"/>
      <c r="D361" s="81"/>
      <c r="E361" s="40"/>
      <c r="F361" s="40"/>
      <c r="G361" s="81"/>
      <c r="H361" s="40"/>
      <c r="I361" s="40"/>
      <c r="J361" s="81"/>
      <c r="K361" s="40"/>
      <c r="L361" s="40"/>
      <c r="M361" s="81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3.5" customHeight="1">
      <c r="A362" s="40"/>
      <c r="B362" s="40"/>
      <c r="C362" s="40"/>
      <c r="D362" s="81"/>
      <c r="E362" s="40"/>
      <c r="F362" s="40"/>
      <c r="G362" s="81"/>
      <c r="H362" s="40"/>
      <c r="I362" s="40"/>
      <c r="J362" s="81"/>
      <c r="K362" s="40"/>
      <c r="L362" s="40"/>
      <c r="M362" s="81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3.5" customHeight="1">
      <c r="A363" s="40"/>
      <c r="B363" s="40"/>
      <c r="C363" s="40"/>
      <c r="D363" s="81"/>
      <c r="E363" s="40"/>
      <c r="F363" s="40"/>
      <c r="G363" s="81"/>
      <c r="H363" s="40"/>
      <c r="I363" s="40"/>
      <c r="J363" s="81"/>
      <c r="K363" s="40"/>
      <c r="L363" s="40"/>
      <c r="M363" s="81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3.5" customHeight="1">
      <c r="A364" s="40"/>
      <c r="B364" s="40"/>
      <c r="C364" s="40"/>
      <c r="D364" s="81"/>
      <c r="E364" s="40"/>
      <c r="F364" s="40"/>
      <c r="G364" s="81"/>
      <c r="H364" s="40"/>
      <c r="I364" s="40"/>
      <c r="J364" s="81"/>
      <c r="K364" s="40"/>
      <c r="L364" s="40"/>
      <c r="M364" s="81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3.5" customHeight="1">
      <c r="A365" s="40"/>
      <c r="B365" s="40"/>
      <c r="C365" s="40"/>
      <c r="D365" s="81"/>
      <c r="E365" s="40"/>
      <c r="F365" s="40"/>
      <c r="G365" s="81"/>
      <c r="H365" s="40"/>
      <c r="I365" s="40"/>
      <c r="J365" s="81"/>
      <c r="K365" s="40"/>
      <c r="L365" s="40"/>
      <c r="M365" s="81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3.5" customHeight="1">
      <c r="A366" s="40"/>
      <c r="B366" s="40"/>
      <c r="C366" s="40"/>
      <c r="D366" s="81"/>
      <c r="E366" s="40"/>
      <c r="F366" s="40"/>
      <c r="G366" s="81"/>
      <c r="H366" s="40"/>
      <c r="I366" s="40"/>
      <c r="J366" s="81"/>
      <c r="K366" s="40"/>
      <c r="L366" s="40"/>
      <c r="M366" s="81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3.5" customHeight="1">
      <c r="A367" s="40"/>
      <c r="B367" s="40"/>
      <c r="C367" s="40"/>
      <c r="D367" s="81"/>
      <c r="E367" s="40"/>
      <c r="F367" s="40"/>
      <c r="G367" s="81"/>
      <c r="H367" s="40"/>
      <c r="I367" s="40"/>
      <c r="J367" s="81"/>
      <c r="K367" s="40"/>
      <c r="L367" s="40"/>
      <c r="M367" s="81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3.5" customHeight="1">
      <c r="A368" s="40"/>
      <c r="B368" s="40"/>
      <c r="C368" s="40"/>
      <c r="D368" s="81"/>
      <c r="E368" s="40"/>
      <c r="F368" s="40"/>
      <c r="G368" s="81"/>
      <c r="H368" s="40"/>
      <c r="I368" s="40"/>
      <c r="J368" s="81"/>
      <c r="K368" s="40"/>
      <c r="L368" s="40"/>
      <c r="M368" s="81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3.5" customHeight="1">
      <c r="A369" s="40"/>
      <c r="B369" s="40"/>
      <c r="C369" s="40"/>
      <c r="D369" s="81"/>
      <c r="E369" s="40"/>
      <c r="F369" s="40"/>
      <c r="G369" s="81"/>
      <c r="H369" s="40"/>
      <c r="I369" s="40"/>
      <c r="J369" s="81"/>
      <c r="K369" s="40"/>
      <c r="L369" s="40"/>
      <c r="M369" s="81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3.5" customHeight="1">
      <c r="A370" s="40"/>
      <c r="B370" s="40"/>
      <c r="C370" s="40"/>
      <c r="D370" s="81"/>
      <c r="E370" s="40"/>
      <c r="F370" s="40"/>
      <c r="G370" s="81"/>
      <c r="H370" s="40"/>
      <c r="I370" s="40"/>
      <c r="J370" s="81"/>
      <c r="K370" s="40"/>
      <c r="L370" s="40"/>
      <c r="M370" s="81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3.5" customHeight="1">
      <c r="A371" s="40"/>
      <c r="B371" s="40"/>
      <c r="C371" s="40"/>
      <c r="D371" s="81"/>
      <c r="E371" s="40"/>
      <c r="F371" s="40"/>
      <c r="G371" s="81"/>
      <c r="H371" s="40"/>
      <c r="I371" s="40"/>
      <c r="J371" s="81"/>
      <c r="K371" s="40"/>
      <c r="L371" s="40"/>
      <c r="M371" s="81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3.5" customHeight="1">
      <c r="A372" s="40"/>
      <c r="B372" s="40"/>
      <c r="C372" s="40"/>
      <c r="D372" s="81"/>
      <c r="E372" s="40"/>
      <c r="F372" s="40"/>
      <c r="G372" s="81"/>
      <c r="H372" s="40"/>
      <c r="I372" s="40"/>
      <c r="J372" s="81"/>
      <c r="K372" s="40"/>
      <c r="L372" s="40"/>
      <c r="M372" s="81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3.5" customHeight="1">
      <c r="A373" s="40"/>
      <c r="B373" s="40"/>
      <c r="C373" s="40"/>
      <c r="D373" s="81"/>
      <c r="E373" s="40"/>
      <c r="F373" s="40"/>
      <c r="G373" s="81"/>
      <c r="H373" s="40"/>
      <c r="I373" s="40"/>
      <c r="J373" s="81"/>
      <c r="K373" s="40"/>
      <c r="L373" s="40"/>
      <c r="M373" s="81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3.5" customHeight="1">
      <c r="A374" s="40"/>
      <c r="B374" s="40"/>
      <c r="C374" s="40"/>
      <c r="D374" s="81"/>
      <c r="E374" s="40"/>
      <c r="F374" s="40"/>
      <c r="G374" s="81"/>
      <c r="H374" s="40"/>
      <c r="I374" s="40"/>
      <c r="J374" s="81"/>
      <c r="K374" s="40"/>
      <c r="L374" s="40"/>
      <c r="M374" s="81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3.5" customHeight="1">
      <c r="A375" s="40"/>
      <c r="B375" s="40"/>
      <c r="C375" s="40"/>
      <c r="D375" s="81"/>
      <c r="E375" s="40"/>
      <c r="F375" s="40"/>
      <c r="G375" s="81"/>
      <c r="H375" s="40"/>
      <c r="I375" s="40"/>
      <c r="J375" s="81"/>
      <c r="K375" s="40"/>
      <c r="L375" s="40"/>
      <c r="M375" s="81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3.5" customHeight="1">
      <c r="A376" s="40"/>
      <c r="B376" s="40"/>
      <c r="C376" s="40"/>
      <c r="D376" s="81"/>
      <c r="E376" s="40"/>
      <c r="F376" s="40"/>
      <c r="G376" s="81"/>
      <c r="H376" s="40"/>
      <c r="I376" s="40"/>
      <c r="J376" s="81"/>
      <c r="K376" s="40"/>
      <c r="L376" s="40"/>
      <c r="M376" s="81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3.5" customHeight="1">
      <c r="A377" s="40"/>
      <c r="B377" s="40"/>
      <c r="C377" s="40"/>
      <c r="D377" s="81"/>
      <c r="E377" s="40"/>
      <c r="F377" s="40"/>
      <c r="G377" s="81"/>
      <c r="H377" s="40"/>
      <c r="I377" s="40"/>
      <c r="J377" s="81"/>
      <c r="K377" s="40"/>
      <c r="L377" s="40"/>
      <c r="M377" s="81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3.5" customHeight="1">
      <c r="A378" s="40"/>
      <c r="B378" s="40"/>
      <c r="C378" s="40"/>
      <c r="D378" s="81"/>
      <c r="E378" s="40"/>
      <c r="F378" s="40"/>
      <c r="G378" s="81"/>
      <c r="H378" s="40"/>
      <c r="I378" s="40"/>
      <c r="J378" s="81"/>
      <c r="K378" s="40"/>
      <c r="L378" s="40"/>
      <c r="M378" s="81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3.5" customHeight="1">
      <c r="A379" s="40"/>
      <c r="B379" s="40"/>
      <c r="C379" s="40"/>
      <c r="D379" s="81"/>
      <c r="E379" s="40"/>
      <c r="F379" s="40"/>
      <c r="G379" s="81"/>
      <c r="H379" s="40"/>
      <c r="I379" s="40"/>
      <c r="J379" s="81"/>
      <c r="K379" s="40"/>
      <c r="L379" s="40"/>
      <c r="M379" s="81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3.5" customHeight="1">
      <c r="A380" s="40"/>
      <c r="B380" s="40"/>
      <c r="C380" s="40"/>
      <c r="D380" s="81"/>
      <c r="E380" s="40"/>
      <c r="F380" s="40"/>
      <c r="G380" s="81"/>
      <c r="H380" s="40"/>
      <c r="I380" s="40"/>
      <c r="J380" s="81"/>
      <c r="K380" s="40"/>
      <c r="L380" s="40"/>
      <c r="M380" s="81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3.5" customHeight="1">
      <c r="A381" s="40"/>
      <c r="B381" s="40"/>
      <c r="C381" s="40"/>
      <c r="D381" s="81"/>
      <c r="E381" s="40"/>
      <c r="F381" s="40"/>
      <c r="G381" s="81"/>
      <c r="H381" s="40"/>
      <c r="I381" s="40"/>
      <c r="J381" s="81"/>
      <c r="K381" s="40"/>
      <c r="L381" s="40"/>
      <c r="M381" s="81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3.5" customHeight="1">
      <c r="A382" s="40"/>
      <c r="B382" s="40"/>
      <c r="C382" s="40"/>
      <c r="D382" s="81"/>
      <c r="E382" s="40"/>
      <c r="F382" s="40"/>
      <c r="G382" s="81"/>
      <c r="H382" s="40"/>
      <c r="I382" s="40"/>
      <c r="J382" s="81"/>
      <c r="K382" s="40"/>
      <c r="L382" s="40"/>
      <c r="M382" s="81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3.5" customHeight="1">
      <c r="A383" s="40"/>
      <c r="B383" s="40"/>
      <c r="C383" s="40"/>
      <c r="D383" s="81"/>
      <c r="E383" s="40"/>
      <c r="F383" s="40"/>
      <c r="G383" s="81"/>
      <c r="H383" s="40"/>
      <c r="I383" s="40"/>
      <c r="J383" s="81"/>
      <c r="K383" s="40"/>
      <c r="L383" s="40"/>
      <c r="M383" s="81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3.5" customHeight="1">
      <c r="A384" s="40"/>
      <c r="B384" s="40"/>
      <c r="C384" s="40"/>
      <c r="D384" s="81"/>
      <c r="E384" s="40"/>
      <c r="F384" s="40"/>
      <c r="G384" s="81"/>
      <c r="H384" s="40"/>
      <c r="I384" s="40"/>
      <c r="J384" s="81"/>
      <c r="K384" s="40"/>
      <c r="L384" s="40"/>
      <c r="M384" s="81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3.5" customHeight="1">
      <c r="A385" s="40"/>
      <c r="B385" s="40"/>
      <c r="C385" s="40"/>
      <c r="D385" s="81"/>
      <c r="E385" s="40"/>
      <c r="F385" s="40"/>
      <c r="G385" s="81"/>
      <c r="H385" s="40"/>
      <c r="I385" s="40"/>
      <c r="J385" s="81"/>
      <c r="K385" s="40"/>
      <c r="L385" s="40"/>
      <c r="M385" s="81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3.5" customHeight="1">
      <c r="A386" s="40"/>
      <c r="B386" s="40"/>
      <c r="C386" s="40"/>
      <c r="D386" s="81"/>
      <c r="E386" s="40"/>
      <c r="F386" s="40"/>
      <c r="G386" s="81"/>
      <c r="H386" s="40"/>
      <c r="I386" s="40"/>
      <c r="J386" s="81"/>
      <c r="K386" s="40"/>
      <c r="L386" s="40"/>
      <c r="M386" s="81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3.5" customHeight="1">
      <c r="A387" s="40"/>
      <c r="B387" s="40"/>
      <c r="C387" s="40"/>
      <c r="D387" s="81"/>
      <c r="E387" s="40"/>
      <c r="F387" s="40"/>
      <c r="G387" s="81"/>
      <c r="H387" s="40"/>
      <c r="I387" s="40"/>
      <c r="J387" s="81"/>
      <c r="K387" s="40"/>
      <c r="L387" s="40"/>
      <c r="M387" s="81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3.5" customHeight="1">
      <c r="A388" s="40"/>
      <c r="B388" s="40"/>
      <c r="C388" s="40"/>
      <c r="D388" s="81"/>
      <c r="E388" s="40"/>
      <c r="F388" s="40"/>
      <c r="G388" s="81"/>
      <c r="H388" s="40"/>
      <c r="I388" s="40"/>
      <c r="J388" s="81"/>
      <c r="K388" s="40"/>
      <c r="L388" s="40"/>
      <c r="M388" s="81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3.5" customHeight="1">
      <c r="A389" s="40"/>
      <c r="B389" s="40"/>
      <c r="C389" s="40"/>
      <c r="D389" s="81"/>
      <c r="E389" s="40"/>
      <c r="F389" s="40"/>
      <c r="G389" s="81"/>
      <c r="H389" s="40"/>
      <c r="I389" s="40"/>
      <c r="J389" s="81"/>
      <c r="K389" s="40"/>
      <c r="L389" s="40"/>
      <c r="M389" s="81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3.5" customHeight="1">
      <c r="A390" s="40"/>
      <c r="B390" s="40"/>
      <c r="C390" s="40"/>
      <c r="D390" s="81"/>
      <c r="E390" s="40"/>
      <c r="F390" s="40"/>
      <c r="G390" s="81"/>
      <c r="H390" s="40"/>
      <c r="I390" s="40"/>
      <c r="J390" s="81"/>
      <c r="K390" s="40"/>
      <c r="L390" s="40"/>
      <c r="M390" s="81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3.5" customHeight="1">
      <c r="A391" s="40"/>
      <c r="B391" s="40"/>
      <c r="C391" s="40"/>
      <c r="D391" s="81"/>
      <c r="E391" s="40"/>
      <c r="F391" s="40"/>
      <c r="G391" s="81"/>
      <c r="H391" s="40"/>
      <c r="I391" s="40"/>
      <c r="J391" s="81"/>
      <c r="K391" s="40"/>
      <c r="L391" s="40"/>
      <c r="M391" s="81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3.5" customHeight="1">
      <c r="A392" s="40"/>
      <c r="B392" s="40"/>
      <c r="C392" s="40"/>
      <c r="D392" s="81"/>
      <c r="E392" s="40"/>
      <c r="F392" s="40"/>
      <c r="G392" s="81"/>
      <c r="H392" s="40"/>
      <c r="I392" s="40"/>
      <c r="J392" s="81"/>
      <c r="K392" s="40"/>
      <c r="L392" s="40"/>
      <c r="M392" s="81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3.5" customHeight="1">
      <c r="A393" s="40"/>
      <c r="B393" s="40"/>
      <c r="C393" s="40"/>
      <c r="D393" s="81"/>
      <c r="E393" s="40"/>
      <c r="F393" s="40"/>
      <c r="G393" s="81"/>
      <c r="H393" s="40"/>
      <c r="I393" s="40"/>
      <c r="J393" s="81"/>
      <c r="K393" s="40"/>
      <c r="L393" s="40"/>
      <c r="M393" s="81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3.5" customHeight="1">
      <c r="A394" s="40"/>
      <c r="B394" s="40"/>
      <c r="C394" s="40"/>
      <c r="D394" s="81"/>
      <c r="E394" s="40"/>
      <c r="F394" s="40"/>
      <c r="G394" s="81"/>
      <c r="H394" s="40"/>
      <c r="I394" s="40"/>
      <c r="J394" s="81"/>
      <c r="K394" s="40"/>
      <c r="L394" s="40"/>
      <c r="M394" s="81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3.5" customHeight="1">
      <c r="A395" s="40"/>
      <c r="B395" s="40"/>
      <c r="C395" s="40"/>
      <c r="D395" s="81"/>
      <c r="E395" s="40"/>
      <c r="F395" s="40"/>
      <c r="G395" s="81"/>
      <c r="H395" s="40"/>
      <c r="I395" s="40"/>
      <c r="J395" s="81"/>
      <c r="K395" s="40"/>
      <c r="L395" s="40"/>
      <c r="M395" s="81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3.5" customHeight="1">
      <c r="A396" s="40"/>
      <c r="B396" s="40"/>
      <c r="C396" s="40"/>
      <c r="D396" s="81"/>
      <c r="E396" s="40"/>
      <c r="F396" s="40"/>
      <c r="G396" s="81"/>
      <c r="H396" s="40"/>
      <c r="I396" s="40"/>
      <c r="J396" s="81"/>
      <c r="K396" s="40"/>
      <c r="L396" s="40"/>
      <c r="M396" s="81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3.5" customHeight="1">
      <c r="A397" s="40"/>
      <c r="B397" s="40"/>
      <c r="C397" s="40"/>
      <c r="D397" s="81"/>
      <c r="E397" s="40"/>
      <c r="F397" s="40"/>
      <c r="G397" s="81"/>
      <c r="H397" s="40"/>
      <c r="I397" s="40"/>
      <c r="J397" s="81"/>
      <c r="K397" s="40"/>
      <c r="L397" s="40"/>
      <c r="M397" s="81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3.5" customHeight="1">
      <c r="A398" s="40"/>
      <c r="B398" s="40"/>
      <c r="C398" s="40"/>
      <c r="D398" s="81"/>
      <c r="E398" s="40"/>
      <c r="F398" s="40"/>
      <c r="G398" s="81"/>
      <c r="H398" s="40"/>
      <c r="I398" s="40"/>
      <c r="J398" s="81"/>
      <c r="K398" s="40"/>
      <c r="L398" s="40"/>
      <c r="M398" s="81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3.5" customHeight="1">
      <c r="A399" s="40"/>
      <c r="B399" s="40"/>
      <c r="C399" s="40"/>
      <c r="D399" s="81"/>
      <c r="E399" s="40"/>
      <c r="F399" s="40"/>
      <c r="G399" s="81"/>
      <c r="H399" s="40"/>
      <c r="I399" s="40"/>
      <c r="J399" s="81"/>
      <c r="K399" s="40"/>
      <c r="L399" s="40"/>
      <c r="M399" s="81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3.5" customHeight="1">
      <c r="A400" s="40"/>
      <c r="B400" s="40"/>
      <c r="C400" s="40"/>
      <c r="D400" s="81"/>
      <c r="E400" s="40"/>
      <c r="F400" s="40"/>
      <c r="G400" s="81"/>
      <c r="H400" s="40"/>
      <c r="I400" s="40"/>
      <c r="J400" s="81"/>
      <c r="K400" s="40"/>
      <c r="L400" s="40"/>
      <c r="M400" s="81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3.5" customHeight="1">
      <c r="A401" s="40"/>
      <c r="B401" s="40"/>
      <c r="C401" s="40"/>
      <c r="D401" s="81"/>
      <c r="E401" s="40"/>
      <c r="F401" s="40"/>
      <c r="G401" s="81"/>
      <c r="H401" s="40"/>
      <c r="I401" s="40"/>
      <c r="J401" s="81"/>
      <c r="K401" s="40"/>
      <c r="L401" s="40"/>
      <c r="M401" s="81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3.5" customHeight="1">
      <c r="A402" s="40"/>
      <c r="B402" s="40"/>
      <c r="C402" s="40"/>
      <c r="D402" s="81"/>
      <c r="E402" s="40"/>
      <c r="F402" s="40"/>
      <c r="G402" s="81"/>
      <c r="H402" s="40"/>
      <c r="I402" s="40"/>
      <c r="J402" s="81"/>
      <c r="K402" s="40"/>
      <c r="L402" s="40"/>
      <c r="M402" s="81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3.5" customHeight="1">
      <c r="A403" s="40"/>
      <c r="B403" s="40"/>
      <c r="C403" s="40"/>
      <c r="D403" s="81"/>
      <c r="E403" s="40"/>
      <c r="F403" s="40"/>
      <c r="G403" s="81"/>
      <c r="H403" s="40"/>
      <c r="I403" s="40"/>
      <c r="J403" s="81"/>
      <c r="K403" s="40"/>
      <c r="L403" s="40"/>
      <c r="M403" s="81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3.5" customHeight="1">
      <c r="A404" s="40"/>
      <c r="B404" s="40"/>
      <c r="C404" s="40"/>
      <c r="D404" s="81"/>
      <c r="E404" s="40"/>
      <c r="F404" s="40"/>
      <c r="G404" s="81"/>
      <c r="H404" s="40"/>
      <c r="I404" s="40"/>
      <c r="J404" s="81"/>
      <c r="K404" s="40"/>
      <c r="L404" s="40"/>
      <c r="M404" s="81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3.5" customHeight="1">
      <c r="A405" s="40"/>
      <c r="B405" s="40"/>
      <c r="C405" s="40"/>
      <c r="D405" s="81"/>
      <c r="E405" s="40"/>
      <c r="F405" s="40"/>
      <c r="G405" s="81"/>
      <c r="H405" s="40"/>
      <c r="I405" s="40"/>
      <c r="J405" s="81"/>
      <c r="K405" s="40"/>
      <c r="L405" s="40"/>
      <c r="M405" s="81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3.5" customHeight="1">
      <c r="A406" s="40"/>
      <c r="B406" s="40"/>
      <c r="C406" s="40"/>
      <c r="D406" s="81"/>
      <c r="E406" s="40"/>
      <c r="F406" s="40"/>
      <c r="G406" s="81"/>
      <c r="H406" s="40"/>
      <c r="I406" s="40"/>
      <c r="J406" s="81"/>
      <c r="K406" s="40"/>
      <c r="L406" s="40"/>
      <c r="M406" s="81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3.5" customHeight="1">
      <c r="A407" s="40"/>
      <c r="B407" s="40"/>
      <c r="C407" s="40"/>
      <c r="D407" s="81"/>
      <c r="E407" s="40"/>
      <c r="F407" s="40"/>
      <c r="G407" s="81"/>
      <c r="H407" s="40"/>
      <c r="I407" s="40"/>
      <c r="J407" s="81"/>
      <c r="K407" s="40"/>
      <c r="L407" s="40"/>
      <c r="M407" s="81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3.5" customHeight="1">
      <c r="A408" s="40"/>
      <c r="B408" s="40"/>
      <c r="C408" s="40"/>
      <c r="D408" s="81"/>
      <c r="E408" s="40"/>
      <c r="F408" s="40"/>
      <c r="G408" s="81"/>
      <c r="H408" s="40"/>
      <c r="I408" s="40"/>
      <c r="J408" s="81"/>
      <c r="K408" s="40"/>
      <c r="L408" s="40"/>
      <c r="M408" s="81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3.5" customHeight="1">
      <c r="A409" s="40"/>
      <c r="B409" s="40"/>
      <c r="C409" s="40"/>
      <c r="D409" s="81"/>
      <c r="E409" s="40"/>
      <c r="F409" s="40"/>
      <c r="G409" s="81"/>
      <c r="H409" s="40"/>
      <c r="I409" s="40"/>
      <c r="J409" s="81"/>
      <c r="K409" s="40"/>
      <c r="L409" s="40"/>
      <c r="M409" s="81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3.5" customHeight="1">
      <c r="A410" s="40"/>
      <c r="B410" s="40"/>
      <c r="C410" s="40"/>
      <c r="D410" s="81"/>
      <c r="E410" s="40"/>
      <c r="F410" s="40"/>
      <c r="G410" s="81"/>
      <c r="H410" s="40"/>
      <c r="I410" s="40"/>
      <c r="J410" s="81"/>
      <c r="K410" s="40"/>
      <c r="L410" s="40"/>
      <c r="M410" s="81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3.5" customHeight="1">
      <c r="A411" s="40"/>
      <c r="B411" s="40"/>
      <c r="C411" s="40"/>
      <c r="D411" s="81"/>
      <c r="E411" s="40"/>
      <c r="F411" s="40"/>
      <c r="G411" s="81"/>
      <c r="H411" s="40"/>
      <c r="I411" s="40"/>
      <c r="J411" s="81"/>
      <c r="K411" s="40"/>
      <c r="L411" s="40"/>
      <c r="M411" s="81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3.5" customHeight="1">
      <c r="A412" s="40"/>
      <c r="B412" s="40"/>
      <c r="C412" s="40"/>
      <c r="D412" s="81"/>
      <c r="E412" s="40"/>
      <c r="F412" s="40"/>
      <c r="G412" s="81"/>
      <c r="H412" s="40"/>
      <c r="I412" s="40"/>
      <c r="J412" s="81"/>
      <c r="K412" s="40"/>
      <c r="L412" s="40"/>
      <c r="M412" s="81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3.5" customHeight="1">
      <c r="A413" s="40"/>
      <c r="B413" s="40"/>
      <c r="C413" s="40"/>
      <c r="D413" s="81"/>
      <c r="E413" s="40"/>
      <c r="F413" s="40"/>
      <c r="G413" s="81"/>
      <c r="H413" s="40"/>
      <c r="I413" s="40"/>
      <c r="J413" s="81"/>
      <c r="K413" s="40"/>
      <c r="L413" s="40"/>
      <c r="M413" s="81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3.5" customHeight="1">
      <c r="A414" s="40"/>
      <c r="B414" s="40"/>
      <c r="C414" s="40"/>
      <c r="D414" s="81"/>
      <c r="E414" s="40"/>
      <c r="F414" s="40"/>
      <c r="G414" s="81"/>
      <c r="H414" s="40"/>
      <c r="I414" s="40"/>
      <c r="J414" s="81"/>
      <c r="K414" s="40"/>
      <c r="L414" s="40"/>
      <c r="M414" s="81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3.5" customHeight="1">
      <c r="A415" s="40"/>
      <c r="B415" s="40"/>
      <c r="C415" s="40"/>
      <c r="D415" s="81"/>
      <c r="E415" s="40"/>
      <c r="F415" s="40"/>
      <c r="G415" s="81"/>
      <c r="H415" s="40"/>
      <c r="I415" s="40"/>
      <c r="J415" s="81"/>
      <c r="K415" s="40"/>
      <c r="L415" s="40"/>
      <c r="M415" s="81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3.5" customHeight="1">
      <c r="A416" s="40"/>
      <c r="B416" s="40"/>
      <c r="C416" s="40"/>
      <c r="D416" s="81"/>
      <c r="E416" s="40"/>
      <c r="F416" s="40"/>
      <c r="G416" s="81"/>
      <c r="H416" s="40"/>
      <c r="I416" s="40"/>
      <c r="J416" s="81"/>
      <c r="K416" s="40"/>
      <c r="L416" s="40"/>
      <c r="M416" s="81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3.5" customHeight="1">
      <c r="A417" s="40"/>
      <c r="B417" s="40"/>
      <c r="C417" s="40"/>
      <c r="D417" s="81"/>
      <c r="E417" s="40"/>
      <c r="F417" s="40"/>
      <c r="G417" s="81"/>
      <c r="H417" s="40"/>
      <c r="I417" s="40"/>
      <c r="J417" s="81"/>
      <c r="K417" s="40"/>
      <c r="L417" s="40"/>
      <c r="M417" s="81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3.5" customHeight="1">
      <c r="A418" s="40"/>
      <c r="B418" s="40"/>
      <c r="C418" s="40"/>
      <c r="D418" s="81"/>
      <c r="E418" s="40"/>
      <c r="F418" s="40"/>
      <c r="G418" s="81"/>
      <c r="H418" s="40"/>
      <c r="I418" s="40"/>
      <c r="J418" s="81"/>
      <c r="K418" s="40"/>
      <c r="L418" s="40"/>
      <c r="M418" s="81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3.5" customHeight="1">
      <c r="A419" s="40"/>
      <c r="B419" s="40"/>
      <c r="C419" s="40"/>
      <c r="D419" s="81"/>
      <c r="E419" s="40"/>
      <c r="F419" s="40"/>
      <c r="G419" s="81"/>
      <c r="H419" s="40"/>
      <c r="I419" s="40"/>
      <c r="J419" s="81"/>
      <c r="K419" s="40"/>
      <c r="L419" s="40"/>
      <c r="M419" s="81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3.5" customHeight="1">
      <c r="A420" s="40"/>
      <c r="B420" s="40"/>
      <c r="C420" s="40"/>
      <c r="D420" s="81"/>
      <c r="E420" s="40"/>
      <c r="F420" s="40"/>
      <c r="G420" s="81"/>
      <c r="H420" s="40"/>
      <c r="I420" s="40"/>
      <c r="J420" s="81"/>
      <c r="K420" s="40"/>
      <c r="L420" s="40"/>
      <c r="M420" s="81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3.5" customHeight="1">
      <c r="A421" s="40"/>
      <c r="B421" s="40"/>
      <c r="C421" s="40"/>
      <c r="D421" s="81"/>
      <c r="E421" s="40"/>
      <c r="F421" s="40"/>
      <c r="G421" s="81"/>
      <c r="H421" s="40"/>
      <c r="I421" s="40"/>
      <c r="J421" s="81"/>
      <c r="K421" s="40"/>
      <c r="L421" s="40"/>
      <c r="M421" s="81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3.5" customHeight="1">
      <c r="A422" s="40"/>
      <c r="B422" s="40"/>
      <c r="C422" s="40"/>
      <c r="D422" s="81"/>
      <c r="E422" s="40"/>
      <c r="F422" s="40"/>
      <c r="G422" s="81"/>
      <c r="H422" s="40"/>
      <c r="I422" s="40"/>
      <c r="J422" s="81"/>
      <c r="K422" s="40"/>
      <c r="L422" s="40"/>
      <c r="M422" s="81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3.5" customHeight="1">
      <c r="A423" s="40"/>
      <c r="B423" s="40"/>
      <c r="C423" s="40"/>
      <c r="D423" s="81"/>
      <c r="E423" s="40"/>
      <c r="F423" s="40"/>
      <c r="G423" s="81"/>
      <c r="H423" s="40"/>
      <c r="I423" s="40"/>
      <c r="J423" s="81"/>
      <c r="K423" s="40"/>
      <c r="L423" s="40"/>
      <c r="M423" s="81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3.5" customHeight="1">
      <c r="A424" s="40"/>
      <c r="B424" s="40"/>
      <c r="C424" s="40"/>
      <c r="D424" s="81"/>
      <c r="E424" s="40"/>
      <c r="F424" s="40"/>
      <c r="G424" s="81"/>
      <c r="H424" s="40"/>
      <c r="I424" s="40"/>
      <c r="J424" s="81"/>
      <c r="K424" s="40"/>
      <c r="L424" s="40"/>
      <c r="M424" s="81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3.5" customHeight="1">
      <c r="A425" s="40"/>
      <c r="B425" s="40"/>
      <c r="C425" s="40"/>
      <c r="D425" s="81"/>
      <c r="E425" s="40"/>
      <c r="F425" s="40"/>
      <c r="G425" s="81"/>
      <c r="H425" s="40"/>
      <c r="I425" s="40"/>
      <c r="J425" s="81"/>
      <c r="K425" s="40"/>
      <c r="L425" s="40"/>
      <c r="M425" s="81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3.5" customHeight="1">
      <c r="A426" s="40"/>
      <c r="B426" s="40"/>
      <c r="C426" s="40"/>
      <c r="D426" s="81"/>
      <c r="E426" s="40"/>
      <c r="F426" s="40"/>
      <c r="G426" s="81"/>
      <c r="H426" s="40"/>
      <c r="I426" s="40"/>
      <c r="J426" s="81"/>
      <c r="K426" s="40"/>
      <c r="L426" s="40"/>
      <c r="M426" s="81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3.5" customHeight="1">
      <c r="A427" s="40"/>
      <c r="B427" s="40"/>
      <c r="C427" s="40"/>
      <c r="D427" s="81"/>
      <c r="E427" s="40"/>
      <c r="F427" s="40"/>
      <c r="G427" s="81"/>
      <c r="H427" s="40"/>
      <c r="I427" s="40"/>
      <c r="J427" s="81"/>
      <c r="K427" s="40"/>
      <c r="L427" s="40"/>
      <c r="M427" s="81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3.5" customHeight="1">
      <c r="A428" s="40"/>
      <c r="B428" s="40"/>
      <c r="C428" s="40"/>
      <c r="D428" s="81"/>
      <c r="E428" s="40"/>
      <c r="F428" s="40"/>
      <c r="G428" s="81"/>
      <c r="H428" s="40"/>
      <c r="I428" s="40"/>
      <c r="J428" s="81"/>
      <c r="K428" s="40"/>
      <c r="L428" s="40"/>
      <c r="M428" s="81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3.5" customHeight="1">
      <c r="A429" s="40"/>
      <c r="B429" s="40"/>
      <c r="C429" s="40"/>
      <c r="D429" s="81"/>
      <c r="E429" s="40"/>
      <c r="F429" s="40"/>
      <c r="G429" s="81"/>
      <c r="H429" s="40"/>
      <c r="I429" s="40"/>
      <c r="J429" s="81"/>
      <c r="K429" s="40"/>
      <c r="L429" s="40"/>
      <c r="M429" s="81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3.5" customHeight="1">
      <c r="A430" s="40"/>
      <c r="B430" s="40"/>
      <c r="C430" s="40"/>
      <c r="D430" s="81"/>
      <c r="E430" s="40"/>
      <c r="F430" s="40"/>
      <c r="G430" s="81"/>
      <c r="H430" s="40"/>
      <c r="I430" s="40"/>
      <c r="J430" s="81"/>
      <c r="K430" s="40"/>
      <c r="L430" s="40"/>
      <c r="M430" s="81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3.5" customHeight="1">
      <c r="A431" s="40"/>
      <c r="B431" s="40"/>
      <c r="C431" s="40"/>
      <c r="D431" s="81"/>
      <c r="E431" s="40"/>
      <c r="F431" s="40"/>
      <c r="G431" s="81"/>
      <c r="H431" s="40"/>
      <c r="I431" s="40"/>
      <c r="J431" s="81"/>
      <c r="K431" s="40"/>
      <c r="L431" s="40"/>
      <c r="M431" s="81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3.5" customHeight="1">
      <c r="A432" s="40"/>
      <c r="B432" s="40"/>
      <c r="C432" s="40"/>
      <c r="D432" s="81"/>
      <c r="E432" s="40"/>
      <c r="F432" s="40"/>
      <c r="G432" s="81"/>
      <c r="H432" s="40"/>
      <c r="I432" s="40"/>
      <c r="J432" s="81"/>
      <c r="K432" s="40"/>
      <c r="L432" s="40"/>
      <c r="M432" s="81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3.5" customHeight="1">
      <c r="A433" s="40"/>
      <c r="B433" s="40"/>
      <c r="C433" s="40"/>
      <c r="D433" s="81"/>
      <c r="E433" s="40"/>
      <c r="F433" s="40"/>
      <c r="G433" s="81"/>
      <c r="H433" s="40"/>
      <c r="I433" s="40"/>
      <c r="J433" s="81"/>
      <c r="K433" s="40"/>
      <c r="L433" s="40"/>
      <c r="M433" s="81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3.5" customHeight="1">
      <c r="A434" s="40"/>
      <c r="B434" s="40"/>
      <c r="C434" s="40"/>
      <c r="D434" s="81"/>
      <c r="E434" s="40"/>
      <c r="F434" s="40"/>
      <c r="G434" s="81"/>
      <c r="H434" s="40"/>
      <c r="I434" s="40"/>
      <c r="J434" s="81"/>
      <c r="K434" s="40"/>
      <c r="L434" s="40"/>
      <c r="M434" s="81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3.5" customHeight="1">
      <c r="A435" s="40"/>
      <c r="B435" s="40"/>
      <c r="C435" s="40"/>
      <c r="D435" s="81"/>
      <c r="E435" s="40"/>
      <c r="F435" s="40"/>
      <c r="G435" s="81"/>
      <c r="H435" s="40"/>
      <c r="I435" s="40"/>
      <c r="J435" s="81"/>
      <c r="K435" s="40"/>
      <c r="L435" s="40"/>
      <c r="M435" s="81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3.5" customHeight="1">
      <c r="A436" s="40"/>
      <c r="B436" s="40"/>
      <c r="C436" s="40"/>
      <c r="D436" s="81"/>
      <c r="E436" s="40"/>
      <c r="F436" s="40"/>
      <c r="G436" s="81"/>
      <c r="H436" s="40"/>
      <c r="I436" s="40"/>
      <c r="J436" s="81"/>
      <c r="K436" s="40"/>
      <c r="L436" s="40"/>
      <c r="M436" s="81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3.5" customHeight="1">
      <c r="A437" s="40"/>
      <c r="B437" s="40"/>
      <c r="C437" s="40"/>
      <c r="D437" s="81"/>
      <c r="E437" s="40"/>
      <c r="F437" s="40"/>
      <c r="G437" s="81"/>
      <c r="H437" s="40"/>
      <c r="I437" s="40"/>
      <c r="J437" s="81"/>
      <c r="K437" s="40"/>
      <c r="L437" s="40"/>
      <c r="M437" s="81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3.5" customHeight="1">
      <c r="A438" s="40"/>
      <c r="B438" s="40"/>
      <c r="C438" s="40"/>
      <c r="D438" s="81"/>
      <c r="E438" s="40"/>
      <c r="F438" s="40"/>
      <c r="G438" s="81"/>
      <c r="H438" s="40"/>
      <c r="I438" s="40"/>
      <c r="J438" s="81"/>
      <c r="K438" s="40"/>
      <c r="L438" s="40"/>
      <c r="M438" s="81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3.5" customHeight="1">
      <c r="A439" s="40"/>
      <c r="B439" s="40"/>
      <c r="C439" s="40"/>
      <c r="D439" s="81"/>
      <c r="E439" s="40"/>
      <c r="F439" s="40"/>
      <c r="G439" s="81"/>
      <c r="H439" s="40"/>
      <c r="I439" s="40"/>
      <c r="J439" s="81"/>
      <c r="K439" s="40"/>
      <c r="L439" s="40"/>
      <c r="M439" s="81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3.5" customHeight="1">
      <c r="A440" s="40"/>
      <c r="B440" s="40"/>
      <c r="C440" s="40"/>
      <c r="D440" s="81"/>
      <c r="E440" s="40"/>
      <c r="F440" s="40"/>
      <c r="G440" s="81"/>
      <c r="H440" s="40"/>
      <c r="I440" s="40"/>
      <c r="J440" s="81"/>
      <c r="K440" s="40"/>
      <c r="L440" s="40"/>
      <c r="M440" s="81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3.5" customHeight="1">
      <c r="A441" s="40"/>
      <c r="B441" s="40"/>
      <c r="C441" s="40"/>
      <c r="D441" s="81"/>
      <c r="E441" s="40"/>
      <c r="F441" s="40"/>
      <c r="G441" s="81"/>
      <c r="H441" s="40"/>
      <c r="I441" s="40"/>
      <c r="J441" s="81"/>
      <c r="K441" s="40"/>
      <c r="L441" s="40"/>
      <c r="M441" s="81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3.5" customHeight="1">
      <c r="A442" s="40"/>
      <c r="B442" s="40"/>
      <c r="C442" s="40"/>
      <c r="D442" s="81"/>
      <c r="E442" s="40"/>
      <c r="F442" s="40"/>
      <c r="G442" s="81"/>
      <c r="H442" s="40"/>
      <c r="I442" s="40"/>
      <c r="J442" s="81"/>
      <c r="K442" s="40"/>
      <c r="L442" s="40"/>
      <c r="M442" s="81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3.5" customHeight="1">
      <c r="A443" s="40"/>
      <c r="B443" s="40"/>
      <c r="C443" s="40"/>
      <c r="D443" s="81"/>
      <c r="E443" s="40"/>
      <c r="F443" s="40"/>
      <c r="G443" s="81"/>
      <c r="H443" s="40"/>
      <c r="I443" s="40"/>
      <c r="J443" s="81"/>
      <c r="K443" s="40"/>
      <c r="L443" s="40"/>
      <c r="M443" s="81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3.5" customHeight="1">
      <c r="A444" s="40"/>
      <c r="B444" s="40"/>
      <c r="C444" s="40"/>
      <c r="D444" s="81"/>
      <c r="E444" s="40"/>
      <c r="F444" s="40"/>
      <c r="G444" s="81"/>
      <c r="H444" s="40"/>
      <c r="I444" s="40"/>
      <c r="J444" s="81"/>
      <c r="K444" s="40"/>
      <c r="L444" s="40"/>
      <c r="M444" s="81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3.5" customHeight="1">
      <c r="A445" s="40"/>
      <c r="B445" s="40"/>
      <c r="C445" s="40"/>
      <c r="D445" s="81"/>
      <c r="E445" s="40"/>
      <c r="F445" s="40"/>
      <c r="G445" s="81"/>
      <c r="H445" s="40"/>
      <c r="I445" s="40"/>
      <c r="J445" s="81"/>
      <c r="K445" s="40"/>
      <c r="L445" s="40"/>
      <c r="M445" s="81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3.5" customHeight="1">
      <c r="A446" s="40"/>
      <c r="B446" s="40"/>
      <c r="C446" s="40"/>
      <c r="D446" s="81"/>
      <c r="E446" s="40"/>
      <c r="F446" s="40"/>
      <c r="G446" s="81"/>
      <c r="H446" s="40"/>
      <c r="I446" s="40"/>
      <c r="J446" s="81"/>
      <c r="K446" s="40"/>
      <c r="L446" s="40"/>
      <c r="M446" s="81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3.5" customHeight="1">
      <c r="A447" s="40"/>
      <c r="B447" s="40"/>
      <c r="C447" s="40"/>
      <c r="D447" s="81"/>
      <c r="E447" s="40"/>
      <c r="F447" s="40"/>
      <c r="G447" s="81"/>
      <c r="H447" s="40"/>
      <c r="I447" s="40"/>
      <c r="J447" s="81"/>
      <c r="K447" s="40"/>
      <c r="L447" s="40"/>
      <c r="M447" s="81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3.5" customHeight="1">
      <c r="A448" s="40"/>
      <c r="B448" s="40"/>
      <c r="C448" s="40"/>
      <c r="D448" s="81"/>
      <c r="E448" s="40"/>
      <c r="F448" s="40"/>
      <c r="G448" s="81"/>
      <c r="H448" s="40"/>
      <c r="I448" s="40"/>
      <c r="J448" s="81"/>
      <c r="K448" s="40"/>
      <c r="L448" s="40"/>
      <c r="M448" s="81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3.5" customHeight="1">
      <c r="A449" s="40"/>
      <c r="B449" s="40"/>
      <c r="C449" s="40"/>
      <c r="D449" s="81"/>
      <c r="E449" s="40"/>
      <c r="F449" s="40"/>
      <c r="G449" s="81"/>
      <c r="H449" s="40"/>
      <c r="I449" s="40"/>
      <c r="J449" s="81"/>
      <c r="K449" s="40"/>
      <c r="L449" s="40"/>
      <c r="M449" s="81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3.5" customHeight="1">
      <c r="A450" s="40"/>
      <c r="B450" s="40"/>
      <c r="C450" s="40"/>
      <c r="D450" s="81"/>
      <c r="E450" s="40"/>
      <c r="F450" s="40"/>
      <c r="G450" s="81"/>
      <c r="H450" s="40"/>
      <c r="I450" s="40"/>
      <c r="J450" s="81"/>
      <c r="K450" s="40"/>
      <c r="L450" s="40"/>
      <c r="M450" s="81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3.5" customHeight="1">
      <c r="A451" s="40"/>
      <c r="B451" s="40"/>
      <c r="C451" s="40"/>
      <c r="D451" s="81"/>
      <c r="E451" s="40"/>
      <c r="F451" s="40"/>
      <c r="G451" s="81"/>
      <c r="H451" s="40"/>
      <c r="I451" s="40"/>
      <c r="J451" s="81"/>
      <c r="K451" s="40"/>
      <c r="L451" s="40"/>
      <c r="M451" s="81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3.5" customHeight="1">
      <c r="A452" s="40"/>
      <c r="B452" s="40"/>
      <c r="C452" s="40"/>
      <c r="D452" s="81"/>
      <c r="E452" s="40"/>
      <c r="F452" s="40"/>
      <c r="G452" s="81"/>
      <c r="H452" s="40"/>
      <c r="I452" s="40"/>
      <c r="J452" s="81"/>
      <c r="K452" s="40"/>
      <c r="L452" s="40"/>
      <c r="M452" s="81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3.5" customHeight="1">
      <c r="A453" s="40"/>
      <c r="B453" s="40"/>
      <c r="C453" s="40"/>
      <c r="D453" s="81"/>
      <c r="E453" s="40"/>
      <c r="F453" s="40"/>
      <c r="G453" s="81"/>
      <c r="H453" s="40"/>
      <c r="I453" s="40"/>
      <c r="J453" s="81"/>
      <c r="K453" s="40"/>
      <c r="L453" s="40"/>
      <c r="M453" s="81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3.5" customHeight="1">
      <c r="A454" s="40"/>
      <c r="B454" s="40"/>
      <c r="C454" s="40"/>
      <c r="D454" s="81"/>
      <c r="E454" s="40"/>
      <c r="F454" s="40"/>
      <c r="G454" s="81"/>
      <c r="H454" s="40"/>
      <c r="I454" s="40"/>
      <c r="J454" s="81"/>
      <c r="K454" s="40"/>
      <c r="L454" s="40"/>
      <c r="M454" s="81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3.5" customHeight="1">
      <c r="A455" s="40"/>
      <c r="B455" s="40"/>
      <c r="C455" s="40"/>
      <c r="D455" s="81"/>
      <c r="E455" s="40"/>
      <c r="F455" s="40"/>
      <c r="G455" s="81"/>
      <c r="H455" s="40"/>
      <c r="I455" s="40"/>
      <c r="J455" s="81"/>
      <c r="K455" s="40"/>
      <c r="L455" s="40"/>
      <c r="M455" s="81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3.5" customHeight="1">
      <c r="A456" s="40"/>
      <c r="B456" s="40"/>
      <c r="C456" s="40"/>
      <c r="D456" s="81"/>
      <c r="E456" s="40"/>
      <c r="F456" s="40"/>
      <c r="G456" s="81"/>
      <c r="H456" s="40"/>
      <c r="I456" s="40"/>
      <c r="J456" s="81"/>
      <c r="K456" s="40"/>
      <c r="L456" s="40"/>
      <c r="M456" s="81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3.5" customHeight="1">
      <c r="A457" s="40"/>
      <c r="B457" s="40"/>
      <c r="C457" s="40"/>
      <c r="D457" s="81"/>
      <c r="E457" s="40"/>
      <c r="F457" s="40"/>
      <c r="G457" s="81"/>
      <c r="H457" s="40"/>
      <c r="I457" s="40"/>
      <c r="J457" s="81"/>
      <c r="K457" s="40"/>
      <c r="L457" s="40"/>
      <c r="M457" s="81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3.5" customHeight="1">
      <c r="A458" s="40"/>
      <c r="B458" s="40"/>
      <c r="C458" s="40"/>
      <c r="D458" s="81"/>
      <c r="E458" s="40"/>
      <c r="F458" s="40"/>
      <c r="G458" s="81"/>
      <c r="H458" s="40"/>
      <c r="I458" s="40"/>
      <c r="J458" s="81"/>
      <c r="K458" s="40"/>
      <c r="L458" s="40"/>
      <c r="M458" s="81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3.5" customHeight="1">
      <c r="A459" s="40"/>
      <c r="B459" s="40"/>
      <c r="C459" s="40"/>
      <c r="D459" s="81"/>
      <c r="E459" s="40"/>
      <c r="F459" s="40"/>
      <c r="G459" s="81"/>
      <c r="H459" s="40"/>
      <c r="I459" s="40"/>
      <c r="J459" s="81"/>
      <c r="K459" s="40"/>
      <c r="L459" s="40"/>
      <c r="M459" s="81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3.5" customHeight="1">
      <c r="A460" s="40"/>
      <c r="B460" s="40"/>
      <c r="C460" s="40"/>
      <c r="D460" s="81"/>
      <c r="E460" s="40"/>
      <c r="F460" s="40"/>
      <c r="G460" s="81"/>
      <c r="H460" s="40"/>
      <c r="I460" s="40"/>
      <c r="J460" s="81"/>
      <c r="K460" s="40"/>
      <c r="L460" s="40"/>
      <c r="M460" s="81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3.5" customHeight="1">
      <c r="A461" s="40"/>
      <c r="B461" s="40"/>
      <c r="C461" s="40"/>
      <c r="D461" s="81"/>
      <c r="E461" s="40"/>
      <c r="F461" s="40"/>
      <c r="G461" s="81"/>
      <c r="H461" s="40"/>
      <c r="I461" s="40"/>
      <c r="J461" s="81"/>
      <c r="K461" s="40"/>
      <c r="L461" s="40"/>
      <c r="M461" s="81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3.5" customHeight="1">
      <c r="A462" s="40"/>
      <c r="B462" s="40"/>
      <c r="C462" s="40"/>
      <c r="D462" s="81"/>
      <c r="E462" s="40"/>
      <c r="F462" s="40"/>
      <c r="G462" s="81"/>
      <c r="H462" s="40"/>
      <c r="I462" s="40"/>
      <c r="J462" s="81"/>
      <c r="K462" s="40"/>
      <c r="L462" s="40"/>
      <c r="M462" s="81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3.5" customHeight="1">
      <c r="A463" s="40"/>
      <c r="B463" s="40"/>
      <c r="C463" s="40"/>
      <c r="D463" s="81"/>
      <c r="E463" s="40"/>
      <c r="F463" s="40"/>
      <c r="G463" s="81"/>
      <c r="H463" s="40"/>
      <c r="I463" s="40"/>
      <c r="J463" s="81"/>
      <c r="K463" s="40"/>
      <c r="L463" s="40"/>
      <c r="M463" s="81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3.5" customHeight="1">
      <c r="A464" s="40"/>
      <c r="B464" s="40"/>
      <c r="C464" s="40"/>
      <c r="D464" s="81"/>
      <c r="E464" s="40"/>
      <c r="F464" s="40"/>
      <c r="G464" s="81"/>
      <c r="H464" s="40"/>
      <c r="I464" s="40"/>
      <c r="J464" s="81"/>
      <c r="K464" s="40"/>
      <c r="L464" s="40"/>
      <c r="M464" s="81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3.5" customHeight="1">
      <c r="A465" s="40"/>
      <c r="B465" s="40"/>
      <c r="C465" s="40"/>
      <c r="D465" s="81"/>
      <c r="E465" s="40"/>
      <c r="F465" s="40"/>
      <c r="G465" s="81"/>
      <c r="H465" s="40"/>
      <c r="I465" s="40"/>
      <c r="J465" s="81"/>
      <c r="K465" s="40"/>
      <c r="L465" s="40"/>
      <c r="M465" s="81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3.5" customHeight="1">
      <c r="A466" s="40"/>
      <c r="B466" s="40"/>
      <c r="C466" s="40"/>
      <c r="D466" s="81"/>
      <c r="E466" s="40"/>
      <c r="F466" s="40"/>
      <c r="G466" s="81"/>
      <c r="H466" s="40"/>
      <c r="I466" s="40"/>
      <c r="J466" s="81"/>
      <c r="K466" s="40"/>
      <c r="L466" s="40"/>
      <c r="M466" s="81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3.5" customHeight="1">
      <c r="A467" s="40"/>
      <c r="B467" s="40"/>
      <c r="C467" s="40"/>
      <c r="D467" s="81"/>
      <c r="E467" s="40"/>
      <c r="F467" s="40"/>
      <c r="G467" s="81"/>
      <c r="H467" s="40"/>
      <c r="I467" s="40"/>
      <c r="J467" s="81"/>
      <c r="K467" s="40"/>
      <c r="L467" s="40"/>
      <c r="M467" s="81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3.5" customHeight="1">
      <c r="A468" s="40"/>
      <c r="B468" s="40"/>
      <c r="C468" s="40"/>
      <c r="D468" s="81"/>
      <c r="E468" s="40"/>
      <c r="F468" s="40"/>
      <c r="G468" s="81"/>
      <c r="H468" s="40"/>
      <c r="I468" s="40"/>
      <c r="J468" s="81"/>
      <c r="K468" s="40"/>
      <c r="L468" s="40"/>
      <c r="M468" s="81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3.5" customHeight="1">
      <c r="A469" s="40"/>
      <c r="B469" s="40"/>
      <c r="C469" s="40"/>
      <c r="D469" s="81"/>
      <c r="E469" s="40"/>
      <c r="F469" s="40"/>
      <c r="G469" s="81"/>
      <c r="H469" s="40"/>
      <c r="I469" s="40"/>
      <c r="J469" s="81"/>
      <c r="K469" s="40"/>
      <c r="L469" s="40"/>
      <c r="M469" s="81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3.5" customHeight="1">
      <c r="A470" s="40"/>
      <c r="B470" s="40"/>
      <c r="C470" s="40"/>
      <c r="D470" s="81"/>
      <c r="E470" s="40"/>
      <c r="F470" s="40"/>
      <c r="G470" s="81"/>
      <c r="H470" s="40"/>
      <c r="I470" s="40"/>
      <c r="J470" s="81"/>
      <c r="K470" s="40"/>
      <c r="L470" s="40"/>
      <c r="M470" s="81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3.5" customHeight="1">
      <c r="A471" s="40"/>
      <c r="B471" s="40"/>
      <c r="C471" s="40"/>
      <c r="D471" s="81"/>
      <c r="E471" s="40"/>
      <c r="F471" s="40"/>
      <c r="G471" s="81"/>
      <c r="H471" s="40"/>
      <c r="I471" s="40"/>
      <c r="J471" s="81"/>
      <c r="K471" s="40"/>
      <c r="L471" s="40"/>
      <c r="M471" s="81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3.5" customHeight="1">
      <c r="A472" s="40"/>
      <c r="B472" s="40"/>
      <c r="C472" s="40"/>
      <c r="D472" s="81"/>
      <c r="E472" s="40"/>
      <c r="F472" s="40"/>
      <c r="G472" s="81"/>
      <c r="H472" s="40"/>
      <c r="I472" s="40"/>
      <c r="J472" s="81"/>
      <c r="K472" s="40"/>
      <c r="L472" s="40"/>
      <c r="M472" s="81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3.5" customHeight="1">
      <c r="A473" s="40"/>
      <c r="B473" s="40"/>
      <c r="C473" s="40"/>
      <c r="D473" s="81"/>
      <c r="E473" s="40"/>
      <c r="F473" s="40"/>
      <c r="G473" s="81"/>
      <c r="H473" s="40"/>
      <c r="I473" s="40"/>
      <c r="J473" s="81"/>
      <c r="K473" s="40"/>
      <c r="L473" s="40"/>
      <c r="M473" s="81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3.5" customHeight="1">
      <c r="A474" s="40"/>
      <c r="B474" s="40"/>
      <c r="C474" s="40"/>
      <c r="D474" s="81"/>
      <c r="E474" s="40"/>
      <c r="F474" s="40"/>
      <c r="G474" s="81"/>
      <c r="H474" s="40"/>
      <c r="I474" s="40"/>
      <c r="J474" s="81"/>
      <c r="K474" s="40"/>
      <c r="L474" s="40"/>
      <c r="M474" s="81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3.5" customHeight="1">
      <c r="A475" s="40"/>
      <c r="B475" s="40"/>
      <c r="C475" s="40"/>
      <c r="D475" s="81"/>
      <c r="E475" s="40"/>
      <c r="F475" s="40"/>
      <c r="G475" s="81"/>
      <c r="H475" s="40"/>
      <c r="I475" s="40"/>
      <c r="J475" s="81"/>
      <c r="K475" s="40"/>
      <c r="L475" s="40"/>
      <c r="M475" s="81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3.5" customHeight="1">
      <c r="A476" s="40"/>
      <c r="B476" s="40"/>
      <c r="C476" s="40"/>
      <c r="D476" s="81"/>
      <c r="E476" s="40"/>
      <c r="F476" s="40"/>
      <c r="G476" s="81"/>
      <c r="H476" s="40"/>
      <c r="I476" s="40"/>
      <c r="J476" s="81"/>
      <c r="K476" s="40"/>
      <c r="L476" s="40"/>
      <c r="M476" s="81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3.5" customHeight="1">
      <c r="A477" s="40"/>
      <c r="B477" s="40"/>
      <c r="C477" s="40"/>
      <c r="D477" s="81"/>
      <c r="E477" s="40"/>
      <c r="F477" s="40"/>
      <c r="G477" s="81"/>
      <c r="H477" s="40"/>
      <c r="I477" s="40"/>
      <c r="J477" s="81"/>
      <c r="K477" s="40"/>
      <c r="L477" s="40"/>
      <c r="M477" s="81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3.5" customHeight="1">
      <c r="A478" s="40"/>
      <c r="B478" s="40"/>
      <c r="C478" s="40"/>
      <c r="D478" s="81"/>
      <c r="E478" s="40"/>
      <c r="F478" s="40"/>
      <c r="G478" s="81"/>
      <c r="H478" s="40"/>
      <c r="I478" s="40"/>
      <c r="J478" s="81"/>
      <c r="K478" s="40"/>
      <c r="L478" s="40"/>
      <c r="M478" s="81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3.5" customHeight="1">
      <c r="A479" s="40"/>
      <c r="B479" s="40"/>
      <c r="C479" s="40"/>
      <c r="D479" s="81"/>
      <c r="E479" s="40"/>
      <c r="F479" s="40"/>
      <c r="G479" s="81"/>
      <c r="H479" s="40"/>
      <c r="I479" s="40"/>
      <c r="J479" s="81"/>
      <c r="K479" s="40"/>
      <c r="L479" s="40"/>
      <c r="M479" s="81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3.5" customHeight="1">
      <c r="A480" s="40"/>
      <c r="B480" s="40"/>
      <c r="C480" s="40"/>
      <c r="D480" s="81"/>
      <c r="E480" s="40"/>
      <c r="F480" s="40"/>
      <c r="G480" s="81"/>
      <c r="H480" s="40"/>
      <c r="I480" s="40"/>
      <c r="J480" s="81"/>
      <c r="K480" s="40"/>
      <c r="L480" s="40"/>
      <c r="M480" s="81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3.5" customHeight="1">
      <c r="A481" s="40"/>
      <c r="B481" s="40"/>
      <c r="C481" s="40"/>
      <c r="D481" s="81"/>
      <c r="E481" s="40"/>
      <c r="F481" s="40"/>
      <c r="G481" s="81"/>
      <c r="H481" s="40"/>
      <c r="I481" s="40"/>
      <c r="J481" s="81"/>
      <c r="K481" s="40"/>
      <c r="L481" s="40"/>
      <c r="M481" s="81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3.5" customHeight="1">
      <c r="A482" s="40"/>
      <c r="B482" s="40"/>
      <c r="C482" s="40"/>
      <c r="D482" s="81"/>
      <c r="E482" s="40"/>
      <c r="F482" s="40"/>
      <c r="G482" s="81"/>
      <c r="H482" s="40"/>
      <c r="I482" s="40"/>
      <c r="J482" s="81"/>
      <c r="K482" s="40"/>
      <c r="L482" s="40"/>
      <c r="M482" s="81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3.5" customHeight="1">
      <c r="A483" s="40"/>
      <c r="B483" s="40"/>
      <c r="C483" s="40"/>
      <c r="D483" s="81"/>
      <c r="E483" s="40"/>
      <c r="F483" s="40"/>
      <c r="G483" s="81"/>
      <c r="H483" s="40"/>
      <c r="I483" s="40"/>
      <c r="J483" s="81"/>
      <c r="K483" s="40"/>
      <c r="L483" s="40"/>
      <c r="M483" s="81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3.5" customHeight="1">
      <c r="A484" s="40"/>
      <c r="B484" s="40"/>
      <c r="C484" s="40"/>
      <c r="D484" s="81"/>
      <c r="E484" s="40"/>
      <c r="F484" s="40"/>
      <c r="G484" s="81"/>
      <c r="H484" s="40"/>
      <c r="I484" s="40"/>
      <c r="J484" s="81"/>
      <c r="K484" s="40"/>
      <c r="L484" s="40"/>
      <c r="M484" s="81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3.5" customHeight="1">
      <c r="A485" s="40"/>
      <c r="B485" s="40"/>
      <c r="C485" s="40"/>
      <c r="D485" s="81"/>
      <c r="E485" s="40"/>
      <c r="F485" s="40"/>
      <c r="G485" s="81"/>
      <c r="H485" s="40"/>
      <c r="I485" s="40"/>
      <c r="J485" s="81"/>
      <c r="K485" s="40"/>
      <c r="L485" s="40"/>
      <c r="M485" s="81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3.5" customHeight="1">
      <c r="A486" s="40"/>
      <c r="B486" s="40"/>
      <c r="C486" s="40"/>
      <c r="D486" s="81"/>
      <c r="E486" s="40"/>
      <c r="F486" s="40"/>
      <c r="G486" s="81"/>
      <c r="H486" s="40"/>
      <c r="I486" s="40"/>
      <c r="J486" s="81"/>
      <c r="K486" s="40"/>
      <c r="L486" s="40"/>
      <c r="M486" s="81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3.5" customHeight="1">
      <c r="A487" s="40"/>
      <c r="B487" s="40"/>
      <c r="C487" s="40"/>
      <c r="D487" s="81"/>
      <c r="E487" s="40"/>
      <c r="F487" s="40"/>
      <c r="G487" s="81"/>
      <c r="H487" s="40"/>
      <c r="I487" s="40"/>
      <c r="J487" s="81"/>
      <c r="K487" s="40"/>
      <c r="L487" s="40"/>
      <c r="M487" s="81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3.5" customHeight="1">
      <c r="A488" s="40"/>
      <c r="B488" s="40"/>
      <c r="C488" s="40"/>
      <c r="D488" s="81"/>
      <c r="E488" s="40"/>
      <c r="F488" s="40"/>
      <c r="G488" s="81"/>
      <c r="H488" s="40"/>
      <c r="I488" s="40"/>
      <c r="J488" s="81"/>
      <c r="K488" s="40"/>
      <c r="L488" s="40"/>
      <c r="M488" s="81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3.5" customHeight="1">
      <c r="A489" s="40"/>
      <c r="B489" s="40"/>
      <c r="C489" s="40"/>
      <c r="D489" s="81"/>
      <c r="E489" s="40"/>
      <c r="F489" s="40"/>
      <c r="G489" s="81"/>
      <c r="H489" s="40"/>
      <c r="I489" s="40"/>
      <c r="J489" s="81"/>
      <c r="K489" s="40"/>
      <c r="L489" s="40"/>
      <c r="M489" s="81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3.5" customHeight="1">
      <c r="A490" s="40"/>
      <c r="B490" s="40"/>
      <c r="C490" s="40"/>
      <c r="D490" s="81"/>
      <c r="E490" s="40"/>
      <c r="F490" s="40"/>
      <c r="G490" s="81"/>
      <c r="H490" s="40"/>
      <c r="I490" s="40"/>
      <c r="J490" s="81"/>
      <c r="K490" s="40"/>
      <c r="L490" s="40"/>
      <c r="M490" s="81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3.5" customHeight="1">
      <c r="A491" s="40"/>
      <c r="B491" s="40"/>
      <c r="C491" s="40"/>
      <c r="D491" s="81"/>
      <c r="E491" s="40"/>
      <c r="F491" s="40"/>
      <c r="G491" s="81"/>
      <c r="H491" s="40"/>
      <c r="I491" s="40"/>
      <c r="J491" s="81"/>
      <c r="K491" s="40"/>
      <c r="L491" s="40"/>
      <c r="M491" s="81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3.5" customHeight="1">
      <c r="A492" s="40"/>
      <c r="B492" s="40"/>
      <c r="C492" s="40"/>
      <c r="D492" s="81"/>
      <c r="E492" s="40"/>
      <c r="F492" s="40"/>
      <c r="G492" s="81"/>
      <c r="H492" s="40"/>
      <c r="I492" s="40"/>
      <c r="J492" s="81"/>
      <c r="K492" s="40"/>
      <c r="L492" s="40"/>
      <c r="M492" s="81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3.5" customHeight="1">
      <c r="A493" s="40"/>
      <c r="B493" s="40"/>
      <c r="C493" s="40"/>
      <c r="D493" s="81"/>
      <c r="E493" s="40"/>
      <c r="F493" s="40"/>
      <c r="G493" s="81"/>
      <c r="H493" s="40"/>
      <c r="I493" s="40"/>
      <c r="J493" s="81"/>
      <c r="K493" s="40"/>
      <c r="L493" s="40"/>
      <c r="M493" s="81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3.5" customHeight="1">
      <c r="A494" s="40"/>
      <c r="B494" s="40"/>
      <c r="C494" s="40"/>
      <c r="D494" s="81"/>
      <c r="E494" s="40"/>
      <c r="F494" s="40"/>
      <c r="G494" s="81"/>
      <c r="H494" s="40"/>
      <c r="I494" s="40"/>
      <c r="J494" s="81"/>
      <c r="K494" s="40"/>
      <c r="L494" s="40"/>
      <c r="M494" s="81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3.5" customHeight="1">
      <c r="A495" s="40"/>
      <c r="B495" s="40"/>
      <c r="C495" s="40"/>
      <c r="D495" s="81"/>
      <c r="E495" s="40"/>
      <c r="F495" s="40"/>
      <c r="G495" s="81"/>
      <c r="H495" s="40"/>
      <c r="I495" s="40"/>
      <c r="J495" s="81"/>
      <c r="K495" s="40"/>
      <c r="L495" s="40"/>
      <c r="M495" s="81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3.5" customHeight="1">
      <c r="A496" s="40"/>
      <c r="B496" s="40"/>
      <c r="C496" s="40"/>
      <c r="D496" s="81"/>
      <c r="E496" s="40"/>
      <c r="F496" s="40"/>
      <c r="G496" s="81"/>
      <c r="H496" s="40"/>
      <c r="I496" s="40"/>
      <c r="J496" s="81"/>
      <c r="K496" s="40"/>
      <c r="L496" s="40"/>
      <c r="M496" s="81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3.5" customHeight="1">
      <c r="A497" s="40"/>
      <c r="B497" s="40"/>
      <c r="C497" s="40"/>
      <c r="D497" s="81"/>
      <c r="E497" s="40"/>
      <c r="F497" s="40"/>
      <c r="G497" s="81"/>
      <c r="H497" s="40"/>
      <c r="I497" s="40"/>
      <c r="J497" s="81"/>
      <c r="K497" s="40"/>
      <c r="L497" s="40"/>
      <c r="M497" s="81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3.5" customHeight="1">
      <c r="A498" s="40"/>
      <c r="B498" s="40"/>
      <c r="C498" s="40"/>
      <c r="D498" s="81"/>
      <c r="E498" s="40"/>
      <c r="F498" s="40"/>
      <c r="G498" s="81"/>
      <c r="H498" s="40"/>
      <c r="I498" s="40"/>
      <c r="J498" s="81"/>
      <c r="K498" s="40"/>
      <c r="L498" s="40"/>
      <c r="M498" s="81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3.5" customHeight="1">
      <c r="A499" s="40"/>
      <c r="B499" s="40"/>
      <c r="C499" s="40"/>
      <c r="D499" s="81"/>
      <c r="E499" s="40"/>
      <c r="F499" s="40"/>
      <c r="G499" s="81"/>
      <c r="H499" s="40"/>
      <c r="I499" s="40"/>
      <c r="J499" s="81"/>
      <c r="K499" s="40"/>
      <c r="L499" s="40"/>
      <c r="M499" s="81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3.5" customHeight="1">
      <c r="A500" s="40"/>
      <c r="B500" s="40"/>
      <c r="C500" s="40"/>
      <c r="D500" s="81"/>
      <c r="E500" s="40"/>
      <c r="F500" s="40"/>
      <c r="G500" s="81"/>
      <c r="H500" s="40"/>
      <c r="I500" s="40"/>
      <c r="J500" s="81"/>
      <c r="K500" s="40"/>
      <c r="L500" s="40"/>
      <c r="M500" s="81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3.5" customHeight="1">
      <c r="A501" s="40"/>
      <c r="B501" s="40"/>
      <c r="C501" s="40"/>
      <c r="D501" s="81"/>
      <c r="E501" s="40"/>
      <c r="F501" s="40"/>
      <c r="G501" s="81"/>
      <c r="H501" s="40"/>
      <c r="I501" s="40"/>
      <c r="J501" s="81"/>
      <c r="K501" s="40"/>
      <c r="L501" s="40"/>
      <c r="M501" s="81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3.5" customHeight="1">
      <c r="A502" s="40"/>
      <c r="B502" s="40"/>
      <c r="C502" s="40"/>
      <c r="D502" s="81"/>
      <c r="E502" s="40"/>
      <c r="F502" s="40"/>
      <c r="G502" s="81"/>
      <c r="H502" s="40"/>
      <c r="I502" s="40"/>
      <c r="J502" s="81"/>
      <c r="K502" s="40"/>
      <c r="L502" s="40"/>
      <c r="M502" s="81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3.5" customHeight="1">
      <c r="A503" s="40"/>
      <c r="B503" s="40"/>
      <c r="C503" s="40"/>
      <c r="D503" s="81"/>
      <c r="E503" s="40"/>
      <c r="F503" s="40"/>
      <c r="G503" s="81"/>
      <c r="H503" s="40"/>
      <c r="I503" s="40"/>
      <c r="J503" s="81"/>
      <c r="K503" s="40"/>
      <c r="L503" s="40"/>
      <c r="M503" s="81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3.5" customHeight="1">
      <c r="A504" s="40"/>
      <c r="B504" s="40"/>
      <c r="C504" s="40"/>
      <c r="D504" s="81"/>
      <c r="E504" s="40"/>
      <c r="F504" s="40"/>
      <c r="G504" s="81"/>
      <c r="H504" s="40"/>
      <c r="I504" s="40"/>
      <c r="J504" s="81"/>
      <c r="K504" s="40"/>
      <c r="L504" s="40"/>
      <c r="M504" s="81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3.5" customHeight="1">
      <c r="A505" s="40"/>
      <c r="B505" s="40"/>
      <c r="C505" s="40"/>
      <c r="D505" s="81"/>
      <c r="E505" s="40"/>
      <c r="F505" s="40"/>
      <c r="G505" s="81"/>
      <c r="H505" s="40"/>
      <c r="I505" s="40"/>
      <c r="J505" s="81"/>
      <c r="K505" s="40"/>
      <c r="L505" s="40"/>
      <c r="M505" s="81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3.5" customHeight="1">
      <c r="A506" s="40"/>
      <c r="B506" s="40"/>
      <c r="C506" s="40"/>
      <c r="D506" s="81"/>
      <c r="E506" s="40"/>
      <c r="F506" s="40"/>
      <c r="G506" s="81"/>
      <c r="H506" s="40"/>
      <c r="I506" s="40"/>
      <c r="J506" s="81"/>
      <c r="K506" s="40"/>
      <c r="L506" s="40"/>
      <c r="M506" s="81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3.5" customHeight="1">
      <c r="A507" s="40"/>
      <c r="B507" s="40"/>
      <c r="C507" s="40"/>
      <c r="D507" s="81"/>
      <c r="E507" s="40"/>
      <c r="F507" s="40"/>
      <c r="G507" s="81"/>
      <c r="H507" s="40"/>
      <c r="I507" s="40"/>
      <c r="J507" s="81"/>
      <c r="K507" s="40"/>
      <c r="L507" s="40"/>
      <c r="M507" s="81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3.5" customHeight="1">
      <c r="A508" s="40"/>
      <c r="B508" s="40"/>
      <c r="C508" s="40"/>
      <c r="D508" s="81"/>
      <c r="E508" s="40"/>
      <c r="F508" s="40"/>
      <c r="G508" s="81"/>
      <c r="H508" s="40"/>
      <c r="I508" s="40"/>
      <c r="J508" s="81"/>
      <c r="K508" s="40"/>
      <c r="L508" s="40"/>
      <c r="M508" s="81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3.5" customHeight="1">
      <c r="A509" s="40"/>
      <c r="B509" s="40"/>
      <c r="C509" s="40"/>
      <c r="D509" s="81"/>
      <c r="E509" s="40"/>
      <c r="F509" s="40"/>
      <c r="G509" s="81"/>
      <c r="H509" s="40"/>
      <c r="I509" s="40"/>
      <c r="J509" s="81"/>
      <c r="K509" s="40"/>
      <c r="L509" s="40"/>
      <c r="M509" s="81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3.5" customHeight="1">
      <c r="A510" s="40"/>
      <c r="B510" s="40"/>
      <c r="C510" s="40"/>
      <c r="D510" s="81"/>
      <c r="E510" s="40"/>
      <c r="F510" s="40"/>
      <c r="G510" s="81"/>
      <c r="H510" s="40"/>
      <c r="I510" s="40"/>
      <c r="J510" s="81"/>
      <c r="K510" s="40"/>
      <c r="L510" s="40"/>
      <c r="M510" s="81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3.5" customHeight="1">
      <c r="A511" s="40"/>
      <c r="B511" s="40"/>
      <c r="C511" s="40"/>
      <c r="D511" s="81"/>
      <c r="E511" s="40"/>
      <c r="F511" s="40"/>
      <c r="G511" s="81"/>
      <c r="H511" s="40"/>
      <c r="I511" s="40"/>
      <c r="J511" s="81"/>
      <c r="K511" s="40"/>
      <c r="L511" s="40"/>
      <c r="M511" s="81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3.5" customHeight="1">
      <c r="A512" s="40"/>
      <c r="B512" s="40"/>
      <c r="C512" s="40"/>
      <c r="D512" s="81"/>
      <c r="E512" s="40"/>
      <c r="F512" s="40"/>
      <c r="G512" s="81"/>
      <c r="H512" s="40"/>
      <c r="I512" s="40"/>
      <c r="J512" s="81"/>
      <c r="K512" s="40"/>
      <c r="L512" s="40"/>
      <c r="M512" s="81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3.5" customHeight="1">
      <c r="A513" s="40"/>
      <c r="B513" s="40"/>
      <c r="C513" s="40"/>
      <c r="D513" s="81"/>
      <c r="E513" s="40"/>
      <c r="F513" s="40"/>
      <c r="G513" s="81"/>
      <c r="H513" s="40"/>
      <c r="I513" s="40"/>
      <c r="J513" s="81"/>
      <c r="K513" s="40"/>
      <c r="L513" s="40"/>
      <c r="M513" s="81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3.5" customHeight="1">
      <c r="A514" s="40"/>
      <c r="B514" s="40"/>
      <c r="C514" s="40"/>
      <c r="D514" s="81"/>
      <c r="E514" s="40"/>
      <c r="F514" s="40"/>
      <c r="G514" s="81"/>
      <c r="H514" s="40"/>
      <c r="I514" s="40"/>
      <c r="J514" s="81"/>
      <c r="K514" s="40"/>
      <c r="L514" s="40"/>
      <c r="M514" s="81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3.5" customHeight="1">
      <c r="A515" s="40"/>
      <c r="B515" s="40"/>
      <c r="C515" s="40"/>
      <c r="D515" s="81"/>
      <c r="E515" s="40"/>
      <c r="F515" s="40"/>
      <c r="G515" s="81"/>
      <c r="H515" s="40"/>
      <c r="I515" s="40"/>
      <c r="J515" s="81"/>
      <c r="K515" s="40"/>
      <c r="L515" s="40"/>
      <c r="M515" s="81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3.5" customHeight="1">
      <c r="A516" s="40"/>
      <c r="B516" s="40"/>
      <c r="C516" s="40"/>
      <c r="D516" s="81"/>
      <c r="E516" s="40"/>
      <c r="F516" s="40"/>
      <c r="G516" s="81"/>
      <c r="H516" s="40"/>
      <c r="I516" s="40"/>
      <c r="J516" s="81"/>
      <c r="K516" s="40"/>
      <c r="L516" s="40"/>
      <c r="M516" s="81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3.5" customHeight="1">
      <c r="A517" s="40"/>
      <c r="B517" s="40"/>
      <c r="C517" s="40"/>
      <c r="D517" s="81"/>
      <c r="E517" s="40"/>
      <c r="F517" s="40"/>
      <c r="G517" s="81"/>
      <c r="H517" s="40"/>
      <c r="I517" s="40"/>
      <c r="J517" s="81"/>
      <c r="K517" s="40"/>
      <c r="L517" s="40"/>
      <c r="M517" s="81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3.5" customHeight="1">
      <c r="A518" s="40"/>
      <c r="B518" s="40"/>
      <c r="C518" s="40"/>
      <c r="D518" s="81"/>
      <c r="E518" s="40"/>
      <c r="F518" s="40"/>
      <c r="G518" s="81"/>
      <c r="H518" s="40"/>
      <c r="I518" s="40"/>
      <c r="J518" s="81"/>
      <c r="K518" s="40"/>
      <c r="L518" s="40"/>
      <c r="M518" s="81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3.5" customHeight="1">
      <c r="A519" s="40"/>
      <c r="B519" s="40"/>
      <c r="C519" s="40"/>
      <c r="D519" s="81"/>
      <c r="E519" s="40"/>
      <c r="F519" s="40"/>
      <c r="G519" s="81"/>
      <c r="H519" s="40"/>
      <c r="I519" s="40"/>
      <c r="J519" s="81"/>
      <c r="K519" s="40"/>
      <c r="L519" s="40"/>
      <c r="M519" s="81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3.5" customHeight="1">
      <c r="A520" s="40"/>
      <c r="B520" s="40"/>
      <c r="C520" s="40"/>
      <c r="D520" s="81"/>
      <c r="E520" s="40"/>
      <c r="F520" s="40"/>
      <c r="G520" s="81"/>
      <c r="H520" s="40"/>
      <c r="I520" s="40"/>
      <c r="J520" s="81"/>
      <c r="K520" s="40"/>
      <c r="L520" s="40"/>
      <c r="M520" s="81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3.5" customHeight="1">
      <c r="A521" s="40"/>
      <c r="B521" s="40"/>
      <c r="C521" s="40"/>
      <c r="D521" s="81"/>
      <c r="E521" s="40"/>
      <c r="F521" s="40"/>
      <c r="G521" s="81"/>
      <c r="H521" s="40"/>
      <c r="I521" s="40"/>
      <c r="J521" s="81"/>
      <c r="K521" s="40"/>
      <c r="L521" s="40"/>
      <c r="M521" s="81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3.5" customHeight="1">
      <c r="A522" s="40"/>
      <c r="B522" s="40"/>
      <c r="C522" s="40"/>
      <c r="D522" s="81"/>
      <c r="E522" s="40"/>
      <c r="F522" s="40"/>
      <c r="G522" s="81"/>
      <c r="H522" s="40"/>
      <c r="I522" s="40"/>
      <c r="J522" s="81"/>
      <c r="K522" s="40"/>
      <c r="L522" s="40"/>
      <c r="M522" s="81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3.5" customHeight="1">
      <c r="A523" s="40"/>
      <c r="B523" s="40"/>
      <c r="C523" s="40"/>
      <c r="D523" s="81"/>
      <c r="E523" s="40"/>
      <c r="F523" s="40"/>
      <c r="G523" s="81"/>
      <c r="H523" s="40"/>
      <c r="I523" s="40"/>
      <c r="J523" s="81"/>
      <c r="K523" s="40"/>
      <c r="L523" s="40"/>
      <c r="M523" s="81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3.5" customHeight="1">
      <c r="A524" s="40"/>
      <c r="B524" s="40"/>
      <c r="C524" s="40"/>
      <c r="D524" s="81"/>
      <c r="E524" s="40"/>
      <c r="F524" s="40"/>
      <c r="G524" s="81"/>
      <c r="H524" s="40"/>
      <c r="I524" s="40"/>
      <c r="J524" s="81"/>
      <c r="K524" s="40"/>
      <c r="L524" s="40"/>
      <c r="M524" s="81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3.5" customHeight="1">
      <c r="A525" s="40"/>
      <c r="B525" s="40"/>
      <c r="C525" s="40"/>
      <c r="D525" s="81"/>
      <c r="E525" s="40"/>
      <c r="F525" s="40"/>
      <c r="G525" s="81"/>
      <c r="H525" s="40"/>
      <c r="I525" s="40"/>
      <c r="J525" s="81"/>
      <c r="K525" s="40"/>
      <c r="L525" s="40"/>
      <c r="M525" s="81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3.5" customHeight="1">
      <c r="A526" s="40"/>
      <c r="B526" s="40"/>
      <c r="C526" s="40"/>
      <c r="D526" s="81"/>
      <c r="E526" s="40"/>
      <c r="F526" s="40"/>
      <c r="G526" s="81"/>
      <c r="H526" s="40"/>
      <c r="I526" s="40"/>
      <c r="J526" s="81"/>
      <c r="K526" s="40"/>
      <c r="L526" s="40"/>
      <c r="M526" s="81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3.5" customHeight="1">
      <c r="A527" s="40"/>
      <c r="B527" s="40"/>
      <c r="C527" s="40"/>
      <c r="D527" s="81"/>
      <c r="E527" s="40"/>
      <c r="F527" s="40"/>
      <c r="G527" s="81"/>
      <c r="H527" s="40"/>
      <c r="I527" s="40"/>
      <c r="J527" s="81"/>
      <c r="K527" s="40"/>
      <c r="L527" s="40"/>
      <c r="M527" s="81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3.5" customHeight="1">
      <c r="A528" s="40"/>
      <c r="B528" s="40"/>
      <c r="C528" s="40"/>
      <c r="D528" s="81"/>
      <c r="E528" s="40"/>
      <c r="F528" s="40"/>
      <c r="G528" s="81"/>
      <c r="H528" s="40"/>
      <c r="I528" s="40"/>
      <c r="J528" s="81"/>
      <c r="K528" s="40"/>
      <c r="L528" s="40"/>
      <c r="M528" s="81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3.5" customHeight="1">
      <c r="A529" s="40"/>
      <c r="B529" s="40"/>
      <c r="C529" s="40"/>
      <c r="D529" s="81"/>
      <c r="E529" s="40"/>
      <c r="F529" s="40"/>
      <c r="G529" s="81"/>
      <c r="H529" s="40"/>
      <c r="I529" s="40"/>
      <c r="J529" s="81"/>
      <c r="K529" s="40"/>
      <c r="L529" s="40"/>
      <c r="M529" s="81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3.5" customHeight="1">
      <c r="A530" s="40"/>
      <c r="B530" s="40"/>
      <c r="C530" s="40"/>
      <c r="D530" s="81"/>
      <c r="E530" s="40"/>
      <c r="F530" s="40"/>
      <c r="G530" s="81"/>
      <c r="H530" s="40"/>
      <c r="I530" s="40"/>
      <c r="J530" s="81"/>
      <c r="K530" s="40"/>
      <c r="L530" s="40"/>
      <c r="M530" s="81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3.5" customHeight="1">
      <c r="A531" s="40"/>
      <c r="B531" s="40"/>
      <c r="C531" s="40"/>
      <c r="D531" s="81"/>
      <c r="E531" s="40"/>
      <c r="F531" s="40"/>
      <c r="G531" s="81"/>
      <c r="H531" s="40"/>
      <c r="I531" s="40"/>
      <c r="J531" s="81"/>
      <c r="K531" s="40"/>
      <c r="L531" s="40"/>
      <c r="M531" s="81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3.5" customHeight="1">
      <c r="A532" s="40"/>
      <c r="B532" s="40"/>
      <c r="C532" s="40"/>
      <c r="D532" s="81"/>
      <c r="E532" s="40"/>
      <c r="F532" s="40"/>
      <c r="G532" s="81"/>
      <c r="H532" s="40"/>
      <c r="I532" s="40"/>
      <c r="J532" s="81"/>
      <c r="K532" s="40"/>
      <c r="L532" s="40"/>
      <c r="M532" s="81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3.5" customHeight="1">
      <c r="A533" s="40"/>
      <c r="B533" s="40"/>
      <c r="C533" s="40"/>
      <c r="D533" s="81"/>
      <c r="E533" s="40"/>
      <c r="F533" s="40"/>
      <c r="G533" s="81"/>
      <c r="H533" s="40"/>
      <c r="I533" s="40"/>
      <c r="J533" s="81"/>
      <c r="K533" s="40"/>
      <c r="L533" s="40"/>
      <c r="M533" s="81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3.5" customHeight="1">
      <c r="A534" s="40"/>
      <c r="B534" s="40"/>
      <c r="C534" s="40"/>
      <c r="D534" s="81"/>
      <c r="E534" s="40"/>
      <c r="F534" s="40"/>
      <c r="G534" s="81"/>
      <c r="H534" s="40"/>
      <c r="I534" s="40"/>
      <c r="J534" s="81"/>
      <c r="K534" s="40"/>
      <c r="L534" s="40"/>
      <c r="M534" s="81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3.5" customHeight="1">
      <c r="A535" s="40"/>
      <c r="B535" s="40"/>
      <c r="C535" s="40"/>
      <c r="D535" s="81"/>
      <c r="E535" s="40"/>
      <c r="F535" s="40"/>
      <c r="G535" s="81"/>
      <c r="H535" s="40"/>
      <c r="I535" s="40"/>
      <c r="J535" s="81"/>
      <c r="K535" s="40"/>
      <c r="L535" s="40"/>
      <c r="M535" s="81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3.5" customHeight="1">
      <c r="A536" s="40"/>
      <c r="B536" s="40"/>
      <c r="C536" s="40"/>
      <c r="D536" s="81"/>
      <c r="E536" s="40"/>
      <c r="F536" s="40"/>
      <c r="G536" s="81"/>
      <c r="H536" s="40"/>
      <c r="I536" s="40"/>
      <c r="J536" s="81"/>
      <c r="K536" s="40"/>
      <c r="L536" s="40"/>
      <c r="M536" s="81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3.5" customHeight="1">
      <c r="A537" s="40"/>
      <c r="B537" s="40"/>
      <c r="C537" s="40"/>
      <c r="D537" s="81"/>
      <c r="E537" s="40"/>
      <c r="F537" s="40"/>
      <c r="G537" s="81"/>
      <c r="H537" s="40"/>
      <c r="I537" s="40"/>
      <c r="J537" s="81"/>
      <c r="K537" s="40"/>
      <c r="L537" s="40"/>
      <c r="M537" s="81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3.5" customHeight="1">
      <c r="A538" s="40"/>
      <c r="B538" s="40"/>
      <c r="C538" s="40"/>
      <c r="D538" s="81"/>
      <c r="E538" s="40"/>
      <c r="F538" s="40"/>
      <c r="G538" s="81"/>
      <c r="H538" s="40"/>
      <c r="I538" s="40"/>
      <c r="J538" s="81"/>
      <c r="K538" s="40"/>
      <c r="L538" s="40"/>
      <c r="M538" s="81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3.5" customHeight="1">
      <c r="A539" s="40"/>
      <c r="B539" s="40"/>
      <c r="C539" s="40"/>
      <c r="D539" s="81"/>
      <c r="E539" s="40"/>
      <c r="F539" s="40"/>
      <c r="G539" s="81"/>
      <c r="H539" s="40"/>
      <c r="I539" s="40"/>
      <c r="J539" s="81"/>
      <c r="K539" s="40"/>
      <c r="L539" s="40"/>
      <c r="M539" s="81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3.5" customHeight="1">
      <c r="A540" s="40"/>
      <c r="B540" s="40"/>
      <c r="C540" s="40"/>
      <c r="D540" s="81"/>
      <c r="E540" s="40"/>
      <c r="F540" s="40"/>
      <c r="G540" s="81"/>
      <c r="H540" s="40"/>
      <c r="I540" s="40"/>
      <c r="J540" s="81"/>
      <c r="K540" s="40"/>
      <c r="L540" s="40"/>
      <c r="M540" s="81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3.5" customHeight="1">
      <c r="A541" s="40"/>
      <c r="B541" s="40"/>
      <c r="C541" s="40"/>
      <c r="D541" s="81"/>
      <c r="E541" s="40"/>
      <c r="F541" s="40"/>
      <c r="G541" s="81"/>
      <c r="H541" s="40"/>
      <c r="I541" s="40"/>
      <c r="J541" s="81"/>
      <c r="K541" s="40"/>
      <c r="L541" s="40"/>
      <c r="M541" s="81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3.5" customHeight="1">
      <c r="A542" s="40"/>
      <c r="B542" s="40"/>
      <c r="C542" s="40"/>
      <c r="D542" s="81"/>
      <c r="E542" s="40"/>
      <c r="F542" s="40"/>
      <c r="G542" s="81"/>
      <c r="H542" s="40"/>
      <c r="I542" s="40"/>
      <c r="J542" s="81"/>
      <c r="K542" s="40"/>
      <c r="L542" s="40"/>
      <c r="M542" s="81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3.5" customHeight="1">
      <c r="A543" s="40"/>
      <c r="B543" s="40"/>
      <c r="C543" s="40"/>
      <c r="D543" s="81"/>
      <c r="E543" s="40"/>
      <c r="F543" s="40"/>
      <c r="G543" s="81"/>
      <c r="H543" s="40"/>
      <c r="I543" s="40"/>
      <c r="J543" s="81"/>
      <c r="K543" s="40"/>
      <c r="L543" s="40"/>
      <c r="M543" s="81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3.5" customHeight="1">
      <c r="A544" s="40"/>
      <c r="B544" s="40"/>
      <c r="C544" s="40"/>
      <c r="D544" s="81"/>
      <c r="E544" s="40"/>
      <c r="F544" s="40"/>
      <c r="G544" s="81"/>
      <c r="H544" s="40"/>
      <c r="I544" s="40"/>
      <c r="J544" s="81"/>
      <c r="K544" s="40"/>
      <c r="L544" s="40"/>
      <c r="M544" s="81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3.5" customHeight="1">
      <c r="A545" s="40"/>
      <c r="B545" s="40"/>
      <c r="C545" s="40"/>
      <c r="D545" s="81"/>
      <c r="E545" s="40"/>
      <c r="F545" s="40"/>
      <c r="G545" s="81"/>
      <c r="H545" s="40"/>
      <c r="I545" s="40"/>
      <c r="J545" s="81"/>
      <c r="K545" s="40"/>
      <c r="L545" s="40"/>
      <c r="M545" s="81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3.5" customHeight="1">
      <c r="A546" s="40"/>
      <c r="B546" s="40"/>
      <c r="C546" s="40"/>
      <c r="D546" s="81"/>
      <c r="E546" s="40"/>
      <c r="F546" s="40"/>
      <c r="G546" s="81"/>
      <c r="H546" s="40"/>
      <c r="I546" s="40"/>
      <c r="J546" s="81"/>
      <c r="K546" s="40"/>
      <c r="L546" s="40"/>
      <c r="M546" s="81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3.5" customHeight="1">
      <c r="A547" s="40"/>
      <c r="B547" s="40"/>
      <c r="C547" s="40"/>
      <c r="D547" s="81"/>
      <c r="E547" s="40"/>
      <c r="F547" s="40"/>
      <c r="G547" s="81"/>
      <c r="H547" s="40"/>
      <c r="I547" s="40"/>
      <c r="J547" s="81"/>
      <c r="K547" s="40"/>
      <c r="L547" s="40"/>
      <c r="M547" s="81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3.5" customHeight="1">
      <c r="A548" s="40"/>
      <c r="B548" s="40"/>
      <c r="C548" s="40"/>
      <c r="D548" s="81"/>
      <c r="E548" s="40"/>
      <c r="F548" s="40"/>
      <c r="G548" s="81"/>
      <c r="H548" s="40"/>
      <c r="I548" s="40"/>
      <c r="J548" s="81"/>
      <c r="K548" s="40"/>
      <c r="L548" s="40"/>
      <c r="M548" s="81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3.5" customHeight="1">
      <c r="A549" s="40"/>
      <c r="B549" s="40"/>
      <c r="C549" s="40"/>
      <c r="D549" s="81"/>
      <c r="E549" s="40"/>
      <c r="F549" s="40"/>
      <c r="G549" s="81"/>
      <c r="H549" s="40"/>
      <c r="I549" s="40"/>
      <c r="J549" s="81"/>
      <c r="K549" s="40"/>
      <c r="L549" s="40"/>
      <c r="M549" s="81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3.5" customHeight="1">
      <c r="A550" s="40"/>
      <c r="B550" s="40"/>
      <c r="C550" s="40"/>
      <c r="D550" s="81"/>
      <c r="E550" s="40"/>
      <c r="F550" s="40"/>
      <c r="G550" s="81"/>
      <c r="H550" s="40"/>
      <c r="I550" s="40"/>
      <c r="J550" s="81"/>
      <c r="K550" s="40"/>
      <c r="L550" s="40"/>
      <c r="M550" s="81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3.5" customHeight="1">
      <c r="A551" s="40"/>
      <c r="B551" s="40"/>
      <c r="C551" s="40"/>
      <c r="D551" s="81"/>
      <c r="E551" s="40"/>
      <c r="F551" s="40"/>
      <c r="G551" s="81"/>
      <c r="H551" s="40"/>
      <c r="I551" s="40"/>
      <c r="J551" s="81"/>
      <c r="K551" s="40"/>
      <c r="L551" s="40"/>
      <c r="M551" s="81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3.5" customHeight="1">
      <c r="A552" s="40"/>
      <c r="B552" s="40"/>
      <c r="C552" s="40"/>
      <c r="D552" s="81"/>
      <c r="E552" s="40"/>
      <c r="F552" s="40"/>
      <c r="G552" s="81"/>
      <c r="H552" s="40"/>
      <c r="I552" s="40"/>
      <c r="J552" s="81"/>
      <c r="K552" s="40"/>
      <c r="L552" s="40"/>
      <c r="M552" s="81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3.5" customHeight="1">
      <c r="A553" s="40"/>
      <c r="B553" s="40"/>
      <c r="C553" s="40"/>
      <c r="D553" s="81"/>
      <c r="E553" s="40"/>
      <c r="F553" s="40"/>
      <c r="G553" s="81"/>
      <c r="H553" s="40"/>
      <c r="I553" s="40"/>
      <c r="J553" s="81"/>
      <c r="K553" s="40"/>
      <c r="L553" s="40"/>
      <c r="M553" s="81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3.5" customHeight="1">
      <c r="A554" s="40"/>
      <c r="B554" s="40"/>
      <c r="C554" s="40"/>
      <c r="D554" s="81"/>
      <c r="E554" s="40"/>
      <c r="F554" s="40"/>
      <c r="G554" s="81"/>
      <c r="H554" s="40"/>
      <c r="I554" s="40"/>
      <c r="J554" s="81"/>
      <c r="K554" s="40"/>
      <c r="L554" s="40"/>
      <c r="M554" s="81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3.5" customHeight="1">
      <c r="A555" s="40"/>
      <c r="B555" s="40"/>
      <c r="C555" s="40"/>
      <c r="D555" s="81"/>
      <c r="E555" s="40"/>
      <c r="F555" s="40"/>
      <c r="G555" s="81"/>
      <c r="H555" s="40"/>
      <c r="I555" s="40"/>
      <c r="J555" s="81"/>
      <c r="K555" s="40"/>
      <c r="L555" s="40"/>
      <c r="M555" s="81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3.5" customHeight="1">
      <c r="A556" s="40"/>
      <c r="B556" s="40"/>
      <c r="C556" s="40"/>
      <c r="D556" s="81"/>
      <c r="E556" s="40"/>
      <c r="F556" s="40"/>
      <c r="G556" s="81"/>
      <c r="H556" s="40"/>
      <c r="I556" s="40"/>
      <c r="J556" s="81"/>
      <c r="K556" s="40"/>
      <c r="L556" s="40"/>
      <c r="M556" s="81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3.5" customHeight="1">
      <c r="A557" s="40"/>
      <c r="B557" s="40"/>
      <c r="C557" s="40"/>
      <c r="D557" s="81"/>
      <c r="E557" s="40"/>
      <c r="F557" s="40"/>
      <c r="G557" s="81"/>
      <c r="H557" s="40"/>
      <c r="I557" s="40"/>
      <c r="J557" s="81"/>
      <c r="K557" s="40"/>
      <c r="L557" s="40"/>
      <c r="M557" s="81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3.5" customHeight="1">
      <c r="A558" s="40"/>
      <c r="B558" s="40"/>
      <c r="C558" s="40"/>
      <c r="D558" s="81"/>
      <c r="E558" s="40"/>
      <c r="F558" s="40"/>
      <c r="G558" s="81"/>
      <c r="H558" s="40"/>
      <c r="I558" s="40"/>
      <c r="J558" s="81"/>
      <c r="K558" s="40"/>
      <c r="L558" s="40"/>
      <c r="M558" s="81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3.5" customHeight="1">
      <c r="A559" s="40"/>
      <c r="B559" s="40"/>
      <c r="C559" s="40"/>
      <c r="D559" s="81"/>
      <c r="E559" s="40"/>
      <c r="F559" s="40"/>
      <c r="G559" s="81"/>
      <c r="H559" s="40"/>
      <c r="I559" s="40"/>
      <c r="J559" s="81"/>
      <c r="K559" s="40"/>
      <c r="L559" s="40"/>
      <c r="M559" s="81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3.5" customHeight="1">
      <c r="A560" s="40"/>
      <c r="B560" s="40"/>
      <c r="C560" s="40"/>
      <c r="D560" s="81"/>
      <c r="E560" s="40"/>
      <c r="F560" s="40"/>
      <c r="G560" s="81"/>
      <c r="H560" s="40"/>
      <c r="I560" s="40"/>
      <c r="J560" s="81"/>
      <c r="K560" s="40"/>
      <c r="L560" s="40"/>
      <c r="M560" s="81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3.5" customHeight="1">
      <c r="A561" s="40"/>
      <c r="B561" s="40"/>
      <c r="C561" s="40"/>
      <c r="D561" s="81"/>
      <c r="E561" s="40"/>
      <c r="F561" s="40"/>
      <c r="G561" s="81"/>
      <c r="H561" s="40"/>
      <c r="I561" s="40"/>
      <c r="J561" s="81"/>
      <c r="K561" s="40"/>
      <c r="L561" s="40"/>
      <c r="M561" s="81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3.5" customHeight="1">
      <c r="A562" s="40"/>
      <c r="B562" s="40"/>
      <c r="C562" s="40"/>
      <c r="D562" s="81"/>
      <c r="E562" s="40"/>
      <c r="F562" s="40"/>
      <c r="G562" s="81"/>
      <c r="H562" s="40"/>
      <c r="I562" s="40"/>
      <c r="J562" s="81"/>
      <c r="K562" s="40"/>
      <c r="L562" s="40"/>
      <c r="M562" s="81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3.5" customHeight="1">
      <c r="A563" s="40"/>
      <c r="B563" s="40"/>
      <c r="C563" s="40"/>
      <c r="D563" s="81"/>
      <c r="E563" s="40"/>
      <c r="F563" s="40"/>
      <c r="G563" s="81"/>
      <c r="H563" s="40"/>
      <c r="I563" s="40"/>
      <c r="J563" s="81"/>
      <c r="K563" s="40"/>
      <c r="L563" s="40"/>
      <c r="M563" s="81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3.5" customHeight="1">
      <c r="A564" s="40"/>
      <c r="B564" s="40"/>
      <c r="C564" s="40"/>
      <c r="D564" s="81"/>
      <c r="E564" s="40"/>
      <c r="F564" s="40"/>
      <c r="G564" s="81"/>
      <c r="H564" s="40"/>
      <c r="I564" s="40"/>
      <c r="J564" s="81"/>
      <c r="K564" s="40"/>
      <c r="L564" s="40"/>
      <c r="M564" s="81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3.5" customHeight="1">
      <c r="A565" s="40"/>
      <c r="B565" s="40"/>
      <c r="C565" s="40"/>
      <c r="D565" s="81"/>
      <c r="E565" s="40"/>
      <c r="F565" s="40"/>
      <c r="G565" s="81"/>
      <c r="H565" s="40"/>
      <c r="I565" s="40"/>
      <c r="J565" s="81"/>
      <c r="K565" s="40"/>
      <c r="L565" s="40"/>
      <c r="M565" s="81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3.5" customHeight="1">
      <c r="A566" s="40"/>
      <c r="B566" s="40"/>
      <c r="C566" s="40"/>
      <c r="D566" s="81"/>
      <c r="E566" s="40"/>
      <c r="F566" s="40"/>
      <c r="G566" s="81"/>
      <c r="H566" s="40"/>
      <c r="I566" s="40"/>
      <c r="J566" s="81"/>
      <c r="K566" s="40"/>
      <c r="L566" s="40"/>
      <c r="M566" s="81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3.5" customHeight="1">
      <c r="A567" s="40"/>
      <c r="B567" s="40"/>
      <c r="C567" s="40"/>
      <c r="D567" s="81"/>
      <c r="E567" s="40"/>
      <c r="F567" s="40"/>
      <c r="G567" s="81"/>
      <c r="H567" s="40"/>
      <c r="I567" s="40"/>
      <c r="J567" s="81"/>
      <c r="K567" s="40"/>
      <c r="L567" s="40"/>
      <c r="M567" s="81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3.5" customHeight="1">
      <c r="A568" s="40"/>
      <c r="B568" s="40"/>
      <c r="C568" s="40"/>
      <c r="D568" s="81"/>
      <c r="E568" s="40"/>
      <c r="F568" s="40"/>
      <c r="G568" s="81"/>
      <c r="H568" s="40"/>
      <c r="I568" s="40"/>
      <c r="J568" s="81"/>
      <c r="K568" s="40"/>
      <c r="L568" s="40"/>
      <c r="M568" s="81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3.5" customHeight="1">
      <c r="A569" s="40"/>
      <c r="B569" s="40"/>
      <c r="C569" s="40"/>
      <c r="D569" s="81"/>
      <c r="E569" s="40"/>
      <c r="F569" s="40"/>
      <c r="G569" s="81"/>
      <c r="H569" s="40"/>
      <c r="I569" s="40"/>
      <c r="J569" s="81"/>
      <c r="K569" s="40"/>
      <c r="L569" s="40"/>
      <c r="M569" s="81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3.5" customHeight="1">
      <c r="A570" s="40"/>
      <c r="B570" s="40"/>
      <c r="C570" s="40"/>
      <c r="D570" s="81"/>
      <c r="E570" s="40"/>
      <c r="F570" s="40"/>
      <c r="G570" s="81"/>
      <c r="H570" s="40"/>
      <c r="I570" s="40"/>
      <c r="J570" s="81"/>
      <c r="K570" s="40"/>
      <c r="L570" s="40"/>
      <c r="M570" s="81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3.5" customHeight="1">
      <c r="A571" s="40"/>
      <c r="B571" s="40"/>
      <c r="C571" s="40"/>
      <c r="D571" s="81"/>
      <c r="E571" s="40"/>
      <c r="F571" s="40"/>
      <c r="G571" s="81"/>
      <c r="H571" s="40"/>
      <c r="I571" s="40"/>
      <c r="J571" s="81"/>
      <c r="K571" s="40"/>
      <c r="L571" s="40"/>
      <c r="M571" s="81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3.5" customHeight="1">
      <c r="A572" s="40"/>
      <c r="B572" s="40"/>
      <c r="C572" s="40"/>
      <c r="D572" s="81"/>
      <c r="E572" s="40"/>
      <c r="F572" s="40"/>
      <c r="G572" s="81"/>
      <c r="H572" s="40"/>
      <c r="I572" s="40"/>
      <c r="J572" s="81"/>
      <c r="K572" s="40"/>
      <c r="L572" s="40"/>
      <c r="M572" s="81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3.5" customHeight="1">
      <c r="A573" s="40"/>
      <c r="B573" s="40"/>
      <c r="C573" s="40"/>
      <c r="D573" s="81"/>
      <c r="E573" s="40"/>
      <c r="F573" s="40"/>
      <c r="G573" s="81"/>
      <c r="H573" s="40"/>
      <c r="I573" s="40"/>
      <c r="J573" s="81"/>
      <c r="K573" s="40"/>
      <c r="L573" s="40"/>
      <c r="M573" s="81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3.5" customHeight="1">
      <c r="A574" s="40"/>
      <c r="B574" s="40"/>
      <c r="C574" s="40"/>
      <c r="D574" s="81"/>
      <c r="E574" s="40"/>
      <c r="F574" s="40"/>
      <c r="G574" s="81"/>
      <c r="H574" s="40"/>
      <c r="I574" s="40"/>
      <c r="J574" s="81"/>
      <c r="K574" s="40"/>
      <c r="L574" s="40"/>
      <c r="M574" s="81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3.5" customHeight="1">
      <c r="A575" s="40"/>
      <c r="B575" s="40"/>
      <c r="C575" s="40"/>
      <c r="D575" s="81"/>
      <c r="E575" s="40"/>
      <c r="F575" s="40"/>
      <c r="G575" s="81"/>
      <c r="H575" s="40"/>
      <c r="I575" s="40"/>
      <c r="J575" s="81"/>
      <c r="K575" s="40"/>
      <c r="L575" s="40"/>
      <c r="M575" s="81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3.5" customHeight="1">
      <c r="A576" s="40"/>
      <c r="B576" s="40"/>
      <c r="C576" s="40"/>
      <c r="D576" s="81"/>
      <c r="E576" s="40"/>
      <c r="F576" s="40"/>
      <c r="G576" s="81"/>
      <c r="H576" s="40"/>
      <c r="I576" s="40"/>
      <c r="J576" s="81"/>
      <c r="K576" s="40"/>
      <c r="L576" s="40"/>
      <c r="M576" s="81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3.5" customHeight="1">
      <c r="A577" s="40"/>
      <c r="B577" s="40"/>
      <c r="C577" s="40"/>
      <c r="D577" s="81"/>
      <c r="E577" s="40"/>
      <c r="F577" s="40"/>
      <c r="G577" s="81"/>
      <c r="H577" s="40"/>
      <c r="I577" s="40"/>
      <c r="J577" s="81"/>
      <c r="K577" s="40"/>
      <c r="L577" s="40"/>
      <c r="M577" s="81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3.5" customHeight="1">
      <c r="A578" s="40"/>
      <c r="B578" s="40"/>
      <c r="C578" s="40"/>
      <c r="D578" s="81"/>
      <c r="E578" s="40"/>
      <c r="F578" s="40"/>
      <c r="G578" s="81"/>
      <c r="H578" s="40"/>
      <c r="I578" s="40"/>
      <c r="J578" s="81"/>
      <c r="K578" s="40"/>
      <c r="L578" s="40"/>
      <c r="M578" s="81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3.5" customHeight="1">
      <c r="A579" s="40"/>
      <c r="B579" s="40"/>
      <c r="C579" s="40"/>
      <c r="D579" s="81"/>
      <c r="E579" s="40"/>
      <c r="F579" s="40"/>
      <c r="G579" s="81"/>
      <c r="H579" s="40"/>
      <c r="I579" s="40"/>
      <c r="J579" s="81"/>
      <c r="K579" s="40"/>
      <c r="L579" s="40"/>
      <c r="M579" s="81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3.5" customHeight="1">
      <c r="A580" s="40"/>
      <c r="B580" s="40"/>
      <c r="C580" s="40"/>
      <c r="D580" s="81"/>
      <c r="E580" s="40"/>
      <c r="F580" s="40"/>
      <c r="G580" s="81"/>
      <c r="H580" s="40"/>
      <c r="I580" s="40"/>
      <c r="J580" s="81"/>
      <c r="K580" s="40"/>
      <c r="L580" s="40"/>
      <c r="M580" s="81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3.5" customHeight="1">
      <c r="A581" s="40"/>
      <c r="B581" s="40"/>
      <c r="C581" s="40"/>
      <c r="D581" s="81"/>
      <c r="E581" s="40"/>
      <c r="F581" s="40"/>
      <c r="G581" s="81"/>
      <c r="H581" s="40"/>
      <c r="I581" s="40"/>
      <c r="J581" s="81"/>
      <c r="K581" s="40"/>
      <c r="L581" s="40"/>
      <c r="M581" s="81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3.5" customHeight="1">
      <c r="A582" s="40"/>
      <c r="B582" s="40"/>
      <c r="C582" s="40"/>
      <c r="D582" s="81"/>
      <c r="E582" s="40"/>
      <c r="F582" s="40"/>
      <c r="G582" s="81"/>
      <c r="H582" s="40"/>
      <c r="I582" s="40"/>
      <c r="J582" s="81"/>
      <c r="K582" s="40"/>
      <c r="L582" s="40"/>
      <c r="M582" s="81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3.5" customHeight="1">
      <c r="A583" s="40"/>
      <c r="B583" s="40"/>
      <c r="C583" s="40"/>
      <c r="D583" s="81"/>
      <c r="E583" s="40"/>
      <c r="F583" s="40"/>
      <c r="G583" s="81"/>
      <c r="H583" s="40"/>
      <c r="I583" s="40"/>
      <c r="J583" s="81"/>
      <c r="K583" s="40"/>
      <c r="L583" s="40"/>
      <c r="M583" s="81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3.5" customHeight="1">
      <c r="A584" s="40"/>
      <c r="B584" s="40"/>
      <c r="C584" s="40"/>
      <c r="D584" s="81"/>
      <c r="E584" s="40"/>
      <c r="F584" s="40"/>
      <c r="G584" s="81"/>
      <c r="H584" s="40"/>
      <c r="I584" s="40"/>
      <c r="J584" s="81"/>
      <c r="K584" s="40"/>
      <c r="L584" s="40"/>
      <c r="M584" s="81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3.5" customHeight="1">
      <c r="A585" s="40"/>
      <c r="B585" s="40"/>
      <c r="C585" s="40"/>
      <c r="D585" s="81"/>
      <c r="E585" s="40"/>
      <c r="F585" s="40"/>
      <c r="G585" s="81"/>
      <c r="H585" s="40"/>
      <c r="I585" s="40"/>
      <c r="J585" s="81"/>
      <c r="K585" s="40"/>
      <c r="L585" s="40"/>
      <c r="M585" s="81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3.5" customHeight="1">
      <c r="A586" s="40"/>
      <c r="B586" s="40"/>
      <c r="C586" s="40"/>
      <c r="D586" s="81"/>
      <c r="E586" s="40"/>
      <c r="F586" s="40"/>
      <c r="G586" s="81"/>
      <c r="H586" s="40"/>
      <c r="I586" s="40"/>
      <c r="J586" s="81"/>
      <c r="K586" s="40"/>
      <c r="L586" s="40"/>
      <c r="M586" s="81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3.5" customHeight="1">
      <c r="A587" s="40"/>
      <c r="B587" s="40"/>
      <c r="C587" s="40"/>
      <c r="D587" s="81"/>
      <c r="E587" s="40"/>
      <c r="F587" s="40"/>
      <c r="G587" s="81"/>
      <c r="H587" s="40"/>
      <c r="I587" s="40"/>
      <c r="J587" s="81"/>
      <c r="K587" s="40"/>
      <c r="L587" s="40"/>
      <c r="M587" s="81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3.5" customHeight="1">
      <c r="A588" s="40"/>
      <c r="B588" s="40"/>
      <c r="C588" s="40"/>
      <c r="D588" s="81"/>
      <c r="E588" s="40"/>
      <c r="F588" s="40"/>
      <c r="G588" s="81"/>
      <c r="H588" s="40"/>
      <c r="I588" s="40"/>
      <c r="J588" s="81"/>
      <c r="K588" s="40"/>
      <c r="L588" s="40"/>
      <c r="M588" s="81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3.5" customHeight="1">
      <c r="A589" s="40"/>
      <c r="B589" s="40"/>
      <c r="C589" s="40"/>
      <c r="D589" s="81"/>
      <c r="E589" s="40"/>
      <c r="F589" s="40"/>
      <c r="G589" s="81"/>
      <c r="H589" s="40"/>
      <c r="I589" s="40"/>
      <c r="J589" s="81"/>
      <c r="K589" s="40"/>
      <c r="L589" s="40"/>
      <c r="M589" s="81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3.5" customHeight="1">
      <c r="A590" s="40"/>
      <c r="B590" s="40"/>
      <c r="C590" s="40"/>
      <c r="D590" s="81"/>
      <c r="E590" s="40"/>
      <c r="F590" s="40"/>
      <c r="G590" s="81"/>
      <c r="H590" s="40"/>
      <c r="I590" s="40"/>
      <c r="J590" s="81"/>
      <c r="K590" s="40"/>
      <c r="L590" s="40"/>
      <c r="M590" s="81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3.5" customHeight="1">
      <c r="A591" s="40"/>
      <c r="B591" s="40"/>
      <c r="C591" s="40"/>
      <c r="D591" s="81"/>
      <c r="E591" s="40"/>
      <c r="F591" s="40"/>
      <c r="G591" s="81"/>
      <c r="H591" s="40"/>
      <c r="I591" s="40"/>
      <c r="J591" s="81"/>
      <c r="K591" s="40"/>
      <c r="L591" s="40"/>
      <c r="M591" s="81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3.5" customHeight="1">
      <c r="A592" s="40"/>
      <c r="B592" s="40"/>
      <c r="C592" s="40"/>
      <c r="D592" s="81"/>
      <c r="E592" s="40"/>
      <c r="F592" s="40"/>
      <c r="G592" s="81"/>
      <c r="H592" s="40"/>
      <c r="I592" s="40"/>
      <c r="J592" s="81"/>
      <c r="K592" s="40"/>
      <c r="L592" s="40"/>
      <c r="M592" s="81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3.5" customHeight="1">
      <c r="A593" s="40"/>
      <c r="B593" s="40"/>
      <c r="C593" s="40"/>
      <c r="D593" s="81"/>
      <c r="E593" s="40"/>
      <c r="F593" s="40"/>
      <c r="G593" s="81"/>
      <c r="H593" s="40"/>
      <c r="I593" s="40"/>
      <c r="J593" s="81"/>
      <c r="K593" s="40"/>
      <c r="L593" s="40"/>
      <c r="M593" s="81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3.5" customHeight="1">
      <c r="A594" s="40"/>
      <c r="B594" s="40"/>
      <c r="C594" s="40"/>
      <c r="D594" s="81"/>
      <c r="E594" s="40"/>
      <c r="F594" s="40"/>
      <c r="G594" s="81"/>
      <c r="H594" s="40"/>
      <c r="I594" s="40"/>
      <c r="J594" s="81"/>
      <c r="K594" s="40"/>
      <c r="L594" s="40"/>
      <c r="M594" s="81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3.5" customHeight="1">
      <c r="A595" s="40"/>
      <c r="B595" s="40"/>
      <c r="C595" s="40"/>
      <c r="D595" s="81"/>
      <c r="E595" s="40"/>
      <c r="F595" s="40"/>
      <c r="G595" s="81"/>
      <c r="H595" s="40"/>
      <c r="I595" s="40"/>
      <c r="J595" s="81"/>
      <c r="K595" s="40"/>
      <c r="L595" s="40"/>
      <c r="M595" s="81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3.5" customHeight="1">
      <c r="A596" s="40"/>
      <c r="B596" s="40"/>
      <c r="C596" s="40"/>
      <c r="D596" s="81"/>
      <c r="E596" s="40"/>
      <c r="F596" s="40"/>
      <c r="G596" s="81"/>
      <c r="H596" s="40"/>
      <c r="I596" s="40"/>
      <c r="J596" s="81"/>
      <c r="K596" s="40"/>
      <c r="L596" s="40"/>
      <c r="M596" s="81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3.5" customHeight="1">
      <c r="A597" s="40"/>
      <c r="B597" s="40"/>
      <c r="C597" s="40"/>
      <c r="D597" s="81"/>
      <c r="E597" s="40"/>
      <c r="F597" s="40"/>
      <c r="G597" s="81"/>
      <c r="H597" s="40"/>
      <c r="I597" s="40"/>
      <c r="J597" s="81"/>
      <c r="K597" s="40"/>
      <c r="L597" s="40"/>
      <c r="M597" s="81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3.5" customHeight="1">
      <c r="A598" s="40"/>
      <c r="B598" s="40"/>
      <c r="C598" s="40"/>
      <c r="D598" s="81"/>
      <c r="E598" s="40"/>
      <c r="F598" s="40"/>
      <c r="G598" s="81"/>
      <c r="H598" s="40"/>
      <c r="I598" s="40"/>
      <c r="J598" s="81"/>
      <c r="K598" s="40"/>
      <c r="L598" s="40"/>
      <c r="M598" s="81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3.5" customHeight="1">
      <c r="A599" s="40"/>
      <c r="B599" s="40"/>
      <c r="C599" s="40"/>
      <c r="D599" s="81"/>
      <c r="E599" s="40"/>
      <c r="F599" s="40"/>
      <c r="G599" s="81"/>
      <c r="H599" s="40"/>
      <c r="I599" s="40"/>
      <c r="J599" s="81"/>
      <c r="K599" s="40"/>
      <c r="L599" s="40"/>
      <c r="M599" s="81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3.5" customHeight="1">
      <c r="A600" s="40"/>
      <c r="B600" s="40"/>
      <c r="C600" s="40"/>
      <c r="D600" s="81"/>
      <c r="E600" s="40"/>
      <c r="F600" s="40"/>
      <c r="G600" s="81"/>
      <c r="H600" s="40"/>
      <c r="I600" s="40"/>
      <c r="J600" s="81"/>
      <c r="K600" s="40"/>
      <c r="L600" s="40"/>
      <c r="M600" s="81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3.5" customHeight="1">
      <c r="A601" s="40"/>
      <c r="B601" s="40"/>
      <c r="C601" s="40"/>
      <c r="D601" s="81"/>
      <c r="E601" s="40"/>
      <c r="F601" s="40"/>
      <c r="G601" s="81"/>
      <c r="H601" s="40"/>
      <c r="I601" s="40"/>
      <c r="J601" s="81"/>
      <c r="K601" s="40"/>
      <c r="L601" s="40"/>
      <c r="M601" s="81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3.5" customHeight="1">
      <c r="A602" s="40"/>
      <c r="B602" s="40"/>
      <c r="C602" s="40"/>
      <c r="D602" s="81"/>
      <c r="E602" s="40"/>
      <c r="F602" s="40"/>
      <c r="G602" s="81"/>
      <c r="H602" s="40"/>
      <c r="I602" s="40"/>
      <c r="J602" s="81"/>
      <c r="K602" s="40"/>
      <c r="L602" s="40"/>
      <c r="M602" s="81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3.5" customHeight="1">
      <c r="A603" s="40"/>
      <c r="B603" s="40"/>
      <c r="C603" s="40"/>
      <c r="D603" s="81"/>
      <c r="E603" s="40"/>
      <c r="F603" s="40"/>
      <c r="G603" s="81"/>
      <c r="H603" s="40"/>
      <c r="I603" s="40"/>
      <c r="J603" s="81"/>
      <c r="K603" s="40"/>
      <c r="L603" s="40"/>
      <c r="M603" s="81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3.5" customHeight="1">
      <c r="A604" s="40"/>
      <c r="B604" s="40"/>
      <c r="C604" s="40"/>
      <c r="D604" s="81"/>
      <c r="E604" s="40"/>
      <c r="F604" s="40"/>
      <c r="G604" s="81"/>
      <c r="H604" s="40"/>
      <c r="I604" s="40"/>
      <c r="J604" s="81"/>
      <c r="K604" s="40"/>
      <c r="L604" s="40"/>
      <c r="M604" s="81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3.5" customHeight="1">
      <c r="A605" s="40"/>
      <c r="B605" s="40"/>
      <c r="C605" s="40"/>
      <c r="D605" s="81"/>
      <c r="E605" s="40"/>
      <c r="F605" s="40"/>
      <c r="G605" s="81"/>
      <c r="H605" s="40"/>
      <c r="I605" s="40"/>
      <c r="J605" s="81"/>
      <c r="K605" s="40"/>
      <c r="L605" s="40"/>
      <c r="M605" s="81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3.5" customHeight="1">
      <c r="A606" s="40"/>
      <c r="B606" s="40"/>
      <c r="C606" s="40"/>
      <c r="D606" s="81"/>
      <c r="E606" s="40"/>
      <c r="F606" s="40"/>
      <c r="G606" s="81"/>
      <c r="H606" s="40"/>
      <c r="I606" s="40"/>
      <c r="J606" s="81"/>
      <c r="K606" s="40"/>
      <c r="L606" s="40"/>
      <c r="M606" s="81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3.5" customHeight="1">
      <c r="A607" s="40"/>
      <c r="B607" s="40"/>
      <c r="C607" s="40"/>
      <c r="D607" s="81"/>
      <c r="E607" s="40"/>
      <c r="F607" s="40"/>
      <c r="G607" s="81"/>
      <c r="H607" s="40"/>
      <c r="I607" s="40"/>
      <c r="J607" s="81"/>
      <c r="K607" s="40"/>
      <c r="L607" s="40"/>
      <c r="M607" s="81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3.5" customHeight="1">
      <c r="A608" s="40"/>
      <c r="B608" s="40"/>
      <c r="C608" s="40"/>
      <c r="D608" s="81"/>
      <c r="E608" s="40"/>
      <c r="F608" s="40"/>
      <c r="G608" s="81"/>
      <c r="H608" s="40"/>
      <c r="I608" s="40"/>
      <c r="J608" s="81"/>
      <c r="K608" s="40"/>
      <c r="L608" s="40"/>
      <c r="M608" s="81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3.5" customHeight="1">
      <c r="A609" s="40"/>
      <c r="B609" s="40"/>
      <c r="C609" s="40"/>
      <c r="D609" s="81"/>
      <c r="E609" s="40"/>
      <c r="F609" s="40"/>
      <c r="G609" s="81"/>
      <c r="H609" s="40"/>
      <c r="I609" s="40"/>
      <c r="J609" s="81"/>
      <c r="K609" s="40"/>
      <c r="L609" s="40"/>
      <c r="M609" s="81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3.5" customHeight="1">
      <c r="A610" s="40"/>
      <c r="B610" s="40"/>
      <c r="C610" s="40"/>
      <c r="D610" s="81"/>
      <c r="E610" s="40"/>
      <c r="F610" s="40"/>
      <c r="G610" s="81"/>
      <c r="H610" s="40"/>
      <c r="I610" s="40"/>
      <c r="J610" s="81"/>
      <c r="K610" s="40"/>
      <c r="L610" s="40"/>
      <c r="M610" s="81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3.5" customHeight="1">
      <c r="A611" s="40"/>
      <c r="B611" s="40"/>
      <c r="C611" s="40"/>
      <c r="D611" s="81"/>
      <c r="E611" s="40"/>
      <c r="F611" s="40"/>
      <c r="G611" s="81"/>
      <c r="H611" s="40"/>
      <c r="I611" s="40"/>
      <c r="J611" s="81"/>
      <c r="K611" s="40"/>
      <c r="L611" s="40"/>
      <c r="M611" s="81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3.5" customHeight="1">
      <c r="A612" s="40"/>
      <c r="B612" s="40"/>
      <c r="C612" s="40"/>
      <c r="D612" s="81"/>
      <c r="E612" s="40"/>
      <c r="F612" s="40"/>
      <c r="G612" s="81"/>
      <c r="H612" s="40"/>
      <c r="I612" s="40"/>
      <c r="J612" s="81"/>
      <c r="K612" s="40"/>
      <c r="L612" s="40"/>
      <c r="M612" s="81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3.5" customHeight="1">
      <c r="A613" s="40"/>
      <c r="B613" s="40"/>
      <c r="C613" s="40"/>
      <c r="D613" s="81"/>
      <c r="E613" s="40"/>
      <c r="F613" s="40"/>
      <c r="G613" s="81"/>
      <c r="H613" s="40"/>
      <c r="I613" s="40"/>
      <c r="J613" s="81"/>
      <c r="K613" s="40"/>
      <c r="L613" s="40"/>
      <c r="M613" s="81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3.5" customHeight="1">
      <c r="A614" s="40"/>
      <c r="B614" s="40"/>
      <c r="C614" s="40"/>
      <c r="D614" s="81"/>
      <c r="E614" s="40"/>
      <c r="F614" s="40"/>
      <c r="G614" s="81"/>
      <c r="H614" s="40"/>
      <c r="I614" s="40"/>
      <c r="J614" s="81"/>
      <c r="K614" s="40"/>
      <c r="L614" s="40"/>
      <c r="M614" s="81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3.5" customHeight="1">
      <c r="A615" s="40"/>
      <c r="B615" s="40"/>
      <c r="C615" s="40"/>
      <c r="D615" s="81"/>
      <c r="E615" s="40"/>
      <c r="F615" s="40"/>
      <c r="G615" s="81"/>
      <c r="H615" s="40"/>
      <c r="I615" s="40"/>
      <c r="J615" s="81"/>
      <c r="K615" s="40"/>
      <c r="L615" s="40"/>
      <c r="M615" s="81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3.5" customHeight="1">
      <c r="A616" s="40"/>
      <c r="B616" s="40"/>
      <c r="C616" s="40"/>
      <c r="D616" s="81"/>
      <c r="E616" s="40"/>
      <c r="F616" s="40"/>
      <c r="G616" s="81"/>
      <c r="H616" s="40"/>
      <c r="I616" s="40"/>
      <c r="J616" s="81"/>
      <c r="K616" s="40"/>
      <c r="L616" s="40"/>
      <c r="M616" s="81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3.5" customHeight="1">
      <c r="A617" s="40"/>
      <c r="B617" s="40"/>
      <c r="C617" s="40"/>
      <c r="D617" s="81"/>
      <c r="E617" s="40"/>
      <c r="F617" s="40"/>
      <c r="G617" s="81"/>
      <c r="H617" s="40"/>
      <c r="I617" s="40"/>
      <c r="J617" s="81"/>
      <c r="K617" s="40"/>
      <c r="L617" s="40"/>
      <c r="M617" s="81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3.5" customHeight="1">
      <c r="A618" s="40"/>
      <c r="B618" s="40"/>
      <c r="C618" s="40"/>
      <c r="D618" s="81"/>
      <c r="E618" s="40"/>
      <c r="F618" s="40"/>
      <c r="G618" s="81"/>
      <c r="H618" s="40"/>
      <c r="I618" s="40"/>
      <c r="J618" s="81"/>
      <c r="K618" s="40"/>
      <c r="L618" s="40"/>
      <c r="M618" s="81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3.5" customHeight="1">
      <c r="A619" s="40"/>
      <c r="B619" s="40"/>
      <c r="C619" s="40"/>
      <c r="D619" s="81"/>
      <c r="E619" s="40"/>
      <c r="F619" s="40"/>
      <c r="G619" s="81"/>
      <c r="H619" s="40"/>
      <c r="I619" s="40"/>
      <c r="J619" s="81"/>
      <c r="K619" s="40"/>
      <c r="L619" s="40"/>
      <c r="M619" s="81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3.5" customHeight="1">
      <c r="A620" s="40"/>
      <c r="B620" s="40"/>
      <c r="C620" s="40"/>
      <c r="D620" s="81"/>
      <c r="E620" s="40"/>
      <c r="F620" s="40"/>
      <c r="G620" s="81"/>
      <c r="H620" s="40"/>
      <c r="I620" s="40"/>
      <c r="J620" s="81"/>
      <c r="K620" s="40"/>
      <c r="L620" s="40"/>
      <c r="M620" s="81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3.5" customHeight="1">
      <c r="A621" s="40"/>
      <c r="B621" s="40"/>
      <c r="C621" s="40"/>
      <c r="D621" s="81"/>
      <c r="E621" s="40"/>
      <c r="F621" s="40"/>
      <c r="G621" s="81"/>
      <c r="H621" s="40"/>
      <c r="I621" s="40"/>
      <c r="J621" s="81"/>
      <c r="K621" s="40"/>
      <c r="L621" s="40"/>
      <c r="M621" s="81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3.5" customHeight="1">
      <c r="A622" s="40"/>
      <c r="B622" s="40"/>
      <c r="C622" s="40"/>
      <c r="D622" s="81"/>
      <c r="E622" s="40"/>
      <c r="F622" s="40"/>
      <c r="G622" s="81"/>
      <c r="H622" s="40"/>
      <c r="I622" s="40"/>
      <c r="J622" s="81"/>
      <c r="K622" s="40"/>
      <c r="L622" s="40"/>
      <c r="M622" s="81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3.5" customHeight="1">
      <c r="A623" s="40"/>
      <c r="B623" s="40"/>
      <c r="C623" s="40"/>
      <c r="D623" s="81"/>
      <c r="E623" s="40"/>
      <c r="F623" s="40"/>
      <c r="G623" s="81"/>
      <c r="H623" s="40"/>
      <c r="I623" s="40"/>
      <c r="J623" s="81"/>
      <c r="K623" s="40"/>
      <c r="L623" s="40"/>
      <c r="M623" s="81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3.5" customHeight="1">
      <c r="A624" s="40"/>
      <c r="B624" s="40"/>
      <c r="C624" s="40"/>
      <c r="D624" s="81"/>
      <c r="E624" s="40"/>
      <c r="F624" s="40"/>
      <c r="G624" s="81"/>
      <c r="H624" s="40"/>
      <c r="I624" s="40"/>
      <c r="J624" s="81"/>
      <c r="K624" s="40"/>
      <c r="L624" s="40"/>
      <c r="M624" s="81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3.5" customHeight="1">
      <c r="A625" s="40"/>
      <c r="B625" s="40"/>
      <c r="C625" s="40"/>
      <c r="D625" s="81"/>
      <c r="E625" s="40"/>
      <c r="F625" s="40"/>
      <c r="G625" s="81"/>
      <c r="H625" s="40"/>
      <c r="I625" s="40"/>
      <c r="J625" s="81"/>
      <c r="K625" s="40"/>
      <c r="L625" s="40"/>
      <c r="M625" s="81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3.5" customHeight="1">
      <c r="A626" s="40"/>
      <c r="B626" s="40"/>
      <c r="C626" s="40"/>
      <c r="D626" s="81"/>
      <c r="E626" s="40"/>
      <c r="F626" s="40"/>
      <c r="G626" s="81"/>
      <c r="H626" s="40"/>
      <c r="I626" s="40"/>
      <c r="J626" s="81"/>
      <c r="K626" s="40"/>
      <c r="L626" s="40"/>
      <c r="M626" s="81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3.5" customHeight="1">
      <c r="A627" s="40"/>
      <c r="B627" s="40"/>
      <c r="C627" s="40"/>
      <c r="D627" s="81"/>
      <c r="E627" s="40"/>
      <c r="F627" s="40"/>
      <c r="G627" s="81"/>
      <c r="H627" s="40"/>
      <c r="I627" s="40"/>
      <c r="J627" s="81"/>
      <c r="K627" s="40"/>
      <c r="L627" s="40"/>
      <c r="M627" s="81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3.5" customHeight="1">
      <c r="A628" s="40"/>
      <c r="B628" s="40"/>
      <c r="C628" s="40"/>
      <c r="D628" s="81"/>
      <c r="E628" s="40"/>
      <c r="F628" s="40"/>
      <c r="G628" s="81"/>
      <c r="H628" s="40"/>
      <c r="I628" s="40"/>
      <c r="J628" s="81"/>
      <c r="K628" s="40"/>
      <c r="L628" s="40"/>
      <c r="M628" s="81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3.5" customHeight="1">
      <c r="A629" s="40"/>
      <c r="B629" s="40"/>
      <c r="C629" s="40"/>
      <c r="D629" s="81"/>
      <c r="E629" s="40"/>
      <c r="F629" s="40"/>
      <c r="G629" s="81"/>
      <c r="H629" s="40"/>
      <c r="I629" s="40"/>
      <c r="J629" s="81"/>
      <c r="K629" s="40"/>
      <c r="L629" s="40"/>
      <c r="M629" s="81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3.5" customHeight="1">
      <c r="A630" s="40"/>
      <c r="B630" s="40"/>
      <c r="C630" s="40"/>
      <c r="D630" s="81"/>
      <c r="E630" s="40"/>
      <c r="F630" s="40"/>
      <c r="G630" s="81"/>
      <c r="H630" s="40"/>
      <c r="I630" s="40"/>
      <c r="J630" s="81"/>
      <c r="K630" s="40"/>
      <c r="L630" s="40"/>
      <c r="M630" s="81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3.5" customHeight="1">
      <c r="A631" s="40"/>
      <c r="B631" s="40"/>
      <c r="C631" s="40"/>
      <c r="D631" s="81"/>
      <c r="E631" s="40"/>
      <c r="F631" s="40"/>
      <c r="G631" s="81"/>
      <c r="H631" s="40"/>
      <c r="I631" s="40"/>
      <c r="J631" s="81"/>
      <c r="K631" s="40"/>
      <c r="L631" s="40"/>
      <c r="M631" s="81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3.5" customHeight="1">
      <c r="A632" s="40"/>
      <c r="B632" s="40"/>
      <c r="C632" s="40"/>
      <c r="D632" s="81"/>
      <c r="E632" s="40"/>
      <c r="F632" s="40"/>
      <c r="G632" s="81"/>
      <c r="H632" s="40"/>
      <c r="I632" s="40"/>
      <c r="J632" s="81"/>
      <c r="K632" s="40"/>
      <c r="L632" s="40"/>
      <c r="M632" s="81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3.5" customHeight="1">
      <c r="A633" s="40"/>
      <c r="B633" s="40"/>
      <c r="C633" s="40"/>
      <c r="D633" s="81"/>
      <c r="E633" s="40"/>
      <c r="F633" s="40"/>
      <c r="G633" s="81"/>
      <c r="H633" s="40"/>
      <c r="I633" s="40"/>
      <c r="J633" s="81"/>
      <c r="K633" s="40"/>
      <c r="L633" s="40"/>
      <c r="M633" s="81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3.5" customHeight="1">
      <c r="A634" s="40"/>
      <c r="B634" s="40"/>
      <c r="C634" s="40"/>
      <c r="D634" s="81"/>
      <c r="E634" s="40"/>
      <c r="F634" s="40"/>
      <c r="G634" s="81"/>
      <c r="H634" s="40"/>
      <c r="I634" s="40"/>
      <c r="J634" s="81"/>
      <c r="K634" s="40"/>
      <c r="L634" s="40"/>
      <c r="M634" s="81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3.5" customHeight="1">
      <c r="A635" s="40"/>
      <c r="B635" s="40"/>
      <c r="C635" s="40"/>
      <c r="D635" s="81"/>
      <c r="E635" s="40"/>
      <c r="F635" s="40"/>
      <c r="G635" s="81"/>
      <c r="H635" s="40"/>
      <c r="I635" s="40"/>
      <c r="J635" s="81"/>
      <c r="K635" s="40"/>
      <c r="L635" s="40"/>
      <c r="M635" s="81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3.5" customHeight="1">
      <c r="A636" s="40"/>
      <c r="B636" s="40"/>
      <c r="C636" s="40"/>
      <c r="D636" s="81"/>
      <c r="E636" s="40"/>
      <c r="F636" s="40"/>
      <c r="G636" s="81"/>
      <c r="H636" s="40"/>
      <c r="I636" s="40"/>
      <c r="J636" s="81"/>
      <c r="K636" s="40"/>
      <c r="L636" s="40"/>
      <c r="M636" s="81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3.5" customHeight="1">
      <c r="A637" s="40"/>
      <c r="B637" s="40"/>
      <c r="C637" s="40"/>
      <c r="D637" s="81"/>
      <c r="E637" s="40"/>
      <c r="F637" s="40"/>
      <c r="G637" s="81"/>
      <c r="H637" s="40"/>
      <c r="I637" s="40"/>
      <c r="J637" s="81"/>
      <c r="K637" s="40"/>
      <c r="L637" s="40"/>
      <c r="M637" s="81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3.5" customHeight="1">
      <c r="A638" s="40"/>
      <c r="B638" s="40"/>
      <c r="C638" s="40"/>
      <c r="D638" s="81"/>
      <c r="E638" s="40"/>
      <c r="F638" s="40"/>
      <c r="G638" s="81"/>
      <c r="H638" s="40"/>
      <c r="I638" s="40"/>
      <c r="J638" s="81"/>
      <c r="K638" s="40"/>
      <c r="L638" s="40"/>
      <c r="M638" s="81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3.5" customHeight="1">
      <c r="A639" s="40"/>
      <c r="B639" s="40"/>
      <c r="C639" s="40"/>
      <c r="D639" s="81"/>
      <c r="E639" s="40"/>
      <c r="F639" s="40"/>
      <c r="G639" s="81"/>
      <c r="H639" s="40"/>
      <c r="I639" s="40"/>
      <c r="J639" s="81"/>
      <c r="K639" s="40"/>
      <c r="L639" s="40"/>
      <c r="M639" s="81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3.5" customHeight="1">
      <c r="A640" s="40"/>
      <c r="B640" s="40"/>
      <c r="C640" s="40"/>
      <c r="D640" s="81"/>
      <c r="E640" s="40"/>
      <c r="F640" s="40"/>
      <c r="G640" s="81"/>
      <c r="H640" s="40"/>
      <c r="I640" s="40"/>
      <c r="J640" s="81"/>
      <c r="K640" s="40"/>
      <c r="L640" s="40"/>
      <c r="M640" s="81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3.5" customHeight="1">
      <c r="A641" s="40"/>
      <c r="B641" s="40"/>
      <c r="C641" s="40"/>
      <c r="D641" s="81"/>
      <c r="E641" s="40"/>
      <c r="F641" s="40"/>
      <c r="G641" s="81"/>
      <c r="H641" s="40"/>
      <c r="I641" s="40"/>
      <c r="J641" s="81"/>
      <c r="K641" s="40"/>
      <c r="L641" s="40"/>
      <c r="M641" s="81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3.5" customHeight="1">
      <c r="A642" s="40"/>
      <c r="B642" s="40"/>
      <c r="C642" s="40"/>
      <c r="D642" s="81"/>
      <c r="E642" s="40"/>
      <c r="F642" s="40"/>
      <c r="G642" s="81"/>
      <c r="H642" s="40"/>
      <c r="I642" s="40"/>
      <c r="J642" s="81"/>
      <c r="K642" s="40"/>
      <c r="L642" s="40"/>
      <c r="M642" s="81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3.5" customHeight="1">
      <c r="A643" s="40"/>
      <c r="B643" s="40"/>
      <c r="C643" s="40"/>
      <c r="D643" s="81"/>
      <c r="E643" s="40"/>
      <c r="F643" s="40"/>
      <c r="G643" s="81"/>
      <c r="H643" s="40"/>
      <c r="I643" s="40"/>
      <c r="J643" s="81"/>
      <c r="K643" s="40"/>
      <c r="L643" s="40"/>
      <c r="M643" s="81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3.5" customHeight="1">
      <c r="A644" s="40"/>
      <c r="B644" s="40"/>
      <c r="C644" s="40"/>
      <c r="D644" s="81"/>
      <c r="E644" s="40"/>
      <c r="F644" s="40"/>
      <c r="G644" s="81"/>
      <c r="H644" s="40"/>
      <c r="I644" s="40"/>
      <c r="J644" s="81"/>
      <c r="K644" s="40"/>
      <c r="L644" s="40"/>
      <c r="M644" s="81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3.5" customHeight="1">
      <c r="A645" s="40"/>
      <c r="B645" s="40"/>
      <c r="C645" s="40"/>
      <c r="D645" s="81"/>
      <c r="E645" s="40"/>
      <c r="F645" s="40"/>
      <c r="G645" s="81"/>
      <c r="H645" s="40"/>
      <c r="I645" s="40"/>
      <c r="J645" s="81"/>
      <c r="K645" s="40"/>
      <c r="L645" s="40"/>
      <c r="M645" s="81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3.5" customHeight="1">
      <c r="A646" s="40"/>
      <c r="B646" s="40"/>
      <c r="C646" s="40"/>
      <c r="D646" s="81"/>
      <c r="E646" s="40"/>
      <c r="F646" s="40"/>
      <c r="G646" s="81"/>
      <c r="H646" s="40"/>
      <c r="I646" s="40"/>
      <c r="J646" s="81"/>
      <c r="K646" s="40"/>
      <c r="L646" s="40"/>
      <c r="M646" s="81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3.5" customHeight="1">
      <c r="A647" s="40"/>
      <c r="B647" s="40"/>
      <c r="C647" s="40"/>
      <c r="D647" s="81"/>
      <c r="E647" s="40"/>
      <c r="F647" s="40"/>
      <c r="G647" s="81"/>
      <c r="H647" s="40"/>
      <c r="I647" s="40"/>
      <c r="J647" s="81"/>
      <c r="K647" s="40"/>
      <c r="L647" s="40"/>
      <c r="M647" s="81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3.5" customHeight="1">
      <c r="A648" s="40"/>
      <c r="B648" s="40"/>
      <c r="C648" s="40"/>
      <c r="D648" s="81"/>
      <c r="E648" s="40"/>
      <c r="F648" s="40"/>
      <c r="G648" s="81"/>
      <c r="H648" s="40"/>
      <c r="I648" s="40"/>
      <c r="J648" s="81"/>
      <c r="K648" s="40"/>
      <c r="L648" s="40"/>
      <c r="M648" s="81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3.5" customHeight="1">
      <c r="A649" s="40"/>
      <c r="B649" s="40"/>
      <c r="C649" s="40"/>
      <c r="D649" s="81"/>
      <c r="E649" s="40"/>
      <c r="F649" s="40"/>
      <c r="G649" s="81"/>
      <c r="H649" s="40"/>
      <c r="I649" s="40"/>
      <c r="J649" s="81"/>
      <c r="K649" s="40"/>
      <c r="L649" s="40"/>
      <c r="M649" s="81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3.5" customHeight="1">
      <c r="A650" s="40"/>
      <c r="B650" s="40"/>
      <c r="C650" s="40"/>
      <c r="D650" s="81"/>
      <c r="E650" s="40"/>
      <c r="F650" s="40"/>
      <c r="G650" s="81"/>
      <c r="H650" s="40"/>
      <c r="I650" s="40"/>
      <c r="J650" s="81"/>
      <c r="K650" s="40"/>
      <c r="L650" s="40"/>
      <c r="M650" s="81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3.5" customHeight="1">
      <c r="A651" s="40"/>
      <c r="B651" s="40"/>
      <c r="C651" s="40"/>
      <c r="D651" s="81"/>
      <c r="E651" s="40"/>
      <c r="F651" s="40"/>
      <c r="G651" s="81"/>
      <c r="H651" s="40"/>
      <c r="I651" s="40"/>
      <c r="J651" s="81"/>
      <c r="K651" s="40"/>
      <c r="L651" s="40"/>
      <c r="M651" s="81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3.5" customHeight="1">
      <c r="A652" s="40"/>
      <c r="B652" s="40"/>
      <c r="C652" s="40"/>
      <c r="D652" s="81"/>
      <c r="E652" s="40"/>
      <c r="F652" s="40"/>
      <c r="G652" s="81"/>
      <c r="H652" s="40"/>
      <c r="I652" s="40"/>
      <c r="J652" s="81"/>
      <c r="K652" s="40"/>
      <c r="L652" s="40"/>
      <c r="M652" s="81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3.5" customHeight="1">
      <c r="A653" s="40"/>
      <c r="B653" s="40"/>
      <c r="C653" s="40"/>
      <c r="D653" s="81"/>
      <c r="E653" s="40"/>
      <c r="F653" s="40"/>
      <c r="G653" s="81"/>
      <c r="H653" s="40"/>
      <c r="I653" s="40"/>
      <c r="J653" s="81"/>
      <c r="K653" s="40"/>
      <c r="L653" s="40"/>
      <c r="M653" s="81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3.5" customHeight="1">
      <c r="A654" s="40"/>
      <c r="B654" s="40"/>
      <c r="C654" s="40"/>
      <c r="D654" s="81"/>
      <c r="E654" s="40"/>
      <c r="F654" s="40"/>
      <c r="G654" s="81"/>
      <c r="H654" s="40"/>
      <c r="I654" s="40"/>
      <c r="J654" s="81"/>
      <c r="K654" s="40"/>
      <c r="L654" s="40"/>
      <c r="M654" s="81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3.5" customHeight="1">
      <c r="A655" s="40"/>
      <c r="B655" s="40"/>
      <c r="C655" s="40"/>
      <c r="D655" s="81"/>
      <c r="E655" s="40"/>
      <c r="F655" s="40"/>
      <c r="G655" s="81"/>
      <c r="H655" s="40"/>
      <c r="I655" s="40"/>
      <c r="J655" s="81"/>
      <c r="K655" s="40"/>
      <c r="L655" s="40"/>
      <c r="M655" s="81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3.5" customHeight="1">
      <c r="A656" s="40"/>
      <c r="B656" s="40"/>
      <c r="C656" s="40"/>
      <c r="D656" s="81"/>
      <c r="E656" s="40"/>
      <c r="F656" s="40"/>
      <c r="G656" s="81"/>
      <c r="H656" s="40"/>
      <c r="I656" s="40"/>
      <c r="J656" s="81"/>
      <c r="K656" s="40"/>
      <c r="L656" s="40"/>
      <c r="M656" s="81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3.5" customHeight="1">
      <c r="A657" s="40"/>
      <c r="B657" s="40"/>
      <c r="C657" s="40"/>
      <c r="D657" s="81"/>
      <c r="E657" s="40"/>
      <c r="F657" s="40"/>
      <c r="G657" s="81"/>
      <c r="H657" s="40"/>
      <c r="I657" s="40"/>
      <c r="J657" s="81"/>
      <c r="K657" s="40"/>
      <c r="L657" s="40"/>
      <c r="M657" s="81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3.5" customHeight="1">
      <c r="A658" s="40"/>
      <c r="B658" s="40"/>
      <c r="C658" s="40"/>
      <c r="D658" s="81"/>
      <c r="E658" s="40"/>
      <c r="F658" s="40"/>
      <c r="G658" s="81"/>
      <c r="H658" s="40"/>
      <c r="I658" s="40"/>
      <c r="J658" s="81"/>
      <c r="K658" s="40"/>
      <c r="L658" s="40"/>
      <c r="M658" s="81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3.5" customHeight="1">
      <c r="A659" s="40"/>
      <c r="B659" s="40"/>
      <c r="C659" s="40"/>
      <c r="D659" s="81"/>
      <c r="E659" s="40"/>
      <c r="F659" s="40"/>
      <c r="G659" s="81"/>
      <c r="H659" s="40"/>
      <c r="I659" s="40"/>
      <c r="J659" s="81"/>
      <c r="K659" s="40"/>
      <c r="L659" s="40"/>
      <c r="M659" s="81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3.5" customHeight="1">
      <c r="A660" s="40"/>
      <c r="B660" s="40"/>
      <c r="C660" s="40"/>
      <c r="D660" s="81"/>
      <c r="E660" s="40"/>
      <c r="F660" s="40"/>
      <c r="G660" s="81"/>
      <c r="H660" s="40"/>
      <c r="I660" s="40"/>
      <c r="J660" s="81"/>
      <c r="K660" s="40"/>
      <c r="L660" s="40"/>
      <c r="M660" s="81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3.5" customHeight="1">
      <c r="A661" s="40"/>
      <c r="B661" s="40"/>
      <c r="C661" s="40"/>
      <c r="D661" s="81"/>
      <c r="E661" s="40"/>
      <c r="F661" s="40"/>
      <c r="G661" s="81"/>
      <c r="H661" s="40"/>
      <c r="I661" s="40"/>
      <c r="J661" s="81"/>
      <c r="K661" s="40"/>
      <c r="L661" s="40"/>
      <c r="M661" s="81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3.5" customHeight="1">
      <c r="A662" s="40"/>
      <c r="B662" s="40"/>
      <c r="C662" s="40"/>
      <c r="D662" s="81"/>
      <c r="E662" s="40"/>
      <c r="F662" s="40"/>
      <c r="G662" s="81"/>
      <c r="H662" s="40"/>
      <c r="I662" s="40"/>
      <c r="J662" s="81"/>
      <c r="K662" s="40"/>
      <c r="L662" s="40"/>
      <c r="M662" s="81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3.5" customHeight="1">
      <c r="A663" s="40"/>
      <c r="B663" s="40"/>
      <c r="C663" s="40"/>
      <c r="D663" s="81"/>
      <c r="E663" s="40"/>
      <c r="F663" s="40"/>
      <c r="G663" s="81"/>
      <c r="H663" s="40"/>
      <c r="I663" s="40"/>
      <c r="J663" s="81"/>
      <c r="K663" s="40"/>
      <c r="L663" s="40"/>
      <c r="M663" s="81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3.5" customHeight="1">
      <c r="A664" s="40"/>
      <c r="B664" s="40"/>
      <c r="C664" s="40"/>
      <c r="D664" s="81"/>
      <c r="E664" s="40"/>
      <c r="F664" s="40"/>
      <c r="G664" s="81"/>
      <c r="H664" s="40"/>
      <c r="I664" s="40"/>
      <c r="J664" s="81"/>
      <c r="K664" s="40"/>
      <c r="L664" s="40"/>
      <c r="M664" s="81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3.5" customHeight="1">
      <c r="A665" s="40"/>
      <c r="B665" s="40"/>
      <c r="C665" s="40"/>
      <c r="D665" s="81"/>
      <c r="E665" s="40"/>
      <c r="F665" s="40"/>
      <c r="G665" s="81"/>
      <c r="H665" s="40"/>
      <c r="I665" s="40"/>
      <c r="J665" s="81"/>
      <c r="K665" s="40"/>
      <c r="L665" s="40"/>
      <c r="M665" s="81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3.5" customHeight="1">
      <c r="A666" s="40"/>
      <c r="B666" s="40"/>
      <c r="C666" s="40"/>
      <c r="D666" s="81"/>
      <c r="E666" s="40"/>
      <c r="F666" s="40"/>
      <c r="G666" s="81"/>
      <c r="H666" s="40"/>
      <c r="I666" s="40"/>
      <c r="J666" s="81"/>
      <c r="K666" s="40"/>
      <c r="L666" s="40"/>
      <c r="M666" s="81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3.5" customHeight="1">
      <c r="A667" s="40"/>
      <c r="B667" s="40"/>
      <c r="C667" s="40"/>
      <c r="D667" s="81"/>
      <c r="E667" s="40"/>
      <c r="F667" s="40"/>
      <c r="G667" s="81"/>
      <c r="H667" s="40"/>
      <c r="I667" s="40"/>
      <c r="J667" s="81"/>
      <c r="K667" s="40"/>
      <c r="L667" s="40"/>
      <c r="M667" s="81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3.5" customHeight="1">
      <c r="A668" s="40"/>
      <c r="B668" s="40"/>
      <c r="C668" s="40"/>
      <c r="D668" s="81"/>
      <c r="E668" s="40"/>
      <c r="F668" s="40"/>
      <c r="G668" s="81"/>
      <c r="H668" s="40"/>
      <c r="I668" s="40"/>
      <c r="J668" s="81"/>
      <c r="K668" s="40"/>
      <c r="L668" s="40"/>
      <c r="M668" s="81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3.5" customHeight="1">
      <c r="A669" s="40"/>
      <c r="B669" s="40"/>
      <c r="C669" s="40"/>
      <c r="D669" s="81"/>
      <c r="E669" s="40"/>
      <c r="F669" s="40"/>
      <c r="G669" s="81"/>
      <c r="H669" s="40"/>
      <c r="I669" s="40"/>
      <c r="J669" s="81"/>
      <c r="K669" s="40"/>
      <c r="L669" s="40"/>
      <c r="M669" s="81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3.5" customHeight="1">
      <c r="A670" s="40"/>
      <c r="B670" s="40"/>
      <c r="C670" s="40"/>
      <c r="D670" s="81"/>
      <c r="E670" s="40"/>
      <c r="F670" s="40"/>
      <c r="G670" s="81"/>
      <c r="H670" s="40"/>
      <c r="I670" s="40"/>
      <c r="J670" s="81"/>
      <c r="K670" s="40"/>
      <c r="L670" s="40"/>
      <c r="M670" s="81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3.5" customHeight="1">
      <c r="A671" s="40"/>
      <c r="B671" s="40"/>
      <c r="C671" s="40"/>
      <c r="D671" s="81"/>
      <c r="E671" s="40"/>
      <c r="F671" s="40"/>
      <c r="G671" s="81"/>
      <c r="H671" s="40"/>
      <c r="I671" s="40"/>
      <c r="J671" s="81"/>
      <c r="K671" s="40"/>
      <c r="L671" s="40"/>
      <c r="M671" s="81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3.5" customHeight="1">
      <c r="A672" s="40"/>
      <c r="B672" s="40"/>
      <c r="C672" s="40"/>
      <c r="D672" s="81"/>
      <c r="E672" s="40"/>
      <c r="F672" s="40"/>
      <c r="G672" s="81"/>
      <c r="H672" s="40"/>
      <c r="I672" s="40"/>
      <c r="J672" s="81"/>
      <c r="K672" s="40"/>
      <c r="L672" s="40"/>
      <c r="M672" s="81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3.5" customHeight="1">
      <c r="A673" s="40"/>
      <c r="B673" s="40"/>
      <c r="C673" s="40"/>
      <c r="D673" s="81"/>
      <c r="E673" s="40"/>
      <c r="F673" s="40"/>
      <c r="G673" s="81"/>
      <c r="H673" s="40"/>
      <c r="I673" s="40"/>
      <c r="J673" s="81"/>
      <c r="K673" s="40"/>
      <c r="L673" s="40"/>
      <c r="M673" s="81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3.5" customHeight="1">
      <c r="A674" s="40"/>
      <c r="B674" s="40"/>
      <c r="C674" s="40"/>
      <c r="D674" s="81"/>
      <c r="E674" s="40"/>
      <c r="F674" s="40"/>
      <c r="G674" s="81"/>
      <c r="H674" s="40"/>
      <c r="I674" s="40"/>
      <c r="J674" s="81"/>
      <c r="K674" s="40"/>
      <c r="L674" s="40"/>
      <c r="M674" s="81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3.5" customHeight="1">
      <c r="A675" s="40"/>
      <c r="B675" s="40"/>
      <c r="C675" s="40"/>
      <c r="D675" s="81"/>
      <c r="E675" s="40"/>
      <c r="F675" s="40"/>
      <c r="G675" s="81"/>
      <c r="H675" s="40"/>
      <c r="I675" s="40"/>
      <c r="J675" s="81"/>
      <c r="K675" s="40"/>
      <c r="L675" s="40"/>
      <c r="M675" s="81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3.5" customHeight="1">
      <c r="A676" s="40"/>
      <c r="B676" s="40"/>
      <c r="C676" s="40"/>
      <c r="D676" s="81"/>
      <c r="E676" s="40"/>
      <c r="F676" s="40"/>
      <c r="G676" s="81"/>
      <c r="H676" s="40"/>
      <c r="I676" s="40"/>
      <c r="J676" s="81"/>
      <c r="K676" s="40"/>
      <c r="L676" s="40"/>
      <c r="M676" s="81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3.5" customHeight="1">
      <c r="A677" s="40"/>
      <c r="B677" s="40"/>
      <c r="C677" s="40"/>
      <c r="D677" s="81"/>
      <c r="E677" s="40"/>
      <c r="F677" s="40"/>
      <c r="G677" s="81"/>
      <c r="H677" s="40"/>
      <c r="I677" s="40"/>
      <c r="J677" s="81"/>
      <c r="K677" s="40"/>
      <c r="L677" s="40"/>
      <c r="M677" s="81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3.5" customHeight="1">
      <c r="A678" s="40"/>
      <c r="B678" s="40"/>
      <c r="C678" s="40"/>
      <c r="D678" s="81"/>
      <c r="E678" s="40"/>
      <c r="F678" s="40"/>
      <c r="G678" s="81"/>
      <c r="H678" s="40"/>
      <c r="I678" s="40"/>
      <c r="J678" s="81"/>
      <c r="K678" s="40"/>
      <c r="L678" s="40"/>
      <c r="M678" s="81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3.5" customHeight="1">
      <c r="A679" s="40"/>
      <c r="B679" s="40"/>
      <c r="C679" s="40"/>
      <c r="D679" s="81"/>
      <c r="E679" s="40"/>
      <c r="F679" s="40"/>
      <c r="G679" s="81"/>
      <c r="H679" s="40"/>
      <c r="I679" s="40"/>
      <c r="J679" s="81"/>
      <c r="K679" s="40"/>
      <c r="L679" s="40"/>
      <c r="M679" s="81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3.5" customHeight="1">
      <c r="A680" s="40"/>
      <c r="B680" s="40"/>
      <c r="C680" s="40"/>
      <c r="D680" s="81"/>
      <c r="E680" s="40"/>
      <c r="F680" s="40"/>
      <c r="G680" s="81"/>
      <c r="H680" s="40"/>
      <c r="I680" s="40"/>
      <c r="J680" s="81"/>
      <c r="K680" s="40"/>
      <c r="L680" s="40"/>
      <c r="M680" s="81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3.5" customHeight="1">
      <c r="A681" s="40"/>
      <c r="B681" s="40"/>
      <c r="C681" s="40"/>
      <c r="D681" s="81"/>
      <c r="E681" s="40"/>
      <c r="F681" s="40"/>
      <c r="G681" s="81"/>
      <c r="H681" s="40"/>
      <c r="I681" s="40"/>
      <c r="J681" s="81"/>
      <c r="K681" s="40"/>
      <c r="L681" s="40"/>
      <c r="M681" s="81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3.5" customHeight="1">
      <c r="A682" s="40"/>
      <c r="B682" s="40"/>
      <c r="C682" s="40"/>
      <c r="D682" s="81"/>
      <c r="E682" s="40"/>
      <c r="F682" s="40"/>
      <c r="G682" s="81"/>
      <c r="H682" s="40"/>
      <c r="I682" s="40"/>
      <c r="J682" s="81"/>
      <c r="K682" s="40"/>
      <c r="L682" s="40"/>
      <c r="M682" s="81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3.5" customHeight="1">
      <c r="A683" s="40"/>
      <c r="B683" s="40"/>
      <c r="C683" s="40"/>
      <c r="D683" s="81"/>
      <c r="E683" s="40"/>
      <c r="F683" s="40"/>
      <c r="G683" s="81"/>
      <c r="H683" s="40"/>
      <c r="I683" s="40"/>
      <c r="J683" s="81"/>
      <c r="K683" s="40"/>
      <c r="L683" s="40"/>
      <c r="M683" s="81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3.5" customHeight="1">
      <c r="A684" s="40"/>
      <c r="B684" s="40"/>
      <c r="C684" s="40"/>
      <c r="D684" s="81"/>
      <c r="E684" s="40"/>
      <c r="F684" s="40"/>
      <c r="G684" s="81"/>
      <c r="H684" s="40"/>
      <c r="I684" s="40"/>
      <c r="J684" s="81"/>
      <c r="K684" s="40"/>
      <c r="L684" s="40"/>
      <c r="M684" s="81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3.5" customHeight="1">
      <c r="A685" s="40"/>
      <c r="B685" s="40"/>
      <c r="C685" s="40"/>
      <c r="D685" s="81"/>
      <c r="E685" s="40"/>
      <c r="F685" s="40"/>
      <c r="G685" s="81"/>
      <c r="H685" s="40"/>
      <c r="I685" s="40"/>
      <c r="J685" s="81"/>
      <c r="K685" s="40"/>
      <c r="L685" s="40"/>
      <c r="M685" s="81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3.5" customHeight="1">
      <c r="A686" s="40"/>
      <c r="B686" s="40"/>
      <c r="C686" s="40"/>
      <c r="D686" s="81"/>
      <c r="E686" s="40"/>
      <c r="F686" s="40"/>
      <c r="G686" s="81"/>
      <c r="H686" s="40"/>
      <c r="I686" s="40"/>
      <c r="J686" s="81"/>
      <c r="K686" s="40"/>
      <c r="L686" s="40"/>
      <c r="M686" s="81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3.5" customHeight="1">
      <c r="A687" s="40"/>
      <c r="B687" s="40"/>
      <c r="C687" s="40"/>
      <c r="D687" s="81"/>
      <c r="E687" s="40"/>
      <c r="F687" s="40"/>
      <c r="G687" s="81"/>
      <c r="H687" s="40"/>
      <c r="I687" s="40"/>
      <c r="J687" s="81"/>
      <c r="K687" s="40"/>
      <c r="L687" s="40"/>
      <c r="M687" s="81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3.5" customHeight="1">
      <c r="A688" s="40"/>
      <c r="B688" s="40"/>
      <c r="C688" s="40"/>
      <c r="D688" s="81"/>
      <c r="E688" s="40"/>
      <c r="F688" s="40"/>
      <c r="G688" s="81"/>
      <c r="H688" s="40"/>
      <c r="I688" s="40"/>
      <c r="J688" s="81"/>
      <c r="K688" s="40"/>
      <c r="L688" s="40"/>
      <c r="M688" s="81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3.5" customHeight="1">
      <c r="A689" s="40"/>
      <c r="B689" s="40"/>
      <c r="C689" s="40"/>
      <c r="D689" s="81"/>
      <c r="E689" s="40"/>
      <c r="F689" s="40"/>
      <c r="G689" s="81"/>
      <c r="H689" s="40"/>
      <c r="I689" s="40"/>
      <c r="J689" s="81"/>
      <c r="K689" s="40"/>
      <c r="L689" s="40"/>
      <c r="M689" s="81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3.5" customHeight="1">
      <c r="A690" s="40"/>
      <c r="B690" s="40"/>
      <c r="C690" s="40"/>
      <c r="D690" s="81"/>
      <c r="E690" s="40"/>
      <c r="F690" s="40"/>
      <c r="G690" s="81"/>
      <c r="H690" s="40"/>
      <c r="I690" s="40"/>
      <c r="J690" s="81"/>
      <c r="K690" s="40"/>
      <c r="L690" s="40"/>
      <c r="M690" s="81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3.5" customHeight="1">
      <c r="A691" s="40"/>
      <c r="B691" s="40"/>
      <c r="C691" s="40"/>
      <c r="D691" s="81"/>
      <c r="E691" s="40"/>
      <c r="F691" s="40"/>
      <c r="G691" s="81"/>
      <c r="H691" s="40"/>
      <c r="I691" s="40"/>
      <c r="J691" s="81"/>
      <c r="K691" s="40"/>
      <c r="L691" s="40"/>
      <c r="M691" s="81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3.5" customHeight="1">
      <c r="A692" s="40"/>
      <c r="B692" s="40"/>
      <c r="C692" s="40"/>
      <c r="D692" s="81"/>
      <c r="E692" s="40"/>
      <c r="F692" s="40"/>
      <c r="G692" s="81"/>
      <c r="H692" s="40"/>
      <c r="I692" s="40"/>
      <c r="J692" s="81"/>
      <c r="K692" s="40"/>
      <c r="L692" s="40"/>
      <c r="M692" s="81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3.5" customHeight="1">
      <c r="A693" s="40"/>
      <c r="B693" s="40"/>
      <c r="C693" s="40"/>
      <c r="D693" s="81"/>
      <c r="E693" s="40"/>
      <c r="F693" s="40"/>
      <c r="G693" s="81"/>
      <c r="H693" s="40"/>
      <c r="I693" s="40"/>
      <c r="J693" s="81"/>
      <c r="K693" s="40"/>
      <c r="L693" s="40"/>
      <c r="M693" s="81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3.5" customHeight="1">
      <c r="A694" s="40"/>
      <c r="B694" s="40"/>
      <c r="C694" s="40"/>
      <c r="D694" s="81"/>
      <c r="E694" s="40"/>
      <c r="F694" s="40"/>
      <c r="G694" s="81"/>
      <c r="H694" s="40"/>
      <c r="I694" s="40"/>
      <c r="J694" s="81"/>
      <c r="K694" s="40"/>
      <c r="L694" s="40"/>
      <c r="M694" s="81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3.5" customHeight="1">
      <c r="A695" s="40"/>
      <c r="B695" s="40"/>
      <c r="C695" s="40"/>
      <c r="D695" s="81"/>
      <c r="E695" s="40"/>
      <c r="F695" s="40"/>
      <c r="G695" s="81"/>
      <c r="H695" s="40"/>
      <c r="I695" s="40"/>
      <c r="J695" s="81"/>
      <c r="K695" s="40"/>
      <c r="L695" s="40"/>
      <c r="M695" s="81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3.5" customHeight="1">
      <c r="A696" s="40"/>
      <c r="B696" s="40"/>
      <c r="C696" s="40"/>
      <c r="D696" s="81"/>
      <c r="E696" s="40"/>
      <c r="F696" s="40"/>
      <c r="G696" s="81"/>
      <c r="H696" s="40"/>
      <c r="I696" s="40"/>
      <c r="J696" s="81"/>
      <c r="K696" s="40"/>
      <c r="L696" s="40"/>
      <c r="M696" s="81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3.5" customHeight="1">
      <c r="A697" s="40"/>
      <c r="B697" s="40"/>
      <c r="C697" s="40"/>
      <c r="D697" s="81"/>
      <c r="E697" s="40"/>
      <c r="F697" s="40"/>
      <c r="G697" s="81"/>
      <c r="H697" s="40"/>
      <c r="I697" s="40"/>
      <c r="J697" s="81"/>
      <c r="K697" s="40"/>
      <c r="L697" s="40"/>
      <c r="M697" s="81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3.5" customHeight="1">
      <c r="A698" s="40"/>
      <c r="B698" s="40"/>
      <c r="C698" s="40"/>
      <c r="D698" s="81"/>
      <c r="E698" s="40"/>
      <c r="F698" s="40"/>
      <c r="G698" s="81"/>
      <c r="H698" s="40"/>
      <c r="I698" s="40"/>
      <c r="J698" s="81"/>
      <c r="K698" s="40"/>
      <c r="L698" s="40"/>
      <c r="M698" s="81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3.5" customHeight="1">
      <c r="A699" s="40"/>
      <c r="B699" s="40"/>
      <c r="C699" s="40"/>
      <c r="D699" s="81"/>
      <c r="E699" s="40"/>
      <c r="F699" s="40"/>
      <c r="G699" s="81"/>
      <c r="H699" s="40"/>
      <c r="I699" s="40"/>
      <c r="J699" s="81"/>
      <c r="K699" s="40"/>
      <c r="L699" s="40"/>
      <c r="M699" s="81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3.5" customHeight="1">
      <c r="A700" s="40"/>
      <c r="B700" s="40"/>
      <c r="C700" s="40"/>
      <c r="D700" s="81"/>
      <c r="E700" s="40"/>
      <c r="F700" s="40"/>
      <c r="G700" s="81"/>
      <c r="H700" s="40"/>
      <c r="I700" s="40"/>
      <c r="J700" s="81"/>
      <c r="K700" s="40"/>
      <c r="L700" s="40"/>
      <c r="M700" s="81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3.5" customHeight="1">
      <c r="A701" s="40"/>
      <c r="B701" s="40"/>
      <c r="C701" s="40"/>
      <c r="D701" s="81"/>
      <c r="E701" s="40"/>
      <c r="F701" s="40"/>
      <c r="G701" s="81"/>
      <c r="H701" s="40"/>
      <c r="I701" s="40"/>
      <c r="J701" s="81"/>
      <c r="K701" s="40"/>
      <c r="L701" s="40"/>
      <c r="M701" s="81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3.5" customHeight="1">
      <c r="A702" s="40"/>
      <c r="B702" s="40"/>
      <c r="C702" s="40"/>
      <c r="D702" s="81"/>
      <c r="E702" s="40"/>
      <c r="F702" s="40"/>
      <c r="G702" s="81"/>
      <c r="H702" s="40"/>
      <c r="I702" s="40"/>
      <c r="J702" s="81"/>
      <c r="K702" s="40"/>
      <c r="L702" s="40"/>
      <c r="M702" s="81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3.5" customHeight="1">
      <c r="A703" s="40"/>
      <c r="B703" s="40"/>
      <c r="C703" s="40"/>
      <c r="D703" s="81"/>
      <c r="E703" s="40"/>
      <c r="F703" s="40"/>
      <c r="G703" s="81"/>
      <c r="H703" s="40"/>
      <c r="I703" s="40"/>
      <c r="J703" s="81"/>
      <c r="K703" s="40"/>
      <c r="L703" s="40"/>
      <c r="M703" s="81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3.5" customHeight="1">
      <c r="A704" s="40"/>
      <c r="B704" s="40"/>
      <c r="C704" s="40"/>
      <c r="D704" s="81"/>
      <c r="E704" s="40"/>
      <c r="F704" s="40"/>
      <c r="G704" s="81"/>
      <c r="H704" s="40"/>
      <c r="I704" s="40"/>
      <c r="J704" s="81"/>
      <c r="K704" s="40"/>
      <c r="L704" s="40"/>
      <c r="M704" s="81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3.5" customHeight="1">
      <c r="A705" s="40"/>
      <c r="B705" s="40"/>
      <c r="C705" s="40"/>
      <c r="D705" s="81"/>
      <c r="E705" s="40"/>
      <c r="F705" s="40"/>
      <c r="G705" s="81"/>
      <c r="H705" s="40"/>
      <c r="I705" s="40"/>
      <c r="J705" s="81"/>
      <c r="K705" s="40"/>
      <c r="L705" s="40"/>
      <c r="M705" s="81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3.5" customHeight="1">
      <c r="A706" s="40"/>
      <c r="B706" s="40"/>
      <c r="C706" s="40"/>
      <c r="D706" s="81"/>
      <c r="E706" s="40"/>
      <c r="F706" s="40"/>
      <c r="G706" s="81"/>
      <c r="H706" s="40"/>
      <c r="I706" s="40"/>
      <c r="J706" s="81"/>
      <c r="K706" s="40"/>
      <c r="L706" s="40"/>
      <c r="M706" s="81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3.5" customHeight="1">
      <c r="A707" s="40"/>
      <c r="B707" s="40"/>
      <c r="C707" s="40"/>
      <c r="D707" s="81"/>
      <c r="E707" s="40"/>
      <c r="F707" s="40"/>
      <c r="G707" s="81"/>
      <c r="H707" s="40"/>
      <c r="I707" s="40"/>
      <c r="J707" s="81"/>
      <c r="K707" s="40"/>
      <c r="L707" s="40"/>
      <c r="M707" s="81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3.5" customHeight="1">
      <c r="A708" s="40"/>
      <c r="B708" s="40"/>
      <c r="C708" s="40"/>
      <c r="D708" s="81"/>
      <c r="E708" s="40"/>
      <c r="F708" s="40"/>
      <c r="G708" s="81"/>
      <c r="H708" s="40"/>
      <c r="I708" s="40"/>
      <c r="J708" s="81"/>
      <c r="K708" s="40"/>
      <c r="L708" s="40"/>
      <c r="M708" s="81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3.5" customHeight="1">
      <c r="A709" s="40"/>
      <c r="B709" s="40"/>
      <c r="C709" s="40"/>
      <c r="D709" s="81"/>
      <c r="E709" s="40"/>
      <c r="F709" s="40"/>
      <c r="G709" s="81"/>
      <c r="H709" s="40"/>
      <c r="I709" s="40"/>
      <c r="J709" s="81"/>
      <c r="K709" s="40"/>
      <c r="L709" s="40"/>
      <c r="M709" s="81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3.5" customHeight="1">
      <c r="A710" s="40"/>
      <c r="B710" s="40"/>
      <c r="C710" s="40"/>
      <c r="D710" s="81"/>
      <c r="E710" s="40"/>
      <c r="F710" s="40"/>
      <c r="G710" s="81"/>
      <c r="H710" s="40"/>
      <c r="I710" s="40"/>
      <c r="J710" s="81"/>
      <c r="K710" s="40"/>
      <c r="L710" s="40"/>
      <c r="M710" s="81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3.5" customHeight="1">
      <c r="A711" s="40"/>
      <c r="B711" s="40"/>
      <c r="C711" s="40"/>
      <c r="D711" s="81"/>
      <c r="E711" s="40"/>
      <c r="F711" s="40"/>
      <c r="G711" s="81"/>
      <c r="H711" s="40"/>
      <c r="I711" s="40"/>
      <c r="J711" s="81"/>
      <c r="K711" s="40"/>
      <c r="L711" s="40"/>
      <c r="M711" s="81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3.5" customHeight="1">
      <c r="A712" s="40"/>
      <c r="B712" s="40"/>
      <c r="C712" s="40"/>
      <c r="D712" s="81"/>
      <c r="E712" s="40"/>
      <c r="F712" s="40"/>
      <c r="G712" s="81"/>
      <c r="H712" s="40"/>
      <c r="I712" s="40"/>
      <c r="J712" s="81"/>
      <c r="K712" s="40"/>
      <c r="L712" s="40"/>
      <c r="M712" s="81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3.5" customHeight="1">
      <c r="A713" s="40"/>
      <c r="B713" s="40"/>
      <c r="C713" s="40"/>
      <c r="D713" s="81"/>
      <c r="E713" s="40"/>
      <c r="F713" s="40"/>
      <c r="G713" s="81"/>
      <c r="H713" s="40"/>
      <c r="I713" s="40"/>
      <c r="J713" s="81"/>
      <c r="K713" s="40"/>
      <c r="L713" s="40"/>
      <c r="M713" s="81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3.5" customHeight="1">
      <c r="A714" s="40"/>
      <c r="B714" s="40"/>
      <c r="C714" s="40"/>
      <c r="D714" s="81"/>
      <c r="E714" s="40"/>
      <c r="F714" s="40"/>
      <c r="G714" s="81"/>
      <c r="H714" s="40"/>
      <c r="I714" s="40"/>
      <c r="J714" s="81"/>
      <c r="K714" s="40"/>
      <c r="L714" s="40"/>
      <c r="M714" s="81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3.5" customHeight="1">
      <c r="A715" s="40"/>
      <c r="B715" s="40"/>
      <c r="C715" s="40"/>
      <c r="D715" s="81"/>
      <c r="E715" s="40"/>
      <c r="F715" s="40"/>
      <c r="G715" s="81"/>
      <c r="H715" s="40"/>
      <c r="I715" s="40"/>
      <c r="J715" s="81"/>
      <c r="K715" s="40"/>
      <c r="L715" s="40"/>
      <c r="M715" s="81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3.5" customHeight="1">
      <c r="A716" s="40"/>
      <c r="B716" s="40"/>
      <c r="C716" s="40"/>
      <c r="D716" s="81"/>
      <c r="E716" s="40"/>
      <c r="F716" s="40"/>
      <c r="G716" s="81"/>
      <c r="H716" s="40"/>
      <c r="I716" s="40"/>
      <c r="J716" s="81"/>
      <c r="K716" s="40"/>
      <c r="L716" s="40"/>
      <c r="M716" s="81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3.5" customHeight="1">
      <c r="A717" s="40"/>
      <c r="B717" s="40"/>
      <c r="C717" s="40"/>
      <c r="D717" s="81"/>
      <c r="E717" s="40"/>
      <c r="F717" s="40"/>
      <c r="G717" s="81"/>
      <c r="H717" s="40"/>
      <c r="I717" s="40"/>
      <c r="J717" s="81"/>
      <c r="K717" s="40"/>
      <c r="L717" s="40"/>
      <c r="M717" s="81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3.5" customHeight="1">
      <c r="A718" s="40"/>
      <c r="B718" s="40"/>
      <c r="C718" s="40"/>
      <c r="D718" s="81"/>
      <c r="E718" s="40"/>
      <c r="F718" s="40"/>
      <c r="G718" s="81"/>
      <c r="H718" s="40"/>
      <c r="I718" s="40"/>
      <c r="J718" s="81"/>
      <c r="K718" s="40"/>
      <c r="L718" s="40"/>
      <c r="M718" s="81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3.5" customHeight="1">
      <c r="A719" s="40"/>
      <c r="B719" s="40"/>
      <c r="C719" s="40"/>
      <c r="D719" s="81"/>
      <c r="E719" s="40"/>
      <c r="F719" s="40"/>
      <c r="G719" s="81"/>
      <c r="H719" s="40"/>
      <c r="I719" s="40"/>
      <c r="J719" s="81"/>
      <c r="K719" s="40"/>
      <c r="L719" s="40"/>
      <c r="M719" s="81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3.5" customHeight="1">
      <c r="A720" s="40"/>
      <c r="B720" s="40"/>
      <c r="C720" s="40"/>
      <c r="D720" s="81"/>
      <c r="E720" s="40"/>
      <c r="F720" s="40"/>
      <c r="G720" s="81"/>
      <c r="H720" s="40"/>
      <c r="I720" s="40"/>
      <c r="J720" s="81"/>
      <c r="K720" s="40"/>
      <c r="L720" s="40"/>
      <c r="M720" s="81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3.5" customHeight="1">
      <c r="A721" s="40"/>
      <c r="B721" s="40"/>
      <c r="C721" s="40"/>
      <c r="D721" s="81"/>
      <c r="E721" s="40"/>
      <c r="F721" s="40"/>
      <c r="G721" s="81"/>
      <c r="H721" s="40"/>
      <c r="I721" s="40"/>
      <c r="J721" s="81"/>
      <c r="K721" s="40"/>
      <c r="L721" s="40"/>
      <c r="M721" s="81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3.5" customHeight="1">
      <c r="A722" s="40"/>
      <c r="B722" s="40"/>
      <c r="C722" s="40"/>
      <c r="D722" s="81"/>
      <c r="E722" s="40"/>
      <c r="F722" s="40"/>
      <c r="G722" s="81"/>
      <c r="H722" s="40"/>
      <c r="I722" s="40"/>
      <c r="J722" s="81"/>
      <c r="K722" s="40"/>
      <c r="L722" s="40"/>
      <c r="M722" s="81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3.5" customHeight="1">
      <c r="A723" s="40"/>
      <c r="B723" s="40"/>
      <c r="C723" s="40"/>
      <c r="D723" s="81"/>
      <c r="E723" s="40"/>
      <c r="F723" s="40"/>
      <c r="G723" s="81"/>
      <c r="H723" s="40"/>
      <c r="I723" s="40"/>
      <c r="J723" s="81"/>
      <c r="K723" s="40"/>
      <c r="L723" s="40"/>
      <c r="M723" s="81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3.5" customHeight="1">
      <c r="A724" s="40"/>
      <c r="B724" s="40"/>
      <c r="C724" s="40"/>
      <c r="D724" s="81"/>
      <c r="E724" s="40"/>
      <c r="F724" s="40"/>
      <c r="G724" s="81"/>
      <c r="H724" s="40"/>
      <c r="I724" s="40"/>
      <c r="J724" s="81"/>
      <c r="K724" s="40"/>
      <c r="L724" s="40"/>
      <c r="M724" s="81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3.5" customHeight="1">
      <c r="A725" s="40"/>
      <c r="B725" s="40"/>
      <c r="C725" s="40"/>
      <c r="D725" s="81"/>
      <c r="E725" s="40"/>
      <c r="F725" s="40"/>
      <c r="G725" s="81"/>
      <c r="H725" s="40"/>
      <c r="I725" s="40"/>
      <c r="J725" s="81"/>
      <c r="K725" s="40"/>
      <c r="L725" s="40"/>
      <c r="M725" s="81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3.5" customHeight="1">
      <c r="A726" s="40"/>
      <c r="B726" s="40"/>
      <c r="C726" s="40"/>
      <c r="D726" s="81"/>
      <c r="E726" s="40"/>
      <c r="F726" s="40"/>
      <c r="G726" s="81"/>
      <c r="H726" s="40"/>
      <c r="I726" s="40"/>
      <c r="J726" s="81"/>
      <c r="K726" s="40"/>
      <c r="L726" s="40"/>
      <c r="M726" s="81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3.5" customHeight="1">
      <c r="A727" s="40"/>
      <c r="B727" s="40"/>
      <c r="C727" s="40"/>
      <c r="D727" s="81"/>
      <c r="E727" s="40"/>
      <c r="F727" s="40"/>
      <c r="G727" s="81"/>
      <c r="H727" s="40"/>
      <c r="I727" s="40"/>
      <c r="J727" s="81"/>
      <c r="K727" s="40"/>
      <c r="L727" s="40"/>
      <c r="M727" s="81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3.5" customHeight="1">
      <c r="A728" s="40"/>
      <c r="B728" s="40"/>
      <c r="C728" s="40"/>
      <c r="D728" s="81"/>
      <c r="E728" s="40"/>
      <c r="F728" s="40"/>
      <c r="G728" s="81"/>
      <c r="H728" s="40"/>
      <c r="I728" s="40"/>
      <c r="J728" s="81"/>
      <c r="K728" s="40"/>
      <c r="L728" s="40"/>
      <c r="M728" s="81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3.5" customHeight="1">
      <c r="A729" s="40"/>
      <c r="B729" s="40"/>
      <c r="C729" s="40"/>
      <c r="D729" s="81"/>
      <c r="E729" s="40"/>
      <c r="F729" s="40"/>
      <c r="G729" s="81"/>
      <c r="H729" s="40"/>
      <c r="I729" s="40"/>
      <c r="J729" s="81"/>
      <c r="K729" s="40"/>
      <c r="L729" s="40"/>
      <c r="M729" s="81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3.5" customHeight="1">
      <c r="A730" s="40"/>
      <c r="B730" s="40"/>
      <c r="C730" s="40"/>
      <c r="D730" s="81"/>
      <c r="E730" s="40"/>
      <c r="F730" s="40"/>
      <c r="G730" s="81"/>
      <c r="H730" s="40"/>
      <c r="I730" s="40"/>
      <c r="J730" s="81"/>
      <c r="K730" s="40"/>
      <c r="L730" s="40"/>
      <c r="M730" s="81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3.5" customHeight="1">
      <c r="A731" s="40"/>
      <c r="B731" s="40"/>
      <c r="C731" s="40"/>
      <c r="D731" s="81"/>
      <c r="E731" s="40"/>
      <c r="F731" s="40"/>
      <c r="G731" s="81"/>
      <c r="H731" s="40"/>
      <c r="I731" s="40"/>
      <c r="J731" s="81"/>
      <c r="K731" s="40"/>
      <c r="L731" s="40"/>
      <c r="M731" s="81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3.5" customHeight="1">
      <c r="A732" s="40"/>
      <c r="B732" s="40"/>
      <c r="C732" s="40"/>
      <c r="D732" s="81"/>
      <c r="E732" s="40"/>
      <c r="F732" s="40"/>
      <c r="G732" s="81"/>
      <c r="H732" s="40"/>
      <c r="I732" s="40"/>
      <c r="J732" s="81"/>
      <c r="K732" s="40"/>
      <c r="L732" s="40"/>
      <c r="M732" s="81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3.5" customHeight="1">
      <c r="A733" s="40"/>
      <c r="B733" s="40"/>
      <c r="C733" s="40"/>
      <c r="D733" s="81"/>
      <c r="E733" s="40"/>
      <c r="F733" s="40"/>
      <c r="G733" s="81"/>
      <c r="H733" s="40"/>
      <c r="I733" s="40"/>
      <c r="J733" s="81"/>
      <c r="K733" s="40"/>
      <c r="L733" s="40"/>
      <c r="M733" s="81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3.5" customHeight="1">
      <c r="A734" s="40"/>
      <c r="B734" s="40"/>
      <c r="C734" s="40"/>
      <c r="D734" s="81"/>
      <c r="E734" s="40"/>
      <c r="F734" s="40"/>
      <c r="G734" s="81"/>
      <c r="H734" s="40"/>
      <c r="I734" s="40"/>
      <c r="J734" s="81"/>
      <c r="K734" s="40"/>
      <c r="L734" s="40"/>
      <c r="M734" s="81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3.5" customHeight="1">
      <c r="A735" s="40"/>
      <c r="B735" s="40"/>
      <c r="C735" s="40"/>
      <c r="D735" s="81"/>
      <c r="E735" s="40"/>
      <c r="F735" s="40"/>
      <c r="G735" s="81"/>
      <c r="H735" s="40"/>
      <c r="I735" s="40"/>
      <c r="J735" s="81"/>
      <c r="K735" s="40"/>
      <c r="L735" s="40"/>
      <c r="M735" s="81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3.5" customHeight="1">
      <c r="A736" s="40"/>
      <c r="B736" s="40"/>
      <c r="C736" s="40"/>
      <c r="D736" s="81"/>
      <c r="E736" s="40"/>
      <c r="F736" s="40"/>
      <c r="G736" s="81"/>
      <c r="H736" s="40"/>
      <c r="I736" s="40"/>
      <c r="J736" s="81"/>
      <c r="K736" s="40"/>
      <c r="L736" s="40"/>
      <c r="M736" s="81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3.5" customHeight="1">
      <c r="A737" s="40"/>
      <c r="B737" s="40"/>
      <c r="C737" s="40"/>
      <c r="D737" s="81"/>
      <c r="E737" s="40"/>
      <c r="F737" s="40"/>
      <c r="G737" s="81"/>
      <c r="H737" s="40"/>
      <c r="I737" s="40"/>
      <c r="J737" s="81"/>
      <c r="K737" s="40"/>
      <c r="L737" s="40"/>
      <c r="M737" s="81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3.5" customHeight="1">
      <c r="A738" s="40"/>
      <c r="B738" s="40"/>
      <c r="C738" s="40"/>
      <c r="D738" s="81"/>
      <c r="E738" s="40"/>
      <c r="F738" s="40"/>
      <c r="G738" s="81"/>
      <c r="H738" s="40"/>
      <c r="I738" s="40"/>
      <c r="J738" s="81"/>
      <c r="K738" s="40"/>
      <c r="L738" s="40"/>
      <c r="M738" s="81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3.5" customHeight="1">
      <c r="A739" s="40"/>
      <c r="B739" s="40"/>
      <c r="C739" s="40"/>
      <c r="D739" s="81"/>
      <c r="E739" s="40"/>
      <c r="F739" s="40"/>
      <c r="G739" s="81"/>
      <c r="H739" s="40"/>
      <c r="I739" s="40"/>
      <c r="J739" s="81"/>
      <c r="K739" s="40"/>
      <c r="L739" s="40"/>
      <c r="M739" s="81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3.5" customHeight="1">
      <c r="A740" s="40"/>
      <c r="B740" s="40"/>
      <c r="C740" s="40"/>
      <c r="D740" s="81"/>
      <c r="E740" s="40"/>
      <c r="F740" s="40"/>
      <c r="G740" s="81"/>
      <c r="H740" s="40"/>
      <c r="I740" s="40"/>
      <c r="J740" s="81"/>
      <c r="K740" s="40"/>
      <c r="L740" s="40"/>
      <c r="M740" s="81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3.5" customHeight="1">
      <c r="A741" s="40"/>
      <c r="B741" s="40"/>
      <c r="C741" s="40"/>
      <c r="D741" s="81"/>
      <c r="E741" s="40"/>
      <c r="F741" s="40"/>
      <c r="G741" s="81"/>
      <c r="H741" s="40"/>
      <c r="I741" s="40"/>
      <c r="J741" s="81"/>
      <c r="K741" s="40"/>
      <c r="L741" s="40"/>
      <c r="M741" s="81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3.5" customHeight="1">
      <c r="A742" s="40"/>
      <c r="B742" s="40"/>
      <c r="C742" s="40"/>
      <c r="D742" s="81"/>
      <c r="E742" s="40"/>
      <c r="F742" s="40"/>
      <c r="G742" s="81"/>
      <c r="H742" s="40"/>
      <c r="I742" s="40"/>
      <c r="J742" s="81"/>
      <c r="K742" s="40"/>
      <c r="L742" s="40"/>
      <c r="M742" s="81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3.5" customHeight="1">
      <c r="A743" s="40"/>
      <c r="B743" s="40"/>
      <c r="C743" s="40"/>
      <c r="D743" s="81"/>
      <c r="E743" s="40"/>
      <c r="F743" s="40"/>
      <c r="G743" s="81"/>
      <c r="H743" s="40"/>
      <c r="I743" s="40"/>
      <c r="J743" s="81"/>
      <c r="K743" s="40"/>
      <c r="L743" s="40"/>
      <c r="M743" s="81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3.5" customHeight="1">
      <c r="A744" s="40"/>
      <c r="B744" s="40"/>
      <c r="C744" s="40"/>
      <c r="D744" s="81"/>
      <c r="E744" s="40"/>
      <c r="F744" s="40"/>
      <c r="G744" s="81"/>
      <c r="H744" s="40"/>
      <c r="I744" s="40"/>
      <c r="J744" s="81"/>
      <c r="K744" s="40"/>
      <c r="L744" s="40"/>
      <c r="M744" s="81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3.5" customHeight="1">
      <c r="A745" s="40"/>
      <c r="B745" s="40"/>
      <c r="C745" s="40"/>
      <c r="D745" s="81"/>
      <c r="E745" s="40"/>
      <c r="F745" s="40"/>
      <c r="G745" s="81"/>
      <c r="H745" s="40"/>
      <c r="I745" s="40"/>
      <c r="J745" s="81"/>
      <c r="K745" s="40"/>
      <c r="L745" s="40"/>
      <c r="M745" s="81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3.5" customHeight="1">
      <c r="A746" s="40"/>
      <c r="B746" s="40"/>
      <c r="C746" s="40"/>
      <c r="D746" s="81"/>
      <c r="E746" s="40"/>
      <c r="F746" s="40"/>
      <c r="G746" s="81"/>
      <c r="H746" s="40"/>
      <c r="I746" s="40"/>
      <c r="J746" s="81"/>
      <c r="K746" s="40"/>
      <c r="L746" s="40"/>
      <c r="M746" s="81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3.5" customHeight="1">
      <c r="A747" s="40"/>
      <c r="B747" s="40"/>
      <c r="C747" s="40"/>
      <c r="D747" s="81"/>
      <c r="E747" s="40"/>
      <c r="F747" s="40"/>
      <c r="G747" s="81"/>
      <c r="H747" s="40"/>
      <c r="I747" s="40"/>
      <c r="J747" s="81"/>
      <c r="K747" s="40"/>
      <c r="L747" s="40"/>
      <c r="M747" s="81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3.5" customHeight="1">
      <c r="A748" s="40"/>
      <c r="B748" s="40"/>
      <c r="C748" s="40"/>
      <c r="D748" s="81"/>
      <c r="E748" s="40"/>
      <c r="F748" s="40"/>
      <c r="G748" s="81"/>
      <c r="H748" s="40"/>
      <c r="I748" s="40"/>
      <c r="J748" s="81"/>
      <c r="K748" s="40"/>
      <c r="L748" s="40"/>
      <c r="M748" s="81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3.5" customHeight="1">
      <c r="A749" s="40"/>
      <c r="B749" s="40"/>
      <c r="C749" s="40"/>
      <c r="D749" s="81"/>
      <c r="E749" s="40"/>
      <c r="F749" s="40"/>
      <c r="G749" s="81"/>
      <c r="H749" s="40"/>
      <c r="I749" s="40"/>
      <c r="J749" s="81"/>
      <c r="K749" s="40"/>
      <c r="L749" s="40"/>
      <c r="M749" s="81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3.5" customHeight="1">
      <c r="A750" s="40"/>
      <c r="B750" s="40"/>
      <c r="C750" s="40"/>
      <c r="D750" s="81"/>
      <c r="E750" s="40"/>
      <c r="F750" s="40"/>
      <c r="G750" s="81"/>
      <c r="H750" s="40"/>
      <c r="I750" s="40"/>
      <c r="J750" s="81"/>
      <c r="K750" s="40"/>
      <c r="L750" s="40"/>
      <c r="M750" s="81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3.5" customHeight="1">
      <c r="A751" s="40"/>
      <c r="B751" s="40"/>
      <c r="C751" s="40"/>
      <c r="D751" s="81"/>
      <c r="E751" s="40"/>
      <c r="F751" s="40"/>
      <c r="G751" s="81"/>
      <c r="H751" s="40"/>
      <c r="I751" s="40"/>
      <c r="J751" s="81"/>
      <c r="K751" s="40"/>
      <c r="L751" s="40"/>
      <c r="M751" s="81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3.5" customHeight="1">
      <c r="A752" s="40"/>
      <c r="B752" s="40"/>
      <c r="C752" s="40"/>
      <c r="D752" s="81"/>
      <c r="E752" s="40"/>
      <c r="F752" s="40"/>
      <c r="G752" s="81"/>
      <c r="H752" s="40"/>
      <c r="I752" s="40"/>
      <c r="J752" s="81"/>
      <c r="K752" s="40"/>
      <c r="L752" s="40"/>
      <c r="M752" s="81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3.5" customHeight="1">
      <c r="A753" s="40"/>
      <c r="B753" s="40"/>
      <c r="C753" s="40"/>
      <c r="D753" s="81"/>
      <c r="E753" s="40"/>
      <c r="F753" s="40"/>
      <c r="G753" s="81"/>
      <c r="H753" s="40"/>
      <c r="I753" s="40"/>
      <c r="J753" s="81"/>
      <c r="K753" s="40"/>
      <c r="L753" s="40"/>
      <c r="M753" s="81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3.5" customHeight="1">
      <c r="A754" s="40"/>
      <c r="B754" s="40"/>
      <c r="C754" s="40"/>
      <c r="D754" s="81"/>
      <c r="E754" s="40"/>
      <c r="F754" s="40"/>
      <c r="G754" s="81"/>
      <c r="H754" s="40"/>
      <c r="I754" s="40"/>
      <c r="J754" s="81"/>
      <c r="K754" s="40"/>
      <c r="L754" s="40"/>
      <c r="M754" s="81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3.5" customHeight="1">
      <c r="A755" s="40"/>
      <c r="B755" s="40"/>
      <c r="C755" s="40"/>
      <c r="D755" s="81"/>
      <c r="E755" s="40"/>
      <c r="F755" s="40"/>
      <c r="G755" s="81"/>
      <c r="H755" s="40"/>
      <c r="I755" s="40"/>
      <c r="J755" s="81"/>
      <c r="K755" s="40"/>
      <c r="L755" s="40"/>
      <c r="M755" s="81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3.5" customHeight="1">
      <c r="A756" s="40"/>
      <c r="B756" s="40"/>
      <c r="C756" s="40"/>
      <c r="D756" s="81"/>
      <c r="E756" s="40"/>
      <c r="F756" s="40"/>
      <c r="G756" s="81"/>
      <c r="H756" s="40"/>
      <c r="I756" s="40"/>
      <c r="J756" s="81"/>
      <c r="K756" s="40"/>
      <c r="L756" s="40"/>
      <c r="M756" s="81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3.5" customHeight="1">
      <c r="A757" s="40"/>
      <c r="B757" s="40"/>
      <c r="C757" s="40"/>
      <c r="D757" s="81"/>
      <c r="E757" s="40"/>
      <c r="F757" s="40"/>
      <c r="G757" s="81"/>
      <c r="H757" s="40"/>
      <c r="I757" s="40"/>
      <c r="J757" s="81"/>
      <c r="K757" s="40"/>
      <c r="L757" s="40"/>
      <c r="M757" s="81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3.5" customHeight="1">
      <c r="A758" s="40"/>
      <c r="B758" s="40"/>
      <c r="C758" s="40"/>
      <c r="D758" s="81"/>
      <c r="E758" s="40"/>
      <c r="F758" s="40"/>
      <c r="G758" s="81"/>
      <c r="H758" s="40"/>
      <c r="I758" s="40"/>
      <c r="J758" s="81"/>
      <c r="K758" s="40"/>
      <c r="L758" s="40"/>
      <c r="M758" s="81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3.5" customHeight="1">
      <c r="A759" s="40"/>
      <c r="B759" s="40"/>
      <c r="C759" s="40"/>
      <c r="D759" s="81"/>
      <c r="E759" s="40"/>
      <c r="F759" s="40"/>
      <c r="G759" s="81"/>
      <c r="H759" s="40"/>
      <c r="I759" s="40"/>
      <c r="J759" s="81"/>
      <c r="K759" s="40"/>
      <c r="L759" s="40"/>
      <c r="M759" s="81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3.5" customHeight="1">
      <c r="A760" s="40"/>
      <c r="B760" s="40"/>
      <c r="C760" s="40"/>
      <c r="D760" s="81"/>
      <c r="E760" s="40"/>
      <c r="F760" s="40"/>
      <c r="G760" s="81"/>
      <c r="H760" s="40"/>
      <c r="I760" s="40"/>
      <c r="J760" s="81"/>
      <c r="K760" s="40"/>
      <c r="L760" s="40"/>
      <c r="M760" s="81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3.5" customHeight="1">
      <c r="A761" s="40"/>
      <c r="B761" s="40"/>
      <c r="C761" s="40"/>
      <c r="D761" s="81"/>
      <c r="E761" s="40"/>
      <c r="F761" s="40"/>
      <c r="G761" s="81"/>
      <c r="H761" s="40"/>
      <c r="I761" s="40"/>
      <c r="J761" s="81"/>
      <c r="K761" s="40"/>
      <c r="L761" s="40"/>
      <c r="M761" s="81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3.5" customHeight="1">
      <c r="A762" s="40"/>
      <c r="B762" s="40"/>
      <c r="C762" s="40"/>
      <c r="D762" s="81"/>
      <c r="E762" s="40"/>
      <c r="F762" s="40"/>
      <c r="G762" s="81"/>
      <c r="H762" s="40"/>
      <c r="I762" s="40"/>
      <c r="J762" s="81"/>
      <c r="K762" s="40"/>
      <c r="L762" s="40"/>
      <c r="M762" s="81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3.5" customHeight="1">
      <c r="A763" s="40"/>
      <c r="B763" s="40"/>
      <c r="C763" s="40"/>
      <c r="D763" s="81"/>
      <c r="E763" s="40"/>
      <c r="F763" s="40"/>
      <c r="G763" s="81"/>
      <c r="H763" s="40"/>
      <c r="I763" s="40"/>
      <c r="J763" s="81"/>
      <c r="K763" s="40"/>
      <c r="L763" s="40"/>
      <c r="M763" s="81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3.5" customHeight="1">
      <c r="A764" s="40"/>
      <c r="B764" s="40"/>
      <c r="C764" s="40"/>
      <c r="D764" s="81"/>
      <c r="E764" s="40"/>
      <c r="F764" s="40"/>
      <c r="G764" s="81"/>
      <c r="H764" s="40"/>
      <c r="I764" s="40"/>
      <c r="J764" s="81"/>
      <c r="K764" s="40"/>
      <c r="L764" s="40"/>
      <c r="M764" s="81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3.5" customHeight="1">
      <c r="A765" s="40"/>
      <c r="B765" s="40"/>
      <c r="C765" s="40"/>
      <c r="D765" s="81"/>
      <c r="E765" s="40"/>
      <c r="F765" s="40"/>
      <c r="G765" s="81"/>
      <c r="H765" s="40"/>
      <c r="I765" s="40"/>
      <c r="J765" s="81"/>
      <c r="K765" s="40"/>
      <c r="L765" s="40"/>
      <c r="M765" s="81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3.5" customHeight="1">
      <c r="A766" s="40"/>
      <c r="B766" s="40"/>
      <c r="C766" s="40"/>
      <c r="D766" s="81"/>
      <c r="E766" s="40"/>
      <c r="F766" s="40"/>
      <c r="G766" s="81"/>
      <c r="H766" s="40"/>
      <c r="I766" s="40"/>
      <c r="J766" s="81"/>
      <c r="K766" s="40"/>
      <c r="L766" s="40"/>
      <c r="M766" s="81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3.5" customHeight="1">
      <c r="A767" s="40"/>
      <c r="B767" s="40"/>
      <c r="C767" s="40"/>
      <c r="D767" s="81"/>
      <c r="E767" s="40"/>
      <c r="F767" s="40"/>
      <c r="G767" s="81"/>
      <c r="H767" s="40"/>
      <c r="I767" s="40"/>
      <c r="J767" s="81"/>
      <c r="K767" s="40"/>
      <c r="L767" s="40"/>
      <c r="M767" s="81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3.5" customHeight="1">
      <c r="A768" s="40"/>
      <c r="B768" s="40"/>
      <c r="C768" s="40"/>
      <c r="D768" s="81"/>
      <c r="E768" s="40"/>
      <c r="F768" s="40"/>
      <c r="G768" s="81"/>
      <c r="H768" s="40"/>
      <c r="I768" s="40"/>
      <c r="J768" s="81"/>
      <c r="K768" s="40"/>
      <c r="L768" s="40"/>
      <c r="M768" s="81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3.5" customHeight="1">
      <c r="A769" s="40"/>
      <c r="B769" s="40"/>
      <c r="C769" s="40"/>
      <c r="D769" s="81"/>
      <c r="E769" s="40"/>
      <c r="F769" s="40"/>
      <c r="G769" s="81"/>
      <c r="H769" s="40"/>
      <c r="I769" s="40"/>
      <c r="J769" s="81"/>
      <c r="K769" s="40"/>
      <c r="L769" s="40"/>
      <c r="M769" s="81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3.5" customHeight="1">
      <c r="A770" s="40"/>
      <c r="B770" s="40"/>
      <c r="C770" s="40"/>
      <c r="D770" s="81"/>
      <c r="E770" s="40"/>
      <c r="F770" s="40"/>
      <c r="G770" s="81"/>
      <c r="H770" s="40"/>
      <c r="I770" s="40"/>
      <c r="J770" s="81"/>
      <c r="K770" s="40"/>
      <c r="L770" s="40"/>
      <c r="M770" s="81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3.5" customHeight="1">
      <c r="A771" s="40"/>
      <c r="B771" s="40"/>
      <c r="C771" s="40"/>
      <c r="D771" s="81"/>
      <c r="E771" s="40"/>
      <c r="F771" s="40"/>
      <c r="G771" s="81"/>
      <c r="H771" s="40"/>
      <c r="I771" s="40"/>
      <c r="J771" s="81"/>
      <c r="K771" s="40"/>
      <c r="L771" s="40"/>
      <c r="M771" s="81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3.5" customHeight="1">
      <c r="A772" s="40"/>
      <c r="B772" s="40"/>
      <c r="C772" s="40"/>
      <c r="D772" s="81"/>
      <c r="E772" s="40"/>
      <c r="F772" s="40"/>
      <c r="G772" s="81"/>
      <c r="H772" s="40"/>
      <c r="I772" s="40"/>
      <c r="J772" s="81"/>
      <c r="K772" s="40"/>
      <c r="L772" s="40"/>
      <c r="M772" s="81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3.5" customHeight="1">
      <c r="A773" s="40"/>
      <c r="B773" s="40"/>
      <c r="C773" s="40"/>
      <c r="D773" s="81"/>
      <c r="E773" s="40"/>
      <c r="F773" s="40"/>
      <c r="G773" s="81"/>
      <c r="H773" s="40"/>
      <c r="I773" s="40"/>
      <c r="J773" s="81"/>
      <c r="K773" s="40"/>
      <c r="L773" s="40"/>
      <c r="M773" s="81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3.5" customHeight="1">
      <c r="A774" s="40"/>
      <c r="B774" s="40"/>
      <c r="C774" s="40"/>
      <c r="D774" s="81"/>
      <c r="E774" s="40"/>
      <c r="F774" s="40"/>
      <c r="G774" s="81"/>
      <c r="H774" s="40"/>
      <c r="I774" s="40"/>
      <c r="J774" s="81"/>
      <c r="K774" s="40"/>
      <c r="L774" s="40"/>
      <c r="M774" s="81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3.5" customHeight="1">
      <c r="A775" s="40"/>
      <c r="B775" s="40"/>
      <c r="C775" s="40"/>
      <c r="D775" s="81"/>
      <c r="E775" s="40"/>
      <c r="F775" s="40"/>
      <c r="G775" s="81"/>
      <c r="H775" s="40"/>
      <c r="I775" s="40"/>
      <c r="J775" s="81"/>
      <c r="K775" s="40"/>
      <c r="L775" s="40"/>
      <c r="M775" s="81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3.5" customHeight="1">
      <c r="A776" s="40"/>
      <c r="B776" s="40"/>
      <c r="C776" s="40"/>
      <c r="D776" s="81"/>
      <c r="E776" s="40"/>
      <c r="F776" s="40"/>
      <c r="G776" s="81"/>
      <c r="H776" s="40"/>
      <c r="I776" s="40"/>
      <c r="J776" s="81"/>
      <c r="K776" s="40"/>
      <c r="L776" s="40"/>
      <c r="M776" s="81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3.5" customHeight="1">
      <c r="A777" s="40"/>
      <c r="B777" s="40"/>
      <c r="C777" s="40"/>
      <c r="D777" s="81"/>
      <c r="E777" s="40"/>
      <c r="F777" s="40"/>
      <c r="G777" s="81"/>
      <c r="H777" s="40"/>
      <c r="I777" s="40"/>
      <c r="J777" s="81"/>
      <c r="K777" s="40"/>
      <c r="L777" s="40"/>
      <c r="M777" s="81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3.5" customHeight="1">
      <c r="A778" s="40"/>
      <c r="B778" s="40"/>
      <c r="C778" s="40"/>
      <c r="D778" s="81"/>
      <c r="E778" s="40"/>
      <c r="F778" s="40"/>
      <c r="G778" s="81"/>
      <c r="H778" s="40"/>
      <c r="I778" s="40"/>
      <c r="J778" s="81"/>
      <c r="K778" s="40"/>
      <c r="L778" s="40"/>
      <c r="M778" s="81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3.5" customHeight="1">
      <c r="A779" s="40"/>
      <c r="B779" s="40"/>
      <c r="C779" s="40"/>
      <c r="D779" s="81"/>
      <c r="E779" s="40"/>
      <c r="F779" s="40"/>
      <c r="G779" s="81"/>
      <c r="H779" s="40"/>
      <c r="I779" s="40"/>
      <c r="J779" s="81"/>
      <c r="K779" s="40"/>
      <c r="L779" s="40"/>
      <c r="M779" s="81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3.5" customHeight="1">
      <c r="A780" s="40"/>
      <c r="B780" s="40"/>
      <c r="C780" s="40"/>
      <c r="D780" s="81"/>
      <c r="E780" s="40"/>
      <c r="F780" s="40"/>
      <c r="G780" s="81"/>
      <c r="H780" s="40"/>
      <c r="I780" s="40"/>
      <c r="J780" s="81"/>
      <c r="K780" s="40"/>
      <c r="L780" s="40"/>
      <c r="M780" s="81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3.5" customHeight="1">
      <c r="A781" s="40"/>
      <c r="B781" s="40"/>
      <c r="C781" s="40"/>
      <c r="D781" s="81"/>
      <c r="E781" s="40"/>
      <c r="F781" s="40"/>
      <c r="G781" s="81"/>
      <c r="H781" s="40"/>
      <c r="I781" s="40"/>
      <c r="J781" s="81"/>
      <c r="K781" s="40"/>
      <c r="L781" s="40"/>
      <c r="M781" s="81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3.5" customHeight="1">
      <c r="A782" s="40"/>
      <c r="B782" s="40"/>
      <c r="C782" s="40"/>
      <c r="D782" s="81"/>
      <c r="E782" s="40"/>
      <c r="F782" s="40"/>
      <c r="G782" s="81"/>
      <c r="H782" s="40"/>
      <c r="I782" s="40"/>
      <c r="J782" s="81"/>
      <c r="K782" s="40"/>
      <c r="L782" s="40"/>
      <c r="M782" s="81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3.5" customHeight="1">
      <c r="A783" s="40"/>
      <c r="B783" s="40"/>
      <c r="C783" s="40"/>
      <c r="D783" s="81"/>
      <c r="E783" s="40"/>
      <c r="F783" s="40"/>
      <c r="G783" s="81"/>
      <c r="H783" s="40"/>
      <c r="I783" s="40"/>
      <c r="J783" s="81"/>
      <c r="K783" s="40"/>
      <c r="L783" s="40"/>
      <c r="M783" s="81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3.5" customHeight="1">
      <c r="A784" s="40"/>
      <c r="B784" s="40"/>
      <c r="C784" s="40"/>
      <c r="D784" s="81"/>
      <c r="E784" s="40"/>
      <c r="F784" s="40"/>
      <c r="G784" s="81"/>
      <c r="H784" s="40"/>
      <c r="I784" s="40"/>
      <c r="J784" s="81"/>
      <c r="K784" s="40"/>
      <c r="L784" s="40"/>
      <c r="M784" s="81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3.5" customHeight="1">
      <c r="A785" s="40"/>
      <c r="B785" s="40"/>
      <c r="C785" s="40"/>
      <c r="D785" s="81"/>
      <c r="E785" s="40"/>
      <c r="F785" s="40"/>
      <c r="G785" s="81"/>
      <c r="H785" s="40"/>
      <c r="I785" s="40"/>
      <c r="J785" s="81"/>
      <c r="K785" s="40"/>
      <c r="L785" s="40"/>
      <c r="M785" s="81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3.5" customHeight="1">
      <c r="A786" s="40"/>
      <c r="B786" s="40"/>
      <c r="C786" s="40"/>
      <c r="D786" s="81"/>
      <c r="E786" s="40"/>
      <c r="F786" s="40"/>
      <c r="G786" s="81"/>
      <c r="H786" s="40"/>
      <c r="I786" s="40"/>
      <c r="J786" s="81"/>
      <c r="K786" s="40"/>
      <c r="L786" s="40"/>
      <c r="M786" s="81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3.5" customHeight="1">
      <c r="A787" s="40"/>
      <c r="B787" s="40"/>
      <c r="C787" s="40"/>
      <c r="D787" s="81"/>
      <c r="E787" s="40"/>
      <c r="F787" s="40"/>
      <c r="G787" s="81"/>
      <c r="H787" s="40"/>
      <c r="I787" s="40"/>
      <c r="J787" s="81"/>
      <c r="K787" s="40"/>
      <c r="L787" s="40"/>
      <c r="M787" s="81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3.5" customHeight="1">
      <c r="A788" s="40"/>
      <c r="B788" s="40"/>
      <c r="C788" s="40"/>
      <c r="D788" s="81"/>
      <c r="E788" s="40"/>
      <c r="F788" s="40"/>
      <c r="G788" s="81"/>
      <c r="H788" s="40"/>
      <c r="I788" s="40"/>
      <c r="J788" s="81"/>
      <c r="K788" s="40"/>
      <c r="L788" s="40"/>
      <c r="M788" s="81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3.5" customHeight="1">
      <c r="A789" s="40"/>
      <c r="B789" s="40"/>
      <c r="C789" s="40"/>
      <c r="D789" s="81"/>
      <c r="E789" s="40"/>
      <c r="F789" s="40"/>
      <c r="G789" s="81"/>
      <c r="H789" s="40"/>
      <c r="I789" s="40"/>
      <c r="J789" s="81"/>
      <c r="K789" s="40"/>
      <c r="L789" s="40"/>
      <c r="M789" s="81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3.5" customHeight="1">
      <c r="A790" s="40"/>
      <c r="B790" s="40"/>
      <c r="C790" s="40"/>
      <c r="D790" s="81"/>
      <c r="E790" s="40"/>
      <c r="F790" s="40"/>
      <c r="G790" s="81"/>
      <c r="H790" s="40"/>
      <c r="I790" s="40"/>
      <c r="J790" s="81"/>
      <c r="K790" s="40"/>
      <c r="L790" s="40"/>
      <c r="M790" s="81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3.5" customHeight="1">
      <c r="A791" s="40"/>
      <c r="B791" s="40"/>
      <c r="C791" s="40"/>
      <c r="D791" s="81"/>
      <c r="E791" s="40"/>
      <c r="F791" s="40"/>
      <c r="G791" s="81"/>
      <c r="H791" s="40"/>
      <c r="I791" s="40"/>
      <c r="J791" s="81"/>
      <c r="K791" s="40"/>
      <c r="L791" s="40"/>
      <c r="M791" s="81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3.5" customHeight="1">
      <c r="A792" s="40"/>
      <c r="B792" s="40"/>
      <c r="C792" s="40"/>
      <c r="D792" s="81"/>
      <c r="E792" s="40"/>
      <c r="F792" s="40"/>
      <c r="G792" s="81"/>
      <c r="H792" s="40"/>
      <c r="I792" s="40"/>
      <c r="J792" s="81"/>
      <c r="K792" s="40"/>
      <c r="L792" s="40"/>
      <c r="M792" s="81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3.5" customHeight="1">
      <c r="A793" s="40"/>
      <c r="B793" s="40"/>
      <c r="C793" s="40"/>
      <c r="D793" s="81"/>
      <c r="E793" s="40"/>
      <c r="F793" s="40"/>
      <c r="G793" s="81"/>
      <c r="H793" s="40"/>
      <c r="I793" s="40"/>
      <c r="J793" s="81"/>
      <c r="K793" s="40"/>
      <c r="L793" s="40"/>
      <c r="M793" s="81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3.5" customHeight="1">
      <c r="A794" s="40"/>
      <c r="B794" s="40"/>
      <c r="C794" s="40"/>
      <c r="D794" s="81"/>
      <c r="E794" s="40"/>
      <c r="F794" s="40"/>
      <c r="G794" s="81"/>
      <c r="H794" s="40"/>
      <c r="I794" s="40"/>
      <c r="J794" s="81"/>
      <c r="K794" s="40"/>
      <c r="L794" s="40"/>
      <c r="M794" s="81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3.5" customHeight="1">
      <c r="A795" s="40"/>
      <c r="B795" s="40"/>
      <c r="C795" s="40"/>
      <c r="D795" s="81"/>
      <c r="E795" s="40"/>
      <c r="F795" s="40"/>
      <c r="G795" s="81"/>
      <c r="H795" s="40"/>
      <c r="I795" s="40"/>
      <c r="J795" s="81"/>
      <c r="K795" s="40"/>
      <c r="L795" s="40"/>
      <c r="M795" s="81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3.5" customHeight="1">
      <c r="A796" s="40"/>
      <c r="B796" s="40"/>
      <c r="C796" s="40"/>
      <c r="D796" s="81"/>
      <c r="E796" s="40"/>
      <c r="F796" s="40"/>
      <c r="G796" s="81"/>
      <c r="H796" s="40"/>
      <c r="I796" s="40"/>
      <c r="J796" s="81"/>
      <c r="K796" s="40"/>
      <c r="L796" s="40"/>
      <c r="M796" s="81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3.5" customHeight="1">
      <c r="A797" s="40"/>
      <c r="B797" s="40"/>
      <c r="C797" s="40"/>
      <c r="D797" s="81"/>
      <c r="E797" s="40"/>
      <c r="F797" s="40"/>
      <c r="G797" s="81"/>
      <c r="H797" s="40"/>
      <c r="I797" s="40"/>
      <c r="J797" s="81"/>
      <c r="K797" s="40"/>
      <c r="L797" s="40"/>
      <c r="M797" s="81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3.5" customHeight="1">
      <c r="A798" s="40"/>
      <c r="B798" s="40"/>
      <c r="C798" s="40"/>
      <c r="D798" s="81"/>
      <c r="E798" s="40"/>
      <c r="F798" s="40"/>
      <c r="G798" s="81"/>
      <c r="H798" s="40"/>
      <c r="I798" s="40"/>
      <c r="J798" s="81"/>
      <c r="K798" s="40"/>
      <c r="L798" s="40"/>
      <c r="M798" s="81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3.5" customHeight="1">
      <c r="A799" s="40"/>
      <c r="B799" s="40"/>
      <c r="C799" s="40"/>
      <c r="D799" s="81"/>
      <c r="E799" s="40"/>
      <c r="F799" s="40"/>
      <c r="G799" s="81"/>
      <c r="H799" s="40"/>
      <c r="I799" s="40"/>
      <c r="J799" s="81"/>
      <c r="K799" s="40"/>
      <c r="L799" s="40"/>
      <c r="M799" s="81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3.5" customHeight="1">
      <c r="A800" s="40"/>
      <c r="B800" s="40"/>
      <c r="C800" s="40"/>
      <c r="D800" s="81"/>
      <c r="E800" s="40"/>
      <c r="F800" s="40"/>
      <c r="G800" s="81"/>
      <c r="H800" s="40"/>
      <c r="I800" s="40"/>
      <c r="J800" s="81"/>
      <c r="K800" s="40"/>
      <c r="L800" s="40"/>
      <c r="M800" s="81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3.5" customHeight="1">
      <c r="A801" s="40"/>
      <c r="B801" s="40"/>
      <c r="C801" s="40"/>
      <c r="D801" s="81"/>
      <c r="E801" s="40"/>
      <c r="F801" s="40"/>
      <c r="G801" s="81"/>
      <c r="H801" s="40"/>
      <c r="I801" s="40"/>
      <c r="J801" s="81"/>
      <c r="K801" s="40"/>
      <c r="L801" s="40"/>
      <c r="M801" s="81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3.5" customHeight="1">
      <c r="A802" s="40"/>
      <c r="B802" s="40"/>
      <c r="C802" s="40"/>
      <c r="D802" s="81"/>
      <c r="E802" s="40"/>
      <c r="F802" s="40"/>
      <c r="G802" s="81"/>
      <c r="H802" s="40"/>
      <c r="I802" s="40"/>
      <c r="J802" s="81"/>
      <c r="K802" s="40"/>
      <c r="L802" s="40"/>
      <c r="M802" s="81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3.5" customHeight="1">
      <c r="A803" s="40"/>
      <c r="B803" s="40"/>
      <c r="C803" s="40"/>
      <c r="D803" s="81"/>
      <c r="E803" s="40"/>
      <c r="F803" s="40"/>
      <c r="G803" s="81"/>
      <c r="H803" s="40"/>
      <c r="I803" s="40"/>
      <c r="J803" s="81"/>
      <c r="K803" s="40"/>
      <c r="L803" s="40"/>
      <c r="M803" s="81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3.5" customHeight="1">
      <c r="A804" s="40"/>
      <c r="B804" s="40"/>
      <c r="C804" s="40"/>
      <c r="D804" s="81"/>
      <c r="E804" s="40"/>
      <c r="F804" s="40"/>
      <c r="G804" s="81"/>
      <c r="H804" s="40"/>
      <c r="I804" s="40"/>
      <c r="J804" s="81"/>
      <c r="K804" s="40"/>
      <c r="L804" s="40"/>
      <c r="M804" s="81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3.5" customHeight="1">
      <c r="A805" s="40"/>
      <c r="B805" s="40"/>
      <c r="C805" s="40"/>
      <c r="D805" s="81"/>
      <c r="E805" s="40"/>
      <c r="F805" s="40"/>
      <c r="G805" s="81"/>
      <c r="H805" s="40"/>
      <c r="I805" s="40"/>
      <c r="J805" s="81"/>
      <c r="K805" s="40"/>
      <c r="L805" s="40"/>
      <c r="M805" s="81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3.5" customHeight="1">
      <c r="A806" s="40"/>
      <c r="B806" s="40"/>
      <c r="C806" s="40"/>
      <c r="D806" s="81"/>
      <c r="E806" s="40"/>
      <c r="F806" s="40"/>
      <c r="G806" s="81"/>
      <c r="H806" s="40"/>
      <c r="I806" s="40"/>
      <c r="J806" s="81"/>
      <c r="K806" s="40"/>
      <c r="L806" s="40"/>
      <c r="M806" s="81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3.5" customHeight="1">
      <c r="A807" s="40"/>
      <c r="B807" s="40"/>
      <c r="C807" s="40"/>
      <c r="D807" s="81"/>
      <c r="E807" s="40"/>
      <c r="F807" s="40"/>
      <c r="G807" s="81"/>
      <c r="H807" s="40"/>
      <c r="I807" s="40"/>
      <c r="J807" s="81"/>
      <c r="K807" s="40"/>
      <c r="L807" s="40"/>
      <c r="M807" s="81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3.5" customHeight="1">
      <c r="A808" s="40"/>
      <c r="B808" s="40"/>
      <c r="C808" s="40"/>
      <c r="D808" s="81"/>
      <c r="E808" s="40"/>
      <c r="F808" s="40"/>
      <c r="G808" s="81"/>
      <c r="H808" s="40"/>
      <c r="I808" s="40"/>
      <c r="J808" s="81"/>
      <c r="K808" s="40"/>
      <c r="L808" s="40"/>
      <c r="M808" s="81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3.5" customHeight="1">
      <c r="A809" s="40"/>
      <c r="B809" s="40"/>
      <c r="C809" s="40"/>
      <c r="D809" s="81"/>
      <c r="E809" s="40"/>
      <c r="F809" s="40"/>
      <c r="G809" s="81"/>
      <c r="H809" s="40"/>
      <c r="I809" s="40"/>
      <c r="J809" s="81"/>
      <c r="K809" s="40"/>
      <c r="L809" s="40"/>
      <c r="M809" s="81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3.5" customHeight="1">
      <c r="A810" s="40"/>
      <c r="B810" s="40"/>
      <c r="C810" s="40"/>
      <c r="D810" s="81"/>
      <c r="E810" s="40"/>
      <c r="F810" s="40"/>
      <c r="G810" s="81"/>
      <c r="H810" s="40"/>
      <c r="I810" s="40"/>
      <c r="J810" s="81"/>
      <c r="K810" s="40"/>
      <c r="L810" s="40"/>
      <c r="M810" s="81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3.5" customHeight="1">
      <c r="A811" s="40"/>
      <c r="B811" s="40"/>
      <c r="C811" s="40"/>
      <c r="D811" s="81"/>
      <c r="E811" s="40"/>
      <c r="F811" s="40"/>
      <c r="G811" s="81"/>
      <c r="H811" s="40"/>
      <c r="I811" s="40"/>
      <c r="J811" s="81"/>
      <c r="K811" s="40"/>
      <c r="L811" s="40"/>
      <c r="M811" s="81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3.5" customHeight="1">
      <c r="A812" s="40"/>
      <c r="B812" s="40"/>
      <c r="C812" s="40"/>
      <c r="D812" s="81"/>
      <c r="E812" s="40"/>
      <c r="F812" s="40"/>
      <c r="G812" s="81"/>
      <c r="H812" s="40"/>
      <c r="I812" s="40"/>
      <c r="J812" s="81"/>
      <c r="K812" s="40"/>
      <c r="L812" s="40"/>
      <c r="M812" s="81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3.5" customHeight="1">
      <c r="A813" s="40"/>
      <c r="B813" s="40"/>
      <c r="C813" s="40"/>
      <c r="D813" s="81"/>
      <c r="E813" s="40"/>
      <c r="F813" s="40"/>
      <c r="G813" s="81"/>
      <c r="H813" s="40"/>
      <c r="I813" s="40"/>
      <c r="J813" s="81"/>
      <c r="K813" s="40"/>
      <c r="L813" s="40"/>
      <c r="M813" s="81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3.5" customHeight="1">
      <c r="A814" s="40"/>
      <c r="B814" s="40"/>
      <c r="C814" s="40"/>
      <c r="D814" s="81"/>
      <c r="E814" s="40"/>
      <c r="F814" s="40"/>
      <c r="G814" s="81"/>
      <c r="H814" s="40"/>
      <c r="I814" s="40"/>
      <c r="J814" s="81"/>
      <c r="K814" s="40"/>
      <c r="L814" s="40"/>
      <c r="M814" s="81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3.5" customHeight="1">
      <c r="A815" s="40"/>
      <c r="B815" s="40"/>
      <c r="C815" s="40"/>
      <c r="D815" s="81"/>
      <c r="E815" s="40"/>
      <c r="F815" s="40"/>
      <c r="G815" s="81"/>
      <c r="H815" s="40"/>
      <c r="I815" s="40"/>
      <c r="J815" s="81"/>
      <c r="K815" s="40"/>
      <c r="L815" s="40"/>
      <c r="M815" s="81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3.5" customHeight="1">
      <c r="A816" s="40"/>
      <c r="B816" s="40"/>
      <c r="C816" s="40"/>
      <c r="D816" s="81"/>
      <c r="E816" s="40"/>
      <c r="F816" s="40"/>
      <c r="G816" s="81"/>
      <c r="H816" s="40"/>
      <c r="I816" s="40"/>
      <c r="J816" s="81"/>
      <c r="K816" s="40"/>
      <c r="L816" s="40"/>
      <c r="M816" s="81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3.5" customHeight="1">
      <c r="A817" s="40"/>
      <c r="B817" s="40"/>
      <c r="C817" s="40"/>
      <c r="D817" s="81"/>
      <c r="E817" s="40"/>
      <c r="F817" s="40"/>
      <c r="G817" s="81"/>
      <c r="H817" s="40"/>
      <c r="I817" s="40"/>
      <c r="J817" s="81"/>
      <c r="K817" s="40"/>
      <c r="L817" s="40"/>
      <c r="M817" s="81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3.5" customHeight="1">
      <c r="A818" s="40"/>
      <c r="B818" s="40"/>
      <c r="C818" s="40"/>
      <c r="D818" s="81"/>
      <c r="E818" s="40"/>
      <c r="F818" s="40"/>
      <c r="G818" s="81"/>
      <c r="H818" s="40"/>
      <c r="I818" s="40"/>
      <c r="J818" s="81"/>
      <c r="K818" s="40"/>
      <c r="L818" s="40"/>
      <c r="M818" s="81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3.5" customHeight="1">
      <c r="A819" s="40"/>
      <c r="B819" s="40"/>
      <c r="C819" s="40"/>
      <c r="D819" s="81"/>
      <c r="E819" s="40"/>
      <c r="F819" s="40"/>
      <c r="G819" s="81"/>
      <c r="H819" s="40"/>
      <c r="I819" s="40"/>
      <c r="J819" s="81"/>
      <c r="K819" s="40"/>
      <c r="L819" s="40"/>
      <c r="M819" s="81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3.5" customHeight="1">
      <c r="A820" s="40"/>
      <c r="B820" s="40"/>
      <c r="C820" s="40"/>
      <c r="D820" s="81"/>
      <c r="E820" s="40"/>
      <c r="F820" s="40"/>
      <c r="G820" s="81"/>
      <c r="H820" s="40"/>
      <c r="I820" s="40"/>
      <c r="J820" s="81"/>
      <c r="K820" s="40"/>
      <c r="L820" s="40"/>
      <c r="M820" s="81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3.5" customHeight="1">
      <c r="A821" s="40"/>
      <c r="B821" s="40"/>
      <c r="C821" s="40"/>
      <c r="D821" s="81"/>
      <c r="E821" s="40"/>
      <c r="F821" s="40"/>
      <c r="G821" s="81"/>
      <c r="H821" s="40"/>
      <c r="I821" s="40"/>
      <c r="J821" s="81"/>
      <c r="K821" s="40"/>
      <c r="L821" s="40"/>
      <c r="M821" s="81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3.5" customHeight="1">
      <c r="A822" s="40"/>
      <c r="B822" s="40"/>
      <c r="C822" s="40"/>
      <c r="D822" s="81"/>
      <c r="E822" s="40"/>
      <c r="F822" s="40"/>
      <c r="G822" s="81"/>
      <c r="H822" s="40"/>
      <c r="I822" s="40"/>
      <c r="J822" s="81"/>
      <c r="K822" s="40"/>
      <c r="L822" s="40"/>
      <c r="M822" s="81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3.5" customHeight="1">
      <c r="A823" s="40"/>
      <c r="B823" s="40"/>
      <c r="C823" s="40"/>
      <c r="D823" s="81"/>
      <c r="E823" s="40"/>
      <c r="F823" s="40"/>
      <c r="G823" s="81"/>
      <c r="H823" s="40"/>
      <c r="I823" s="40"/>
      <c r="J823" s="81"/>
      <c r="K823" s="40"/>
      <c r="L823" s="40"/>
      <c r="M823" s="81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3.5" customHeight="1">
      <c r="A824" s="40"/>
      <c r="B824" s="40"/>
      <c r="C824" s="40"/>
      <c r="D824" s="81"/>
      <c r="E824" s="40"/>
      <c r="F824" s="40"/>
      <c r="G824" s="81"/>
      <c r="H824" s="40"/>
      <c r="I824" s="40"/>
      <c r="J824" s="81"/>
      <c r="K824" s="40"/>
      <c r="L824" s="40"/>
      <c r="M824" s="81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3.5" customHeight="1">
      <c r="A825" s="40"/>
      <c r="B825" s="40"/>
      <c r="C825" s="40"/>
      <c r="D825" s="81"/>
      <c r="E825" s="40"/>
      <c r="F825" s="40"/>
      <c r="G825" s="81"/>
      <c r="H825" s="40"/>
      <c r="I825" s="40"/>
      <c r="J825" s="81"/>
      <c r="K825" s="40"/>
      <c r="L825" s="40"/>
      <c r="M825" s="81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3.5" customHeight="1">
      <c r="A826" s="40"/>
      <c r="B826" s="40"/>
      <c r="C826" s="40"/>
      <c r="D826" s="81"/>
      <c r="E826" s="40"/>
      <c r="F826" s="40"/>
      <c r="G826" s="81"/>
      <c r="H826" s="40"/>
      <c r="I826" s="40"/>
      <c r="J826" s="81"/>
      <c r="K826" s="40"/>
      <c r="L826" s="40"/>
      <c r="M826" s="81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3.5" customHeight="1">
      <c r="A827" s="40"/>
      <c r="B827" s="40"/>
      <c r="C827" s="40"/>
      <c r="D827" s="81"/>
      <c r="E827" s="40"/>
      <c r="F827" s="40"/>
      <c r="G827" s="81"/>
      <c r="H827" s="40"/>
      <c r="I827" s="40"/>
      <c r="J827" s="81"/>
      <c r="K827" s="40"/>
      <c r="L827" s="40"/>
      <c r="M827" s="81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3.5" customHeight="1">
      <c r="A828" s="40"/>
      <c r="B828" s="40"/>
      <c r="C828" s="40"/>
      <c r="D828" s="81"/>
      <c r="E828" s="40"/>
      <c r="F828" s="40"/>
      <c r="G828" s="81"/>
      <c r="H828" s="40"/>
      <c r="I828" s="40"/>
      <c r="J828" s="81"/>
      <c r="K828" s="40"/>
      <c r="L828" s="40"/>
      <c r="M828" s="81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3.5" customHeight="1">
      <c r="A829" s="40"/>
      <c r="B829" s="40"/>
      <c r="C829" s="40"/>
      <c r="D829" s="81"/>
      <c r="E829" s="40"/>
      <c r="F829" s="40"/>
      <c r="G829" s="81"/>
      <c r="H829" s="40"/>
      <c r="I829" s="40"/>
      <c r="J829" s="81"/>
      <c r="K829" s="40"/>
      <c r="L829" s="40"/>
      <c r="M829" s="81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3.5" customHeight="1">
      <c r="A830" s="40"/>
      <c r="B830" s="40"/>
      <c r="C830" s="40"/>
      <c r="D830" s="81"/>
      <c r="E830" s="40"/>
      <c r="F830" s="40"/>
      <c r="G830" s="81"/>
      <c r="H830" s="40"/>
      <c r="I830" s="40"/>
      <c r="J830" s="81"/>
      <c r="K830" s="40"/>
      <c r="L830" s="40"/>
      <c r="M830" s="81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3.5" customHeight="1">
      <c r="A831" s="40"/>
      <c r="B831" s="40"/>
      <c r="C831" s="40"/>
      <c r="D831" s="81"/>
      <c r="E831" s="40"/>
      <c r="F831" s="40"/>
      <c r="G831" s="81"/>
      <c r="H831" s="40"/>
      <c r="I831" s="40"/>
      <c r="J831" s="81"/>
      <c r="K831" s="40"/>
      <c r="L831" s="40"/>
      <c r="M831" s="81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3.5" customHeight="1">
      <c r="A832" s="40"/>
      <c r="B832" s="40"/>
      <c r="C832" s="40"/>
      <c r="D832" s="81"/>
      <c r="E832" s="40"/>
      <c r="F832" s="40"/>
      <c r="G832" s="81"/>
      <c r="H832" s="40"/>
      <c r="I832" s="40"/>
      <c r="J832" s="81"/>
      <c r="K832" s="40"/>
      <c r="L832" s="40"/>
      <c r="M832" s="81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3.5" customHeight="1">
      <c r="A833" s="40"/>
      <c r="B833" s="40"/>
      <c r="C833" s="40"/>
      <c r="D833" s="81"/>
      <c r="E833" s="40"/>
      <c r="F833" s="40"/>
      <c r="G833" s="81"/>
      <c r="H833" s="40"/>
      <c r="I833" s="40"/>
      <c r="J833" s="81"/>
      <c r="K833" s="40"/>
      <c r="L833" s="40"/>
      <c r="M833" s="81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3.5" customHeight="1">
      <c r="A834" s="40"/>
      <c r="B834" s="40"/>
      <c r="C834" s="40"/>
      <c r="D834" s="81"/>
      <c r="E834" s="40"/>
      <c r="F834" s="40"/>
      <c r="G834" s="81"/>
      <c r="H834" s="40"/>
      <c r="I834" s="40"/>
      <c r="J834" s="81"/>
      <c r="K834" s="40"/>
      <c r="L834" s="40"/>
      <c r="M834" s="81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3.5" customHeight="1">
      <c r="A835" s="40"/>
      <c r="B835" s="40"/>
      <c r="C835" s="40"/>
      <c r="D835" s="81"/>
      <c r="E835" s="40"/>
      <c r="F835" s="40"/>
      <c r="G835" s="81"/>
      <c r="H835" s="40"/>
      <c r="I835" s="40"/>
      <c r="J835" s="81"/>
      <c r="K835" s="40"/>
      <c r="L835" s="40"/>
      <c r="M835" s="81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3.5" customHeight="1">
      <c r="A836" s="40"/>
      <c r="B836" s="40"/>
      <c r="C836" s="40"/>
      <c r="D836" s="81"/>
      <c r="E836" s="40"/>
      <c r="F836" s="40"/>
      <c r="G836" s="81"/>
      <c r="H836" s="40"/>
      <c r="I836" s="40"/>
      <c r="J836" s="81"/>
      <c r="K836" s="40"/>
      <c r="L836" s="40"/>
      <c r="M836" s="81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3.5" customHeight="1">
      <c r="A837" s="40"/>
      <c r="B837" s="40"/>
      <c r="C837" s="40"/>
      <c r="D837" s="81"/>
      <c r="E837" s="40"/>
      <c r="F837" s="40"/>
      <c r="G837" s="81"/>
      <c r="H837" s="40"/>
      <c r="I837" s="40"/>
      <c r="J837" s="81"/>
      <c r="K837" s="40"/>
      <c r="L837" s="40"/>
      <c r="M837" s="81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3.5" customHeight="1">
      <c r="A838" s="40"/>
      <c r="B838" s="40"/>
      <c r="C838" s="40"/>
      <c r="D838" s="81"/>
      <c r="E838" s="40"/>
      <c r="F838" s="40"/>
      <c r="G838" s="81"/>
      <c r="H838" s="40"/>
      <c r="I838" s="40"/>
      <c r="J838" s="81"/>
      <c r="K838" s="40"/>
      <c r="L838" s="40"/>
      <c r="M838" s="81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3.5" customHeight="1">
      <c r="A839" s="40"/>
      <c r="B839" s="40"/>
      <c r="C839" s="40"/>
      <c r="D839" s="81"/>
      <c r="E839" s="40"/>
      <c r="F839" s="40"/>
      <c r="G839" s="81"/>
      <c r="H839" s="40"/>
      <c r="I839" s="40"/>
      <c r="J839" s="81"/>
      <c r="K839" s="40"/>
      <c r="L839" s="40"/>
      <c r="M839" s="81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3.5" customHeight="1">
      <c r="A840" s="40"/>
      <c r="B840" s="40"/>
      <c r="C840" s="40"/>
      <c r="D840" s="81"/>
      <c r="E840" s="40"/>
      <c r="F840" s="40"/>
      <c r="G840" s="81"/>
      <c r="H840" s="40"/>
      <c r="I840" s="40"/>
      <c r="J840" s="81"/>
      <c r="K840" s="40"/>
      <c r="L840" s="40"/>
      <c r="M840" s="81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3.5" customHeight="1">
      <c r="A841" s="40"/>
      <c r="B841" s="40"/>
      <c r="C841" s="40"/>
      <c r="D841" s="81"/>
      <c r="E841" s="40"/>
      <c r="F841" s="40"/>
      <c r="G841" s="81"/>
      <c r="H841" s="40"/>
      <c r="I841" s="40"/>
      <c r="J841" s="81"/>
      <c r="K841" s="40"/>
      <c r="L841" s="40"/>
      <c r="M841" s="81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3.5" customHeight="1">
      <c r="A842" s="40"/>
      <c r="B842" s="40"/>
      <c r="C842" s="40"/>
      <c r="D842" s="81"/>
      <c r="E842" s="40"/>
      <c r="F842" s="40"/>
      <c r="G842" s="81"/>
      <c r="H842" s="40"/>
      <c r="I842" s="40"/>
      <c r="J842" s="81"/>
      <c r="K842" s="40"/>
      <c r="L842" s="40"/>
      <c r="M842" s="81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3.5" customHeight="1">
      <c r="A843" s="40"/>
      <c r="B843" s="40"/>
      <c r="C843" s="40"/>
      <c r="D843" s="81"/>
      <c r="E843" s="40"/>
      <c r="F843" s="40"/>
      <c r="G843" s="81"/>
      <c r="H843" s="40"/>
      <c r="I843" s="40"/>
      <c r="J843" s="81"/>
      <c r="K843" s="40"/>
      <c r="L843" s="40"/>
      <c r="M843" s="81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3.5" customHeight="1">
      <c r="A844" s="40"/>
      <c r="B844" s="40"/>
      <c r="C844" s="40"/>
      <c r="D844" s="81"/>
      <c r="E844" s="40"/>
      <c r="F844" s="40"/>
      <c r="G844" s="81"/>
      <c r="H844" s="40"/>
      <c r="I844" s="40"/>
      <c r="J844" s="81"/>
      <c r="K844" s="40"/>
      <c r="L844" s="40"/>
      <c r="M844" s="81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3.5" customHeight="1">
      <c r="A845" s="40"/>
      <c r="B845" s="40"/>
      <c r="C845" s="40"/>
      <c r="D845" s="81"/>
      <c r="E845" s="40"/>
      <c r="F845" s="40"/>
      <c r="G845" s="81"/>
      <c r="H845" s="40"/>
      <c r="I845" s="40"/>
      <c r="J845" s="81"/>
      <c r="K845" s="40"/>
      <c r="L845" s="40"/>
      <c r="M845" s="81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3.5" customHeight="1">
      <c r="A846" s="40"/>
      <c r="B846" s="40"/>
      <c r="C846" s="40"/>
      <c r="D846" s="81"/>
      <c r="E846" s="40"/>
      <c r="F846" s="40"/>
      <c r="G846" s="81"/>
      <c r="H846" s="40"/>
      <c r="I846" s="40"/>
      <c r="J846" s="81"/>
      <c r="K846" s="40"/>
      <c r="L846" s="40"/>
      <c r="M846" s="81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3.5" customHeight="1">
      <c r="A847" s="40"/>
      <c r="B847" s="40"/>
      <c r="C847" s="40"/>
      <c r="D847" s="81"/>
      <c r="E847" s="40"/>
      <c r="F847" s="40"/>
      <c r="G847" s="81"/>
      <c r="H847" s="40"/>
      <c r="I847" s="40"/>
      <c r="J847" s="81"/>
      <c r="K847" s="40"/>
      <c r="L847" s="40"/>
      <c r="M847" s="81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3.5" customHeight="1">
      <c r="A848" s="40"/>
      <c r="B848" s="40"/>
      <c r="C848" s="40"/>
      <c r="D848" s="81"/>
      <c r="E848" s="40"/>
      <c r="F848" s="40"/>
      <c r="G848" s="81"/>
      <c r="H848" s="40"/>
      <c r="I848" s="40"/>
      <c r="J848" s="81"/>
      <c r="K848" s="40"/>
      <c r="L848" s="40"/>
      <c r="M848" s="81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3.5" customHeight="1">
      <c r="A849" s="40"/>
      <c r="B849" s="40"/>
      <c r="C849" s="40"/>
      <c r="D849" s="81"/>
      <c r="E849" s="40"/>
      <c r="F849" s="40"/>
      <c r="G849" s="81"/>
      <c r="H849" s="40"/>
      <c r="I849" s="40"/>
      <c r="J849" s="81"/>
      <c r="K849" s="40"/>
      <c r="L849" s="40"/>
      <c r="M849" s="81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3.5" customHeight="1">
      <c r="A850" s="40"/>
      <c r="B850" s="40"/>
      <c r="C850" s="40"/>
      <c r="D850" s="81"/>
      <c r="E850" s="40"/>
      <c r="F850" s="40"/>
      <c r="G850" s="81"/>
      <c r="H850" s="40"/>
      <c r="I850" s="40"/>
      <c r="J850" s="81"/>
      <c r="K850" s="40"/>
      <c r="L850" s="40"/>
      <c r="M850" s="81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3.5" customHeight="1">
      <c r="A851" s="40"/>
      <c r="B851" s="40"/>
      <c r="C851" s="40"/>
      <c r="D851" s="81"/>
      <c r="E851" s="40"/>
      <c r="F851" s="40"/>
      <c r="G851" s="81"/>
      <c r="H851" s="40"/>
      <c r="I851" s="40"/>
      <c r="J851" s="81"/>
      <c r="K851" s="40"/>
      <c r="L851" s="40"/>
      <c r="M851" s="81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3.5" customHeight="1">
      <c r="A852" s="40"/>
      <c r="B852" s="40"/>
      <c r="C852" s="40"/>
      <c r="D852" s="81"/>
      <c r="E852" s="40"/>
      <c r="F852" s="40"/>
      <c r="G852" s="81"/>
      <c r="H852" s="40"/>
      <c r="I852" s="40"/>
      <c r="J852" s="81"/>
      <c r="K852" s="40"/>
      <c r="L852" s="40"/>
      <c r="M852" s="81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3.5" customHeight="1">
      <c r="A853" s="40"/>
      <c r="B853" s="40"/>
      <c r="C853" s="40"/>
      <c r="D853" s="81"/>
      <c r="E853" s="40"/>
      <c r="F853" s="40"/>
      <c r="G853" s="81"/>
      <c r="H853" s="40"/>
      <c r="I853" s="40"/>
      <c r="J853" s="81"/>
      <c r="K853" s="40"/>
      <c r="L853" s="40"/>
      <c r="M853" s="81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3.5" customHeight="1">
      <c r="A854" s="40"/>
      <c r="B854" s="40"/>
      <c r="C854" s="40"/>
      <c r="D854" s="81"/>
      <c r="E854" s="40"/>
      <c r="F854" s="40"/>
      <c r="G854" s="81"/>
      <c r="H854" s="40"/>
      <c r="I854" s="40"/>
      <c r="J854" s="81"/>
      <c r="K854" s="40"/>
      <c r="L854" s="40"/>
      <c r="M854" s="81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3.5" customHeight="1">
      <c r="A855" s="40"/>
      <c r="B855" s="40"/>
      <c r="C855" s="40"/>
      <c r="D855" s="81"/>
      <c r="E855" s="40"/>
      <c r="F855" s="40"/>
      <c r="G855" s="81"/>
      <c r="H855" s="40"/>
      <c r="I855" s="40"/>
      <c r="J855" s="81"/>
      <c r="K855" s="40"/>
      <c r="L855" s="40"/>
      <c r="M855" s="81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3.5" customHeight="1">
      <c r="A856" s="40"/>
      <c r="B856" s="40"/>
      <c r="C856" s="40"/>
      <c r="D856" s="81"/>
      <c r="E856" s="40"/>
      <c r="F856" s="40"/>
      <c r="G856" s="81"/>
      <c r="H856" s="40"/>
      <c r="I856" s="40"/>
      <c r="J856" s="81"/>
      <c r="K856" s="40"/>
      <c r="L856" s="40"/>
      <c r="M856" s="81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3.5" customHeight="1">
      <c r="A857" s="40"/>
      <c r="B857" s="40"/>
      <c r="C857" s="40"/>
      <c r="D857" s="81"/>
      <c r="E857" s="40"/>
      <c r="F857" s="40"/>
      <c r="G857" s="81"/>
      <c r="H857" s="40"/>
      <c r="I857" s="40"/>
      <c r="J857" s="81"/>
      <c r="K857" s="40"/>
      <c r="L857" s="40"/>
      <c r="M857" s="81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3.5" customHeight="1">
      <c r="A858" s="40"/>
      <c r="B858" s="40"/>
      <c r="C858" s="40"/>
      <c r="D858" s="81"/>
      <c r="E858" s="40"/>
      <c r="F858" s="40"/>
      <c r="G858" s="81"/>
      <c r="H858" s="40"/>
      <c r="I858" s="40"/>
      <c r="J858" s="81"/>
      <c r="K858" s="40"/>
      <c r="L858" s="40"/>
      <c r="M858" s="81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3.5" customHeight="1">
      <c r="A859" s="40"/>
      <c r="B859" s="40"/>
      <c r="C859" s="40"/>
      <c r="D859" s="81"/>
      <c r="E859" s="40"/>
      <c r="F859" s="40"/>
      <c r="G859" s="81"/>
      <c r="H859" s="40"/>
      <c r="I859" s="40"/>
      <c r="J859" s="81"/>
      <c r="K859" s="40"/>
      <c r="L859" s="40"/>
      <c r="M859" s="81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3.5" customHeight="1">
      <c r="A860" s="40"/>
      <c r="B860" s="40"/>
      <c r="C860" s="40"/>
      <c r="D860" s="81"/>
      <c r="E860" s="40"/>
      <c r="F860" s="40"/>
      <c r="G860" s="81"/>
      <c r="H860" s="40"/>
      <c r="I860" s="40"/>
      <c r="J860" s="81"/>
      <c r="K860" s="40"/>
      <c r="L860" s="40"/>
      <c r="M860" s="81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3.5" customHeight="1">
      <c r="A861" s="40"/>
      <c r="B861" s="40"/>
      <c r="C861" s="40"/>
      <c r="D861" s="81"/>
      <c r="E861" s="40"/>
      <c r="F861" s="40"/>
      <c r="G861" s="81"/>
      <c r="H861" s="40"/>
      <c r="I861" s="40"/>
      <c r="J861" s="81"/>
      <c r="K861" s="40"/>
      <c r="L861" s="40"/>
      <c r="M861" s="81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3.5" customHeight="1">
      <c r="A862" s="40"/>
      <c r="B862" s="40"/>
      <c r="C862" s="40"/>
      <c r="D862" s="81"/>
      <c r="E862" s="40"/>
      <c r="F862" s="40"/>
      <c r="G862" s="81"/>
      <c r="H862" s="40"/>
      <c r="I862" s="40"/>
      <c r="J862" s="81"/>
      <c r="K862" s="40"/>
      <c r="L862" s="40"/>
      <c r="M862" s="81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3.5" customHeight="1">
      <c r="A863" s="40"/>
      <c r="B863" s="40"/>
      <c r="C863" s="40"/>
      <c r="D863" s="81"/>
      <c r="E863" s="40"/>
      <c r="F863" s="40"/>
      <c r="G863" s="81"/>
      <c r="H863" s="40"/>
      <c r="I863" s="40"/>
      <c r="J863" s="81"/>
      <c r="K863" s="40"/>
      <c r="L863" s="40"/>
      <c r="M863" s="81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3.5" customHeight="1">
      <c r="A864" s="40"/>
      <c r="B864" s="40"/>
      <c r="C864" s="40"/>
      <c r="D864" s="81"/>
      <c r="E864" s="40"/>
      <c r="F864" s="40"/>
      <c r="G864" s="81"/>
      <c r="H864" s="40"/>
      <c r="I864" s="40"/>
      <c r="J864" s="81"/>
      <c r="K864" s="40"/>
      <c r="L864" s="40"/>
      <c r="M864" s="81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3.5" customHeight="1">
      <c r="A865" s="40"/>
      <c r="B865" s="40"/>
      <c r="C865" s="40"/>
      <c r="D865" s="81"/>
      <c r="E865" s="40"/>
      <c r="F865" s="40"/>
      <c r="G865" s="81"/>
      <c r="H865" s="40"/>
      <c r="I865" s="40"/>
      <c r="J865" s="81"/>
      <c r="K865" s="40"/>
      <c r="L865" s="40"/>
      <c r="M865" s="81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3.5" customHeight="1">
      <c r="A866" s="40"/>
      <c r="B866" s="40"/>
      <c r="C866" s="40"/>
      <c r="D866" s="81"/>
      <c r="E866" s="40"/>
      <c r="F866" s="40"/>
      <c r="G866" s="81"/>
      <c r="H866" s="40"/>
      <c r="I866" s="40"/>
      <c r="J866" s="81"/>
      <c r="K866" s="40"/>
      <c r="L866" s="40"/>
      <c r="M866" s="81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3.5" customHeight="1">
      <c r="A867" s="40"/>
      <c r="B867" s="40"/>
      <c r="C867" s="40"/>
      <c r="D867" s="81"/>
      <c r="E867" s="40"/>
      <c r="F867" s="40"/>
      <c r="G867" s="81"/>
      <c r="H867" s="40"/>
      <c r="I867" s="40"/>
      <c r="J867" s="81"/>
      <c r="K867" s="40"/>
      <c r="L867" s="40"/>
      <c r="M867" s="81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3.5" customHeight="1">
      <c r="A868" s="40"/>
      <c r="B868" s="40"/>
      <c r="C868" s="40"/>
      <c r="D868" s="81"/>
      <c r="E868" s="40"/>
      <c r="F868" s="40"/>
      <c r="G868" s="81"/>
      <c r="H868" s="40"/>
      <c r="I868" s="40"/>
      <c r="J868" s="81"/>
      <c r="K868" s="40"/>
      <c r="L868" s="40"/>
      <c r="M868" s="81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3.5" customHeight="1">
      <c r="A869" s="40"/>
      <c r="B869" s="40"/>
      <c r="C869" s="40"/>
      <c r="D869" s="81"/>
      <c r="E869" s="40"/>
      <c r="F869" s="40"/>
      <c r="G869" s="81"/>
      <c r="H869" s="40"/>
      <c r="I869" s="40"/>
      <c r="J869" s="81"/>
      <c r="K869" s="40"/>
      <c r="L869" s="40"/>
      <c r="M869" s="81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3.5" customHeight="1">
      <c r="A870" s="40"/>
      <c r="B870" s="40"/>
      <c r="C870" s="40"/>
      <c r="D870" s="81"/>
      <c r="E870" s="40"/>
      <c r="F870" s="40"/>
      <c r="G870" s="81"/>
      <c r="H870" s="40"/>
      <c r="I870" s="40"/>
      <c r="J870" s="81"/>
      <c r="K870" s="40"/>
      <c r="L870" s="40"/>
      <c r="M870" s="81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3.5" customHeight="1">
      <c r="A871" s="40"/>
      <c r="B871" s="40"/>
      <c r="C871" s="40"/>
      <c r="D871" s="81"/>
      <c r="E871" s="40"/>
      <c r="F871" s="40"/>
      <c r="G871" s="81"/>
      <c r="H871" s="40"/>
      <c r="I871" s="40"/>
      <c r="J871" s="81"/>
      <c r="K871" s="40"/>
      <c r="L871" s="40"/>
      <c r="M871" s="81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3.5" customHeight="1">
      <c r="A872" s="40"/>
      <c r="B872" s="40"/>
      <c r="C872" s="40"/>
      <c r="D872" s="81"/>
      <c r="E872" s="40"/>
      <c r="F872" s="40"/>
      <c r="G872" s="81"/>
      <c r="H872" s="40"/>
      <c r="I872" s="40"/>
      <c r="J872" s="81"/>
      <c r="K872" s="40"/>
      <c r="L872" s="40"/>
      <c r="M872" s="81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3.5" customHeight="1">
      <c r="A873" s="40"/>
      <c r="B873" s="40"/>
      <c r="C873" s="40"/>
      <c r="D873" s="81"/>
      <c r="E873" s="40"/>
      <c r="F873" s="40"/>
      <c r="G873" s="81"/>
      <c r="H873" s="40"/>
      <c r="I873" s="40"/>
      <c r="J873" s="81"/>
      <c r="K873" s="40"/>
      <c r="L873" s="40"/>
      <c r="M873" s="81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3.5" customHeight="1">
      <c r="A874" s="40"/>
      <c r="B874" s="40"/>
      <c r="C874" s="40"/>
      <c r="D874" s="81"/>
      <c r="E874" s="40"/>
      <c r="F874" s="40"/>
      <c r="G874" s="81"/>
      <c r="H874" s="40"/>
      <c r="I874" s="40"/>
      <c r="J874" s="81"/>
      <c r="K874" s="40"/>
      <c r="L874" s="40"/>
      <c r="M874" s="81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3.5" customHeight="1">
      <c r="A875" s="40"/>
      <c r="B875" s="40"/>
      <c r="C875" s="40"/>
      <c r="D875" s="81"/>
      <c r="E875" s="40"/>
      <c r="F875" s="40"/>
      <c r="G875" s="81"/>
      <c r="H875" s="40"/>
      <c r="I875" s="40"/>
      <c r="J875" s="81"/>
      <c r="K875" s="40"/>
      <c r="L875" s="40"/>
      <c r="M875" s="81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3.5" customHeight="1">
      <c r="A876" s="40"/>
      <c r="B876" s="40"/>
      <c r="C876" s="40"/>
      <c r="D876" s="81"/>
      <c r="E876" s="40"/>
      <c r="F876" s="40"/>
      <c r="G876" s="81"/>
      <c r="H876" s="40"/>
      <c r="I876" s="40"/>
      <c r="J876" s="81"/>
      <c r="K876" s="40"/>
      <c r="L876" s="40"/>
      <c r="M876" s="81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3.5" customHeight="1">
      <c r="A877" s="40"/>
      <c r="B877" s="40"/>
      <c r="C877" s="40"/>
      <c r="D877" s="81"/>
      <c r="E877" s="40"/>
      <c r="F877" s="40"/>
      <c r="G877" s="81"/>
      <c r="H877" s="40"/>
      <c r="I877" s="40"/>
      <c r="J877" s="81"/>
      <c r="K877" s="40"/>
      <c r="L877" s="40"/>
      <c r="M877" s="81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3.5" customHeight="1">
      <c r="A878" s="40"/>
      <c r="B878" s="40"/>
      <c r="C878" s="40"/>
      <c r="D878" s="81"/>
      <c r="E878" s="40"/>
      <c r="F878" s="40"/>
      <c r="G878" s="81"/>
      <c r="H878" s="40"/>
      <c r="I878" s="40"/>
      <c r="J878" s="81"/>
      <c r="K878" s="40"/>
      <c r="L878" s="40"/>
      <c r="M878" s="81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3.5" customHeight="1">
      <c r="A879" s="40"/>
      <c r="B879" s="40"/>
      <c r="C879" s="40"/>
      <c r="D879" s="81"/>
      <c r="E879" s="40"/>
      <c r="F879" s="40"/>
      <c r="G879" s="81"/>
      <c r="H879" s="40"/>
      <c r="I879" s="40"/>
      <c r="J879" s="81"/>
      <c r="K879" s="40"/>
      <c r="L879" s="40"/>
      <c r="M879" s="81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3.5" customHeight="1">
      <c r="A880" s="40"/>
      <c r="B880" s="40"/>
      <c r="C880" s="40"/>
      <c r="D880" s="81"/>
      <c r="E880" s="40"/>
      <c r="F880" s="40"/>
      <c r="G880" s="81"/>
      <c r="H880" s="40"/>
      <c r="I880" s="40"/>
      <c r="J880" s="81"/>
      <c r="K880" s="40"/>
      <c r="L880" s="40"/>
      <c r="M880" s="81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3.5" customHeight="1">
      <c r="A881" s="40"/>
      <c r="B881" s="40"/>
      <c r="C881" s="40"/>
      <c r="D881" s="81"/>
      <c r="E881" s="40"/>
      <c r="F881" s="40"/>
      <c r="G881" s="81"/>
      <c r="H881" s="40"/>
      <c r="I881" s="40"/>
      <c r="J881" s="81"/>
      <c r="K881" s="40"/>
      <c r="L881" s="40"/>
      <c r="M881" s="81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3.5" customHeight="1">
      <c r="A882" s="40"/>
      <c r="B882" s="40"/>
      <c r="C882" s="40"/>
      <c r="D882" s="81"/>
      <c r="E882" s="40"/>
      <c r="F882" s="40"/>
      <c r="G882" s="81"/>
      <c r="H882" s="40"/>
      <c r="I882" s="40"/>
      <c r="J882" s="81"/>
      <c r="K882" s="40"/>
      <c r="L882" s="40"/>
      <c r="M882" s="81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3.5" customHeight="1">
      <c r="A883" s="40"/>
      <c r="B883" s="40"/>
      <c r="C883" s="40"/>
      <c r="D883" s="81"/>
      <c r="E883" s="40"/>
      <c r="F883" s="40"/>
      <c r="G883" s="81"/>
      <c r="H883" s="40"/>
      <c r="I883" s="40"/>
      <c r="J883" s="81"/>
      <c r="K883" s="40"/>
      <c r="L883" s="40"/>
      <c r="M883" s="81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3.5" customHeight="1">
      <c r="A884" s="40"/>
      <c r="B884" s="40"/>
      <c r="C884" s="40"/>
      <c r="D884" s="81"/>
      <c r="E884" s="40"/>
      <c r="F884" s="40"/>
      <c r="G884" s="81"/>
      <c r="H884" s="40"/>
      <c r="I884" s="40"/>
      <c r="J884" s="81"/>
      <c r="K884" s="40"/>
      <c r="L884" s="40"/>
      <c r="M884" s="81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3.5" customHeight="1">
      <c r="A885" s="40"/>
      <c r="B885" s="40"/>
      <c r="C885" s="40"/>
      <c r="D885" s="81"/>
      <c r="E885" s="40"/>
      <c r="F885" s="40"/>
      <c r="G885" s="81"/>
      <c r="H885" s="40"/>
      <c r="I885" s="40"/>
      <c r="J885" s="81"/>
      <c r="K885" s="40"/>
      <c r="L885" s="40"/>
      <c r="M885" s="81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3.5" customHeight="1">
      <c r="A886" s="40"/>
      <c r="B886" s="40"/>
      <c r="C886" s="40"/>
      <c r="D886" s="81"/>
      <c r="E886" s="40"/>
      <c r="F886" s="40"/>
      <c r="G886" s="81"/>
      <c r="H886" s="40"/>
      <c r="I886" s="40"/>
      <c r="J886" s="81"/>
      <c r="K886" s="40"/>
      <c r="L886" s="40"/>
      <c r="M886" s="81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3.5" customHeight="1">
      <c r="A887" s="40"/>
      <c r="B887" s="40"/>
      <c r="C887" s="40"/>
      <c r="D887" s="81"/>
      <c r="E887" s="40"/>
      <c r="F887" s="40"/>
      <c r="G887" s="81"/>
      <c r="H887" s="40"/>
      <c r="I887" s="40"/>
      <c r="J887" s="81"/>
      <c r="K887" s="40"/>
      <c r="L887" s="40"/>
      <c r="M887" s="81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3.5" customHeight="1">
      <c r="A888" s="40"/>
      <c r="B888" s="40"/>
      <c r="C888" s="40"/>
      <c r="D888" s="81"/>
      <c r="E888" s="40"/>
      <c r="F888" s="40"/>
      <c r="G888" s="81"/>
      <c r="H888" s="40"/>
      <c r="I888" s="40"/>
      <c r="J888" s="81"/>
      <c r="K888" s="40"/>
      <c r="L888" s="40"/>
      <c r="M888" s="81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3.5" customHeight="1">
      <c r="A889" s="40"/>
      <c r="B889" s="40"/>
      <c r="C889" s="40"/>
      <c r="D889" s="81"/>
      <c r="E889" s="40"/>
      <c r="F889" s="40"/>
      <c r="G889" s="81"/>
      <c r="H889" s="40"/>
      <c r="I889" s="40"/>
      <c r="J889" s="81"/>
      <c r="K889" s="40"/>
      <c r="L889" s="40"/>
      <c r="M889" s="81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3.5" customHeight="1">
      <c r="A890" s="40"/>
      <c r="B890" s="40"/>
      <c r="C890" s="40"/>
      <c r="D890" s="81"/>
      <c r="E890" s="40"/>
      <c r="F890" s="40"/>
      <c r="G890" s="81"/>
      <c r="H890" s="40"/>
      <c r="I890" s="40"/>
      <c r="J890" s="81"/>
      <c r="K890" s="40"/>
      <c r="L890" s="40"/>
      <c r="M890" s="81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3.5" customHeight="1">
      <c r="A891" s="40"/>
      <c r="B891" s="40"/>
      <c r="C891" s="40"/>
      <c r="D891" s="81"/>
      <c r="E891" s="40"/>
      <c r="F891" s="40"/>
      <c r="G891" s="81"/>
      <c r="H891" s="40"/>
      <c r="I891" s="40"/>
      <c r="J891" s="81"/>
      <c r="K891" s="40"/>
      <c r="L891" s="40"/>
      <c r="M891" s="81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3.5" customHeight="1">
      <c r="A892" s="40"/>
      <c r="B892" s="40"/>
      <c r="C892" s="40"/>
      <c r="D892" s="81"/>
      <c r="E892" s="40"/>
      <c r="F892" s="40"/>
      <c r="G892" s="81"/>
      <c r="H892" s="40"/>
      <c r="I892" s="40"/>
      <c r="J892" s="81"/>
      <c r="K892" s="40"/>
      <c r="L892" s="40"/>
      <c r="M892" s="81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3.5" customHeight="1">
      <c r="A893" s="40"/>
      <c r="B893" s="40"/>
      <c r="C893" s="40"/>
      <c r="D893" s="81"/>
      <c r="E893" s="40"/>
      <c r="F893" s="40"/>
      <c r="G893" s="81"/>
      <c r="H893" s="40"/>
      <c r="I893" s="40"/>
      <c r="J893" s="81"/>
      <c r="K893" s="40"/>
      <c r="L893" s="40"/>
      <c r="M893" s="81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3.5" customHeight="1">
      <c r="A894" s="40"/>
      <c r="B894" s="40"/>
      <c r="C894" s="40"/>
      <c r="D894" s="81"/>
      <c r="E894" s="40"/>
      <c r="F894" s="40"/>
      <c r="G894" s="81"/>
      <c r="H894" s="40"/>
      <c r="I894" s="40"/>
      <c r="J894" s="81"/>
      <c r="K894" s="40"/>
      <c r="L894" s="40"/>
      <c r="M894" s="81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3.5" customHeight="1">
      <c r="A895" s="40"/>
      <c r="B895" s="40"/>
      <c r="C895" s="40"/>
      <c r="D895" s="81"/>
      <c r="E895" s="40"/>
      <c r="F895" s="40"/>
      <c r="G895" s="81"/>
      <c r="H895" s="40"/>
      <c r="I895" s="40"/>
      <c r="J895" s="81"/>
      <c r="K895" s="40"/>
      <c r="L895" s="40"/>
      <c r="M895" s="81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3.5" customHeight="1">
      <c r="A896" s="40"/>
      <c r="B896" s="40"/>
      <c r="C896" s="40"/>
      <c r="D896" s="81"/>
      <c r="E896" s="40"/>
      <c r="F896" s="40"/>
      <c r="G896" s="81"/>
      <c r="H896" s="40"/>
      <c r="I896" s="40"/>
      <c r="J896" s="81"/>
      <c r="K896" s="40"/>
      <c r="L896" s="40"/>
      <c r="M896" s="81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3.5" customHeight="1">
      <c r="A897" s="40"/>
      <c r="B897" s="40"/>
      <c r="C897" s="40"/>
      <c r="D897" s="81"/>
      <c r="E897" s="40"/>
      <c r="F897" s="40"/>
      <c r="G897" s="81"/>
      <c r="H897" s="40"/>
      <c r="I897" s="40"/>
      <c r="J897" s="81"/>
      <c r="K897" s="40"/>
      <c r="L897" s="40"/>
      <c r="M897" s="81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3.5" customHeight="1">
      <c r="A898" s="40"/>
      <c r="B898" s="40"/>
      <c r="C898" s="40"/>
      <c r="D898" s="81"/>
      <c r="E898" s="40"/>
      <c r="F898" s="40"/>
      <c r="G898" s="81"/>
      <c r="H898" s="40"/>
      <c r="I898" s="40"/>
      <c r="J898" s="81"/>
      <c r="K898" s="40"/>
      <c r="L898" s="40"/>
      <c r="M898" s="81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3.5" customHeight="1">
      <c r="A899" s="40"/>
      <c r="B899" s="40"/>
      <c r="C899" s="40"/>
      <c r="D899" s="81"/>
      <c r="E899" s="40"/>
      <c r="F899" s="40"/>
      <c r="G899" s="81"/>
      <c r="H899" s="40"/>
      <c r="I899" s="40"/>
      <c r="J899" s="81"/>
      <c r="K899" s="40"/>
      <c r="L899" s="40"/>
      <c r="M899" s="81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3.5" customHeight="1">
      <c r="A900" s="40"/>
      <c r="B900" s="40"/>
      <c r="C900" s="40"/>
      <c r="D900" s="81"/>
      <c r="E900" s="40"/>
      <c r="F900" s="40"/>
      <c r="G900" s="81"/>
      <c r="H900" s="40"/>
      <c r="I900" s="40"/>
      <c r="J900" s="81"/>
      <c r="K900" s="40"/>
      <c r="L900" s="40"/>
      <c r="M900" s="81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3.5" customHeight="1">
      <c r="A901" s="40"/>
      <c r="B901" s="40"/>
      <c r="C901" s="40"/>
      <c r="D901" s="81"/>
      <c r="E901" s="40"/>
      <c r="F901" s="40"/>
      <c r="G901" s="81"/>
      <c r="H901" s="40"/>
      <c r="I901" s="40"/>
      <c r="J901" s="81"/>
      <c r="K901" s="40"/>
      <c r="L901" s="40"/>
      <c r="M901" s="81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3.5" customHeight="1">
      <c r="A902" s="40"/>
      <c r="B902" s="40"/>
      <c r="C902" s="40"/>
      <c r="D902" s="81"/>
      <c r="E902" s="40"/>
      <c r="F902" s="40"/>
      <c r="G902" s="81"/>
      <c r="H902" s="40"/>
      <c r="I902" s="40"/>
      <c r="J902" s="81"/>
      <c r="K902" s="40"/>
      <c r="L902" s="40"/>
      <c r="M902" s="81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3.5" customHeight="1">
      <c r="A903" s="40"/>
      <c r="B903" s="40"/>
      <c r="C903" s="40"/>
      <c r="D903" s="81"/>
      <c r="E903" s="40"/>
      <c r="F903" s="40"/>
      <c r="G903" s="81"/>
      <c r="H903" s="40"/>
      <c r="I903" s="40"/>
      <c r="J903" s="81"/>
      <c r="K903" s="40"/>
      <c r="L903" s="40"/>
      <c r="M903" s="81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3.5" customHeight="1">
      <c r="A904" s="40"/>
      <c r="B904" s="40"/>
      <c r="C904" s="40"/>
      <c r="D904" s="81"/>
      <c r="E904" s="40"/>
      <c r="F904" s="40"/>
      <c r="G904" s="81"/>
      <c r="H904" s="40"/>
      <c r="I904" s="40"/>
      <c r="J904" s="81"/>
      <c r="K904" s="40"/>
      <c r="L904" s="40"/>
      <c r="M904" s="81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3.5" customHeight="1">
      <c r="A905" s="40"/>
      <c r="B905" s="40"/>
      <c r="C905" s="40"/>
      <c r="D905" s="81"/>
      <c r="E905" s="40"/>
      <c r="F905" s="40"/>
      <c r="G905" s="81"/>
      <c r="H905" s="40"/>
      <c r="I905" s="40"/>
      <c r="J905" s="81"/>
      <c r="K905" s="40"/>
      <c r="L905" s="40"/>
      <c r="M905" s="81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3.5" customHeight="1">
      <c r="A906" s="40"/>
      <c r="B906" s="40"/>
      <c r="C906" s="40"/>
      <c r="D906" s="81"/>
      <c r="E906" s="40"/>
      <c r="F906" s="40"/>
      <c r="G906" s="81"/>
      <c r="H906" s="40"/>
      <c r="I906" s="40"/>
      <c r="J906" s="81"/>
      <c r="K906" s="40"/>
      <c r="L906" s="40"/>
      <c r="M906" s="81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3.5" customHeight="1">
      <c r="A907" s="40"/>
      <c r="B907" s="40"/>
      <c r="C907" s="40"/>
      <c r="D907" s="81"/>
      <c r="E907" s="40"/>
      <c r="F907" s="40"/>
      <c r="G907" s="81"/>
      <c r="H907" s="40"/>
      <c r="I907" s="40"/>
      <c r="J907" s="81"/>
      <c r="K907" s="40"/>
      <c r="L907" s="40"/>
      <c r="M907" s="81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3.5" customHeight="1">
      <c r="A908" s="40"/>
      <c r="B908" s="40"/>
      <c r="C908" s="40"/>
      <c r="D908" s="81"/>
      <c r="E908" s="40"/>
      <c r="F908" s="40"/>
      <c r="G908" s="81"/>
      <c r="H908" s="40"/>
      <c r="I908" s="40"/>
      <c r="J908" s="81"/>
      <c r="K908" s="40"/>
      <c r="L908" s="40"/>
      <c r="M908" s="81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3.5" customHeight="1">
      <c r="A909" s="40"/>
      <c r="B909" s="40"/>
      <c r="C909" s="40"/>
      <c r="D909" s="81"/>
      <c r="E909" s="40"/>
      <c r="F909" s="40"/>
      <c r="G909" s="81"/>
      <c r="H909" s="40"/>
      <c r="I909" s="40"/>
      <c r="J909" s="81"/>
      <c r="K909" s="40"/>
      <c r="L909" s="40"/>
      <c r="M909" s="81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3.5" customHeight="1">
      <c r="A910" s="40"/>
      <c r="B910" s="40"/>
      <c r="C910" s="40"/>
      <c r="D910" s="81"/>
      <c r="E910" s="40"/>
      <c r="F910" s="40"/>
      <c r="G910" s="81"/>
      <c r="H910" s="40"/>
      <c r="I910" s="40"/>
      <c r="J910" s="81"/>
      <c r="K910" s="40"/>
      <c r="L910" s="40"/>
      <c r="M910" s="81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3.5" customHeight="1">
      <c r="A911" s="40"/>
      <c r="B911" s="40"/>
      <c r="C911" s="40"/>
      <c r="D911" s="81"/>
      <c r="E911" s="40"/>
      <c r="F911" s="40"/>
      <c r="G911" s="81"/>
      <c r="H911" s="40"/>
      <c r="I911" s="40"/>
      <c r="J911" s="81"/>
      <c r="K911" s="40"/>
      <c r="L911" s="40"/>
      <c r="M911" s="81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3.5" customHeight="1">
      <c r="A912" s="40"/>
      <c r="B912" s="40"/>
      <c r="C912" s="40"/>
      <c r="D912" s="81"/>
      <c r="E912" s="40"/>
      <c r="F912" s="40"/>
      <c r="G912" s="81"/>
      <c r="H912" s="40"/>
      <c r="I912" s="40"/>
      <c r="J912" s="81"/>
      <c r="K912" s="40"/>
      <c r="L912" s="40"/>
      <c r="M912" s="81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3.5" customHeight="1">
      <c r="A913" s="40"/>
      <c r="B913" s="40"/>
      <c r="C913" s="40"/>
      <c r="D913" s="81"/>
      <c r="E913" s="40"/>
      <c r="F913" s="40"/>
      <c r="G913" s="81"/>
      <c r="H913" s="40"/>
      <c r="I913" s="40"/>
      <c r="J913" s="81"/>
      <c r="K913" s="40"/>
      <c r="L913" s="40"/>
      <c r="M913" s="81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3.5" customHeight="1">
      <c r="A914" s="40"/>
      <c r="B914" s="40"/>
      <c r="C914" s="40"/>
      <c r="D914" s="81"/>
      <c r="E914" s="40"/>
      <c r="F914" s="40"/>
      <c r="G914" s="81"/>
      <c r="H914" s="40"/>
      <c r="I914" s="40"/>
      <c r="J914" s="81"/>
      <c r="K914" s="40"/>
      <c r="L914" s="40"/>
      <c r="M914" s="81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3.5" customHeight="1">
      <c r="A915" s="40"/>
      <c r="B915" s="40"/>
      <c r="C915" s="40"/>
      <c r="D915" s="81"/>
      <c r="E915" s="40"/>
      <c r="F915" s="40"/>
      <c r="G915" s="81"/>
      <c r="H915" s="40"/>
      <c r="I915" s="40"/>
      <c r="J915" s="81"/>
      <c r="K915" s="40"/>
      <c r="L915" s="40"/>
      <c r="M915" s="81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3.5" customHeight="1">
      <c r="A916" s="40"/>
      <c r="B916" s="40"/>
      <c r="C916" s="40"/>
      <c r="D916" s="81"/>
      <c r="E916" s="40"/>
      <c r="F916" s="40"/>
      <c r="G916" s="81"/>
      <c r="H916" s="40"/>
      <c r="I916" s="40"/>
      <c r="J916" s="81"/>
      <c r="K916" s="40"/>
      <c r="L916" s="40"/>
      <c r="M916" s="81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3.5" customHeight="1">
      <c r="A917" s="40"/>
      <c r="B917" s="40"/>
      <c r="C917" s="40"/>
      <c r="D917" s="81"/>
      <c r="E917" s="40"/>
      <c r="F917" s="40"/>
      <c r="G917" s="81"/>
      <c r="H917" s="40"/>
      <c r="I917" s="40"/>
      <c r="J917" s="81"/>
      <c r="K917" s="40"/>
      <c r="L917" s="40"/>
      <c r="M917" s="81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3.5" customHeight="1">
      <c r="A918" s="40"/>
      <c r="B918" s="40"/>
      <c r="C918" s="40"/>
      <c r="D918" s="81"/>
      <c r="E918" s="40"/>
      <c r="F918" s="40"/>
      <c r="G918" s="81"/>
      <c r="H918" s="40"/>
      <c r="I918" s="40"/>
      <c r="J918" s="81"/>
      <c r="K918" s="40"/>
      <c r="L918" s="40"/>
      <c r="M918" s="81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3.5" customHeight="1">
      <c r="A919" s="40"/>
      <c r="B919" s="40"/>
      <c r="C919" s="40"/>
      <c r="D919" s="81"/>
      <c r="E919" s="40"/>
      <c r="F919" s="40"/>
      <c r="G919" s="81"/>
      <c r="H919" s="40"/>
      <c r="I919" s="40"/>
      <c r="J919" s="81"/>
      <c r="K919" s="40"/>
      <c r="L919" s="40"/>
      <c r="M919" s="81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3.5" customHeight="1">
      <c r="A920" s="40"/>
      <c r="B920" s="40"/>
      <c r="C920" s="40"/>
      <c r="D920" s="81"/>
      <c r="E920" s="40"/>
      <c r="F920" s="40"/>
      <c r="G920" s="81"/>
      <c r="H920" s="40"/>
      <c r="I920" s="40"/>
      <c r="J920" s="81"/>
      <c r="K920" s="40"/>
      <c r="L920" s="40"/>
      <c r="M920" s="81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3.5" customHeight="1">
      <c r="A921" s="40"/>
      <c r="B921" s="40"/>
      <c r="C921" s="40"/>
      <c r="D921" s="81"/>
      <c r="E921" s="40"/>
      <c r="F921" s="40"/>
      <c r="G921" s="81"/>
      <c r="H921" s="40"/>
      <c r="I921" s="40"/>
      <c r="J921" s="81"/>
      <c r="K921" s="40"/>
      <c r="L921" s="40"/>
      <c r="M921" s="81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3.5" customHeight="1">
      <c r="A922" s="40"/>
      <c r="B922" s="40"/>
      <c r="C922" s="40"/>
      <c r="D922" s="81"/>
      <c r="E922" s="40"/>
      <c r="F922" s="40"/>
      <c r="G922" s="81"/>
      <c r="H922" s="40"/>
      <c r="I922" s="40"/>
      <c r="J922" s="81"/>
      <c r="K922" s="40"/>
      <c r="L922" s="40"/>
      <c r="M922" s="81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3.5" customHeight="1">
      <c r="A923" s="40"/>
      <c r="B923" s="40"/>
      <c r="C923" s="40"/>
      <c r="D923" s="81"/>
      <c r="E923" s="40"/>
      <c r="F923" s="40"/>
      <c r="G923" s="81"/>
      <c r="H923" s="40"/>
      <c r="I923" s="40"/>
      <c r="J923" s="81"/>
      <c r="K923" s="40"/>
      <c r="L923" s="40"/>
      <c r="M923" s="81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3.5" customHeight="1">
      <c r="A924" s="40"/>
      <c r="B924" s="40"/>
      <c r="C924" s="40"/>
      <c r="D924" s="81"/>
      <c r="E924" s="40"/>
      <c r="F924" s="40"/>
      <c r="G924" s="81"/>
      <c r="H924" s="40"/>
      <c r="I924" s="40"/>
      <c r="J924" s="81"/>
      <c r="K924" s="40"/>
      <c r="L924" s="40"/>
      <c r="M924" s="81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3.5" customHeight="1">
      <c r="A925" s="40"/>
      <c r="B925" s="40"/>
      <c r="C925" s="40"/>
      <c r="D925" s="81"/>
      <c r="E925" s="40"/>
      <c r="F925" s="40"/>
      <c r="G925" s="81"/>
      <c r="H925" s="40"/>
      <c r="I925" s="40"/>
      <c r="J925" s="81"/>
      <c r="K925" s="40"/>
      <c r="L925" s="40"/>
      <c r="M925" s="81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3.5" customHeight="1">
      <c r="A926" s="40"/>
      <c r="B926" s="40"/>
      <c r="C926" s="40"/>
      <c r="D926" s="81"/>
      <c r="E926" s="40"/>
      <c r="F926" s="40"/>
      <c r="G926" s="81"/>
      <c r="H926" s="40"/>
      <c r="I926" s="40"/>
      <c r="J926" s="81"/>
      <c r="K926" s="40"/>
      <c r="L926" s="40"/>
      <c r="M926" s="81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3.5" customHeight="1">
      <c r="A927" s="40"/>
      <c r="B927" s="40"/>
      <c r="C927" s="40"/>
      <c r="D927" s="81"/>
      <c r="E927" s="40"/>
      <c r="F927" s="40"/>
      <c r="G927" s="81"/>
      <c r="H927" s="40"/>
      <c r="I927" s="40"/>
      <c r="J927" s="81"/>
      <c r="K927" s="40"/>
      <c r="L927" s="40"/>
      <c r="M927" s="81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3.5" customHeight="1">
      <c r="A928" s="40"/>
      <c r="B928" s="40"/>
      <c r="C928" s="40"/>
      <c r="D928" s="81"/>
      <c r="E928" s="40"/>
      <c r="F928" s="40"/>
      <c r="G928" s="81"/>
      <c r="H928" s="40"/>
      <c r="I928" s="40"/>
      <c r="J928" s="81"/>
      <c r="K928" s="40"/>
      <c r="L928" s="40"/>
      <c r="M928" s="81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3.5" customHeight="1">
      <c r="A929" s="40"/>
      <c r="B929" s="40"/>
      <c r="C929" s="40"/>
      <c r="D929" s="81"/>
      <c r="E929" s="40"/>
      <c r="F929" s="40"/>
      <c r="G929" s="81"/>
      <c r="H929" s="40"/>
      <c r="I929" s="40"/>
      <c r="J929" s="81"/>
      <c r="K929" s="40"/>
      <c r="L929" s="40"/>
      <c r="M929" s="81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3.5" customHeight="1">
      <c r="A930" s="40"/>
      <c r="B930" s="40"/>
      <c r="C930" s="40"/>
      <c r="D930" s="81"/>
      <c r="E930" s="40"/>
      <c r="F930" s="40"/>
      <c r="G930" s="81"/>
      <c r="H930" s="40"/>
      <c r="I930" s="40"/>
      <c r="J930" s="81"/>
      <c r="K930" s="40"/>
      <c r="L930" s="40"/>
      <c r="M930" s="81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3.5" customHeight="1">
      <c r="A931" s="40"/>
      <c r="B931" s="40"/>
      <c r="C931" s="40"/>
      <c r="D931" s="81"/>
      <c r="E931" s="40"/>
      <c r="F931" s="40"/>
      <c r="G931" s="81"/>
      <c r="H931" s="40"/>
      <c r="I931" s="40"/>
      <c r="J931" s="81"/>
      <c r="K931" s="40"/>
      <c r="L931" s="40"/>
      <c r="M931" s="81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3.5" customHeight="1">
      <c r="A932" s="40"/>
      <c r="B932" s="40"/>
      <c r="C932" s="40"/>
      <c r="D932" s="81"/>
      <c r="E932" s="40"/>
      <c r="F932" s="40"/>
      <c r="G932" s="81"/>
      <c r="H932" s="40"/>
      <c r="I932" s="40"/>
      <c r="J932" s="81"/>
      <c r="K932" s="40"/>
      <c r="L932" s="40"/>
      <c r="M932" s="81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3.5" customHeight="1">
      <c r="A933" s="40"/>
      <c r="B933" s="40"/>
      <c r="C933" s="40"/>
      <c r="D933" s="81"/>
      <c r="E933" s="40"/>
      <c r="F933" s="40"/>
      <c r="G933" s="81"/>
      <c r="H933" s="40"/>
      <c r="I933" s="40"/>
      <c r="J933" s="81"/>
      <c r="K933" s="40"/>
      <c r="L933" s="40"/>
      <c r="M933" s="81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3.5" customHeight="1">
      <c r="A934" s="40"/>
      <c r="B934" s="40"/>
      <c r="C934" s="40"/>
      <c r="D934" s="81"/>
      <c r="E934" s="40"/>
      <c r="F934" s="40"/>
      <c r="G934" s="81"/>
      <c r="H934" s="40"/>
      <c r="I934" s="40"/>
      <c r="J934" s="81"/>
      <c r="K934" s="40"/>
      <c r="L934" s="40"/>
      <c r="M934" s="81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3.5" customHeight="1">
      <c r="A935" s="40"/>
      <c r="B935" s="40"/>
      <c r="C935" s="40"/>
      <c r="D935" s="81"/>
      <c r="E935" s="40"/>
      <c r="F935" s="40"/>
      <c r="G935" s="81"/>
      <c r="H935" s="40"/>
      <c r="I935" s="40"/>
      <c r="J935" s="81"/>
      <c r="K935" s="40"/>
      <c r="L935" s="40"/>
      <c r="M935" s="81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3.5" customHeight="1">
      <c r="A936" s="40"/>
      <c r="B936" s="40"/>
      <c r="C936" s="40"/>
      <c r="D936" s="81"/>
      <c r="E936" s="40"/>
      <c r="F936" s="40"/>
      <c r="G936" s="81"/>
      <c r="H936" s="40"/>
      <c r="I936" s="40"/>
      <c r="J936" s="81"/>
      <c r="K936" s="40"/>
      <c r="L936" s="40"/>
      <c r="M936" s="81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3.5" customHeight="1">
      <c r="A937" s="40"/>
      <c r="B937" s="40"/>
      <c r="C937" s="40"/>
      <c r="D937" s="81"/>
      <c r="E937" s="40"/>
      <c r="F937" s="40"/>
      <c r="G937" s="81"/>
      <c r="H937" s="40"/>
      <c r="I937" s="40"/>
      <c r="J937" s="81"/>
      <c r="K937" s="40"/>
      <c r="L937" s="40"/>
      <c r="M937" s="81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3.5" customHeight="1">
      <c r="A938" s="40"/>
      <c r="B938" s="40"/>
      <c r="C938" s="40"/>
      <c r="D938" s="81"/>
      <c r="E938" s="40"/>
      <c r="F938" s="40"/>
      <c r="G938" s="81"/>
      <c r="H938" s="40"/>
      <c r="I938" s="40"/>
      <c r="J938" s="81"/>
      <c r="K938" s="40"/>
      <c r="L938" s="40"/>
      <c r="M938" s="81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3.5" customHeight="1">
      <c r="A939" s="40"/>
      <c r="B939" s="40"/>
      <c r="C939" s="40"/>
      <c r="D939" s="81"/>
      <c r="E939" s="40"/>
      <c r="F939" s="40"/>
      <c r="G939" s="81"/>
      <c r="H939" s="40"/>
      <c r="I939" s="40"/>
      <c r="J939" s="81"/>
      <c r="K939" s="40"/>
      <c r="L939" s="40"/>
      <c r="M939" s="81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3.5" customHeight="1">
      <c r="A940" s="40"/>
      <c r="B940" s="40"/>
      <c r="C940" s="40"/>
      <c r="D940" s="81"/>
      <c r="E940" s="40"/>
      <c r="F940" s="40"/>
      <c r="G940" s="81"/>
      <c r="H940" s="40"/>
      <c r="I940" s="40"/>
      <c r="J940" s="81"/>
      <c r="K940" s="40"/>
      <c r="L940" s="40"/>
      <c r="M940" s="81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3.5" customHeight="1">
      <c r="A941" s="40"/>
      <c r="B941" s="40"/>
      <c r="C941" s="40"/>
      <c r="D941" s="81"/>
      <c r="E941" s="40"/>
      <c r="F941" s="40"/>
      <c r="G941" s="81"/>
      <c r="H941" s="40"/>
      <c r="I941" s="40"/>
      <c r="J941" s="81"/>
      <c r="K941" s="40"/>
      <c r="L941" s="40"/>
      <c r="M941" s="81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3.5" customHeight="1">
      <c r="A942" s="40"/>
      <c r="B942" s="40"/>
      <c r="C942" s="40"/>
      <c r="D942" s="81"/>
      <c r="E942" s="40"/>
      <c r="F942" s="40"/>
      <c r="G942" s="81"/>
      <c r="H942" s="40"/>
      <c r="I942" s="40"/>
      <c r="J942" s="81"/>
      <c r="K942" s="40"/>
      <c r="L942" s="40"/>
      <c r="M942" s="81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3.5" customHeight="1">
      <c r="A943" s="40"/>
      <c r="B943" s="40"/>
      <c r="C943" s="40"/>
      <c r="D943" s="81"/>
      <c r="E943" s="40"/>
      <c r="F943" s="40"/>
      <c r="G943" s="81"/>
      <c r="H943" s="40"/>
      <c r="I943" s="40"/>
      <c r="J943" s="81"/>
      <c r="K943" s="40"/>
      <c r="L943" s="40"/>
      <c r="M943" s="81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3.5" customHeight="1">
      <c r="A944" s="40"/>
      <c r="B944" s="40"/>
      <c r="C944" s="40"/>
      <c r="D944" s="81"/>
      <c r="E944" s="40"/>
      <c r="F944" s="40"/>
      <c r="G944" s="81"/>
      <c r="H944" s="40"/>
      <c r="I944" s="40"/>
      <c r="J944" s="81"/>
      <c r="K944" s="40"/>
      <c r="L944" s="40"/>
      <c r="M944" s="81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3.5" customHeight="1">
      <c r="A945" s="40"/>
      <c r="B945" s="40"/>
      <c r="C945" s="40"/>
      <c r="D945" s="81"/>
      <c r="E945" s="40"/>
      <c r="F945" s="40"/>
      <c r="G945" s="81"/>
      <c r="H945" s="40"/>
      <c r="I945" s="40"/>
      <c r="J945" s="81"/>
      <c r="K945" s="40"/>
      <c r="L945" s="40"/>
      <c r="M945" s="81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3.5" customHeight="1">
      <c r="A946" s="40"/>
      <c r="B946" s="40"/>
      <c r="C946" s="40"/>
      <c r="D946" s="81"/>
      <c r="E946" s="40"/>
      <c r="F946" s="40"/>
      <c r="G946" s="81"/>
      <c r="H946" s="40"/>
      <c r="I946" s="40"/>
      <c r="J946" s="81"/>
      <c r="K946" s="40"/>
      <c r="L946" s="40"/>
      <c r="M946" s="81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3.5" customHeight="1">
      <c r="A947" s="40"/>
      <c r="B947" s="40"/>
      <c r="C947" s="40"/>
      <c r="D947" s="81"/>
      <c r="E947" s="40"/>
      <c r="F947" s="40"/>
      <c r="G947" s="81"/>
      <c r="H947" s="40"/>
      <c r="I947" s="40"/>
      <c r="J947" s="81"/>
      <c r="K947" s="40"/>
      <c r="L947" s="40"/>
      <c r="M947" s="81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3.5" customHeight="1">
      <c r="A948" s="40"/>
      <c r="B948" s="40"/>
      <c r="C948" s="40"/>
      <c r="D948" s="81"/>
      <c r="E948" s="40"/>
      <c r="F948" s="40"/>
      <c r="G948" s="81"/>
      <c r="H948" s="40"/>
      <c r="I948" s="40"/>
      <c r="J948" s="81"/>
      <c r="K948" s="40"/>
      <c r="L948" s="40"/>
      <c r="M948" s="81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3.5" customHeight="1">
      <c r="A949" s="40"/>
      <c r="B949" s="40"/>
      <c r="C949" s="40"/>
      <c r="D949" s="81"/>
      <c r="E949" s="40"/>
      <c r="F949" s="40"/>
      <c r="G949" s="81"/>
      <c r="H949" s="40"/>
      <c r="I949" s="40"/>
      <c r="J949" s="81"/>
      <c r="K949" s="40"/>
      <c r="L949" s="40"/>
      <c r="M949" s="81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3.5" customHeight="1">
      <c r="A950" s="40"/>
      <c r="B950" s="40"/>
      <c r="C950" s="40"/>
      <c r="D950" s="81"/>
      <c r="E950" s="40"/>
      <c r="F950" s="40"/>
      <c r="G950" s="81"/>
      <c r="H950" s="40"/>
      <c r="I950" s="40"/>
      <c r="J950" s="81"/>
      <c r="K950" s="40"/>
      <c r="L950" s="40"/>
      <c r="M950" s="81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3.5" customHeight="1">
      <c r="A951" s="40"/>
      <c r="B951" s="40"/>
      <c r="C951" s="40"/>
      <c r="D951" s="81"/>
      <c r="E951" s="40"/>
      <c r="F951" s="40"/>
      <c r="G951" s="81"/>
      <c r="H951" s="40"/>
      <c r="I951" s="40"/>
      <c r="J951" s="81"/>
      <c r="K951" s="40"/>
      <c r="L951" s="40"/>
      <c r="M951" s="81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3.5" customHeight="1">
      <c r="A952" s="40"/>
      <c r="B952" s="40"/>
      <c r="C952" s="40"/>
      <c r="D952" s="81"/>
      <c r="E952" s="40"/>
      <c r="F952" s="40"/>
      <c r="G952" s="81"/>
      <c r="H952" s="40"/>
      <c r="I952" s="40"/>
      <c r="J952" s="81"/>
      <c r="K952" s="40"/>
      <c r="L952" s="40"/>
      <c r="M952" s="81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3.5" customHeight="1">
      <c r="A953" s="40"/>
      <c r="B953" s="40"/>
      <c r="C953" s="40"/>
      <c r="D953" s="81"/>
      <c r="E953" s="40"/>
      <c r="F953" s="40"/>
      <c r="G953" s="81"/>
      <c r="H953" s="40"/>
      <c r="I953" s="40"/>
      <c r="J953" s="81"/>
      <c r="K953" s="40"/>
      <c r="L953" s="40"/>
      <c r="M953" s="81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3.5" customHeight="1">
      <c r="A954" s="40"/>
      <c r="B954" s="40"/>
      <c r="C954" s="40"/>
      <c r="D954" s="81"/>
      <c r="E954" s="40"/>
      <c r="F954" s="40"/>
      <c r="G954" s="81"/>
      <c r="H954" s="40"/>
      <c r="I954" s="40"/>
      <c r="J954" s="81"/>
      <c r="K954" s="40"/>
      <c r="L954" s="40"/>
      <c r="M954" s="81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3.5" customHeight="1">
      <c r="A955" s="40"/>
      <c r="B955" s="40"/>
      <c r="C955" s="40"/>
      <c r="D955" s="81"/>
      <c r="E955" s="40"/>
      <c r="F955" s="40"/>
      <c r="G955" s="81"/>
      <c r="H955" s="40"/>
      <c r="I955" s="40"/>
      <c r="J955" s="81"/>
      <c r="K955" s="40"/>
      <c r="L955" s="40"/>
      <c r="M955" s="81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3.5" customHeight="1">
      <c r="A956" s="40"/>
      <c r="B956" s="40"/>
      <c r="C956" s="40"/>
      <c r="D956" s="81"/>
      <c r="E956" s="40"/>
      <c r="F956" s="40"/>
      <c r="G956" s="81"/>
      <c r="H956" s="40"/>
      <c r="I956" s="40"/>
      <c r="J956" s="81"/>
      <c r="K956" s="40"/>
      <c r="L956" s="40"/>
      <c r="M956" s="81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3.5" customHeight="1">
      <c r="A957" s="40"/>
      <c r="B957" s="40"/>
      <c r="C957" s="40"/>
      <c r="D957" s="81"/>
      <c r="E957" s="40"/>
      <c r="F957" s="40"/>
      <c r="G957" s="81"/>
      <c r="H957" s="40"/>
      <c r="I957" s="40"/>
      <c r="J957" s="81"/>
      <c r="K957" s="40"/>
      <c r="L957" s="40"/>
      <c r="M957" s="81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3.5" customHeight="1">
      <c r="A958" s="40"/>
      <c r="B958" s="40"/>
      <c r="C958" s="40"/>
      <c r="D958" s="81"/>
      <c r="E958" s="40"/>
      <c r="F958" s="40"/>
      <c r="G958" s="81"/>
      <c r="H958" s="40"/>
      <c r="I958" s="40"/>
      <c r="J958" s="81"/>
      <c r="K958" s="40"/>
      <c r="L958" s="40"/>
      <c r="M958" s="81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3.5" customHeight="1">
      <c r="A959" s="40"/>
      <c r="B959" s="40"/>
      <c r="C959" s="40"/>
      <c r="D959" s="81"/>
      <c r="E959" s="40"/>
      <c r="F959" s="40"/>
      <c r="G959" s="81"/>
      <c r="H959" s="40"/>
      <c r="I959" s="40"/>
      <c r="J959" s="81"/>
      <c r="K959" s="40"/>
      <c r="L959" s="40"/>
      <c r="M959" s="81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3.5" customHeight="1">
      <c r="A960" s="40"/>
      <c r="B960" s="40"/>
      <c r="C960" s="40"/>
      <c r="D960" s="81"/>
      <c r="E960" s="40"/>
      <c r="F960" s="40"/>
      <c r="G960" s="81"/>
      <c r="H960" s="40"/>
      <c r="I960" s="40"/>
      <c r="J960" s="81"/>
      <c r="K960" s="40"/>
      <c r="L960" s="40"/>
      <c r="M960" s="81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3.5" customHeight="1">
      <c r="A961" s="40"/>
      <c r="B961" s="40"/>
      <c r="C961" s="40"/>
      <c r="D961" s="81"/>
      <c r="E961" s="40"/>
      <c r="F961" s="40"/>
      <c r="G961" s="81"/>
      <c r="H961" s="40"/>
      <c r="I961" s="40"/>
      <c r="J961" s="81"/>
      <c r="K961" s="40"/>
      <c r="L961" s="40"/>
      <c r="M961" s="81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3.5" customHeight="1">
      <c r="A962" s="40"/>
      <c r="B962" s="40"/>
      <c r="C962" s="40"/>
      <c r="D962" s="81"/>
      <c r="E962" s="40"/>
      <c r="F962" s="40"/>
      <c r="G962" s="81"/>
      <c r="H962" s="40"/>
      <c r="I962" s="40"/>
      <c r="J962" s="81"/>
      <c r="K962" s="40"/>
      <c r="L962" s="40"/>
      <c r="M962" s="81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3.5" customHeight="1">
      <c r="A963" s="40"/>
      <c r="B963" s="40"/>
      <c r="C963" s="40"/>
      <c r="D963" s="81"/>
      <c r="E963" s="40"/>
      <c r="F963" s="40"/>
      <c r="G963" s="81"/>
      <c r="H963" s="40"/>
      <c r="I963" s="40"/>
      <c r="J963" s="81"/>
      <c r="K963" s="40"/>
      <c r="L963" s="40"/>
      <c r="M963" s="81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3.5" customHeight="1">
      <c r="A964" s="40"/>
      <c r="B964" s="40"/>
      <c r="C964" s="40"/>
      <c r="D964" s="81"/>
      <c r="E964" s="40"/>
      <c r="F964" s="40"/>
      <c r="G964" s="81"/>
      <c r="H964" s="40"/>
      <c r="I964" s="40"/>
      <c r="J964" s="81"/>
      <c r="K964" s="40"/>
      <c r="L964" s="40"/>
      <c r="M964" s="81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3.5" customHeight="1">
      <c r="A965" s="40"/>
      <c r="B965" s="40"/>
      <c r="C965" s="40"/>
      <c r="D965" s="81"/>
      <c r="E965" s="40"/>
      <c r="F965" s="40"/>
      <c r="G965" s="81"/>
      <c r="H965" s="40"/>
      <c r="I965" s="40"/>
      <c r="J965" s="81"/>
      <c r="K965" s="40"/>
      <c r="L965" s="40"/>
      <c r="M965" s="81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3.5" customHeight="1">
      <c r="A966" s="40"/>
      <c r="B966" s="40"/>
      <c r="C966" s="40"/>
      <c r="D966" s="81"/>
      <c r="E966" s="40"/>
      <c r="F966" s="40"/>
      <c r="G966" s="81"/>
      <c r="H966" s="40"/>
      <c r="I966" s="40"/>
      <c r="J966" s="81"/>
      <c r="K966" s="40"/>
      <c r="L966" s="40"/>
      <c r="M966" s="81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3.5" customHeight="1">
      <c r="A967" s="40"/>
      <c r="B967" s="40"/>
      <c r="C967" s="40"/>
      <c r="D967" s="81"/>
      <c r="E967" s="40"/>
      <c r="F967" s="40"/>
      <c r="G967" s="81"/>
      <c r="H967" s="40"/>
      <c r="I967" s="40"/>
      <c r="J967" s="81"/>
      <c r="K967" s="40"/>
      <c r="L967" s="40"/>
      <c r="M967" s="81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3.5" customHeight="1">
      <c r="A968" s="40"/>
      <c r="B968" s="40"/>
      <c r="C968" s="40"/>
      <c r="D968" s="81"/>
      <c r="E968" s="40"/>
      <c r="F968" s="40"/>
      <c r="G968" s="81"/>
      <c r="H968" s="40"/>
      <c r="I968" s="40"/>
      <c r="J968" s="81"/>
      <c r="K968" s="40"/>
      <c r="L968" s="40"/>
      <c r="M968" s="81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3.5" customHeight="1">
      <c r="A969" s="40"/>
      <c r="B969" s="40"/>
      <c r="C969" s="40"/>
      <c r="D969" s="81"/>
      <c r="E969" s="40"/>
      <c r="F969" s="40"/>
      <c r="G969" s="81"/>
      <c r="H969" s="40"/>
      <c r="I969" s="40"/>
      <c r="J969" s="81"/>
      <c r="K969" s="40"/>
      <c r="L969" s="40"/>
      <c r="M969" s="81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3.5" customHeight="1">
      <c r="A970" s="40"/>
      <c r="B970" s="40"/>
      <c r="C970" s="40"/>
      <c r="D970" s="81"/>
      <c r="E970" s="40"/>
      <c r="F970" s="40"/>
      <c r="G970" s="81"/>
      <c r="H970" s="40"/>
      <c r="I970" s="40"/>
      <c r="J970" s="81"/>
      <c r="K970" s="40"/>
      <c r="L970" s="40"/>
      <c r="M970" s="81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3.5" customHeight="1">
      <c r="A971" s="40"/>
      <c r="B971" s="40"/>
      <c r="C971" s="40"/>
      <c r="D971" s="81"/>
      <c r="E971" s="40"/>
      <c r="F971" s="40"/>
      <c r="G971" s="81"/>
      <c r="H971" s="40"/>
      <c r="I971" s="40"/>
      <c r="J971" s="81"/>
      <c r="K971" s="40"/>
      <c r="L971" s="40"/>
      <c r="M971" s="81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3.5" customHeight="1">
      <c r="A972" s="40"/>
      <c r="B972" s="40"/>
      <c r="C972" s="40"/>
      <c r="D972" s="81"/>
      <c r="E972" s="40"/>
      <c r="F972" s="40"/>
      <c r="G972" s="81"/>
      <c r="H972" s="40"/>
      <c r="I972" s="40"/>
      <c r="J972" s="81"/>
      <c r="K972" s="40"/>
      <c r="L972" s="40"/>
      <c r="M972" s="81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3.5" customHeight="1">
      <c r="A973" s="40"/>
      <c r="B973" s="40"/>
      <c r="C973" s="40"/>
      <c r="D973" s="81"/>
      <c r="E973" s="40"/>
      <c r="F973" s="40"/>
      <c r="G973" s="81"/>
      <c r="H973" s="40"/>
      <c r="I973" s="40"/>
      <c r="J973" s="81"/>
      <c r="K973" s="40"/>
      <c r="L973" s="40"/>
      <c r="M973" s="81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3.5" customHeight="1">
      <c r="A974" s="40"/>
      <c r="B974" s="40"/>
      <c r="C974" s="40"/>
      <c r="D974" s="81"/>
      <c r="E974" s="40"/>
      <c r="F974" s="40"/>
      <c r="G974" s="81"/>
      <c r="H974" s="40"/>
      <c r="I974" s="40"/>
      <c r="J974" s="81"/>
      <c r="K974" s="40"/>
      <c r="L974" s="40"/>
      <c r="M974" s="81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3.5" customHeight="1">
      <c r="A975" s="40"/>
      <c r="B975" s="40"/>
      <c r="C975" s="40"/>
      <c r="D975" s="81"/>
      <c r="E975" s="40"/>
      <c r="F975" s="40"/>
      <c r="G975" s="81"/>
      <c r="H975" s="40"/>
      <c r="I975" s="40"/>
      <c r="J975" s="81"/>
      <c r="K975" s="40"/>
      <c r="L975" s="40"/>
      <c r="M975" s="81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3.5" customHeight="1">
      <c r="A976" s="40"/>
      <c r="B976" s="40"/>
      <c r="C976" s="40"/>
      <c r="D976" s="81"/>
      <c r="E976" s="40"/>
      <c r="F976" s="40"/>
      <c r="G976" s="81"/>
      <c r="H976" s="40"/>
      <c r="I976" s="40"/>
      <c r="J976" s="81"/>
      <c r="K976" s="40"/>
      <c r="L976" s="40"/>
      <c r="M976" s="81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3.5" customHeight="1">
      <c r="A977" s="40"/>
      <c r="B977" s="40"/>
      <c r="C977" s="40"/>
      <c r="D977" s="81"/>
      <c r="E977" s="40"/>
      <c r="F977" s="40"/>
      <c r="G977" s="81"/>
      <c r="H977" s="40"/>
      <c r="I977" s="40"/>
      <c r="J977" s="81"/>
      <c r="K977" s="40"/>
      <c r="L977" s="40"/>
      <c r="M977" s="81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3.5" customHeight="1">
      <c r="A978" s="40"/>
      <c r="B978" s="40"/>
      <c r="C978" s="40"/>
      <c r="D978" s="81"/>
      <c r="E978" s="40"/>
      <c r="F978" s="40"/>
      <c r="G978" s="81"/>
      <c r="H978" s="40"/>
      <c r="I978" s="40"/>
      <c r="J978" s="81"/>
      <c r="K978" s="40"/>
      <c r="L978" s="40"/>
      <c r="M978" s="81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3.5" customHeight="1">
      <c r="A979" s="40"/>
      <c r="B979" s="40"/>
      <c r="C979" s="40"/>
      <c r="D979" s="81"/>
      <c r="E979" s="40"/>
      <c r="F979" s="40"/>
      <c r="G979" s="81"/>
      <c r="H979" s="40"/>
      <c r="I979" s="40"/>
      <c r="J979" s="81"/>
      <c r="K979" s="40"/>
      <c r="L979" s="40"/>
      <c r="M979" s="81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3.5" customHeight="1">
      <c r="A980" s="40"/>
      <c r="B980" s="40"/>
      <c r="C980" s="40"/>
      <c r="D980" s="81"/>
      <c r="E980" s="40"/>
      <c r="F980" s="40"/>
      <c r="G980" s="81"/>
      <c r="H980" s="40"/>
      <c r="I980" s="40"/>
      <c r="J980" s="81"/>
      <c r="K980" s="40"/>
      <c r="L980" s="40"/>
      <c r="M980" s="81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3.5" customHeight="1">
      <c r="A981" s="40"/>
      <c r="B981" s="40"/>
      <c r="C981" s="40"/>
      <c r="D981" s="81"/>
      <c r="E981" s="40"/>
      <c r="F981" s="40"/>
      <c r="G981" s="81"/>
      <c r="H981" s="40"/>
      <c r="I981" s="40"/>
      <c r="J981" s="81"/>
      <c r="K981" s="40"/>
      <c r="L981" s="40"/>
      <c r="M981" s="81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3.5" customHeight="1">
      <c r="A982" s="40"/>
      <c r="B982" s="40"/>
      <c r="C982" s="40"/>
      <c r="D982" s="81"/>
      <c r="E982" s="40"/>
      <c r="F982" s="40"/>
      <c r="G982" s="81"/>
      <c r="H982" s="40"/>
      <c r="I982" s="40"/>
      <c r="J982" s="81"/>
      <c r="K982" s="40"/>
      <c r="L982" s="40"/>
      <c r="M982" s="81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3.5" customHeight="1">
      <c r="A983" s="40"/>
      <c r="B983" s="40"/>
      <c r="C983" s="40"/>
      <c r="D983" s="81"/>
      <c r="E983" s="40"/>
      <c r="F983" s="40"/>
      <c r="G983" s="81"/>
      <c r="H983" s="40"/>
      <c r="I983" s="40"/>
      <c r="J983" s="81"/>
      <c r="K983" s="40"/>
      <c r="L983" s="40"/>
      <c r="M983" s="81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3.5" customHeight="1">
      <c r="A984" s="40"/>
      <c r="B984" s="40"/>
      <c r="C984" s="40"/>
      <c r="D984" s="81"/>
      <c r="E984" s="40"/>
      <c r="F984" s="40"/>
      <c r="G984" s="81"/>
      <c r="H984" s="40"/>
      <c r="I984" s="40"/>
      <c r="J984" s="81"/>
      <c r="K984" s="40"/>
      <c r="L984" s="40"/>
      <c r="M984" s="81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3.5" customHeight="1">
      <c r="A985" s="40"/>
      <c r="B985" s="40"/>
      <c r="C985" s="40"/>
      <c r="D985" s="81"/>
      <c r="E985" s="40"/>
      <c r="F985" s="40"/>
      <c r="G985" s="81"/>
      <c r="H985" s="40"/>
      <c r="I985" s="40"/>
      <c r="J985" s="81"/>
      <c r="K985" s="40"/>
      <c r="L985" s="40"/>
      <c r="M985" s="81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3.5" customHeight="1">
      <c r="A986" s="40"/>
      <c r="B986" s="40"/>
      <c r="C986" s="40"/>
      <c r="D986" s="81"/>
      <c r="E986" s="40"/>
      <c r="F986" s="40"/>
      <c r="G986" s="81"/>
      <c r="H986" s="40"/>
      <c r="I986" s="40"/>
      <c r="J986" s="81"/>
      <c r="K986" s="40"/>
      <c r="L986" s="40"/>
      <c r="M986" s="81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3.5" customHeight="1">
      <c r="A987" s="40"/>
      <c r="B987" s="40"/>
      <c r="C987" s="40"/>
      <c r="D987" s="81"/>
      <c r="E987" s="40"/>
      <c r="F987" s="40"/>
      <c r="G987" s="81"/>
      <c r="H987" s="40"/>
      <c r="I987" s="40"/>
      <c r="J987" s="81"/>
      <c r="K987" s="40"/>
      <c r="L987" s="40"/>
      <c r="M987" s="81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3.5" customHeight="1">
      <c r="A988" s="40"/>
      <c r="B988" s="40"/>
      <c r="C988" s="40"/>
      <c r="D988" s="81"/>
      <c r="E988" s="40"/>
      <c r="F988" s="40"/>
      <c r="G988" s="81"/>
      <c r="H988" s="40"/>
      <c r="I988" s="40"/>
      <c r="J988" s="81"/>
      <c r="K988" s="40"/>
      <c r="L988" s="40"/>
      <c r="M988" s="81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3.5" customHeight="1">
      <c r="A989" s="40"/>
      <c r="B989" s="40"/>
      <c r="C989" s="40"/>
      <c r="D989" s="81"/>
      <c r="E989" s="40"/>
      <c r="F989" s="40"/>
      <c r="G989" s="81"/>
      <c r="H989" s="40"/>
      <c r="I989" s="40"/>
      <c r="J989" s="81"/>
      <c r="K989" s="40"/>
      <c r="L989" s="40"/>
      <c r="M989" s="81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3.5" customHeight="1">
      <c r="A990" s="40"/>
      <c r="B990" s="40"/>
      <c r="C990" s="40"/>
      <c r="D990" s="81"/>
      <c r="E990" s="40"/>
      <c r="F990" s="40"/>
      <c r="G990" s="81"/>
      <c r="H990" s="40"/>
      <c r="I990" s="40"/>
      <c r="J990" s="81"/>
      <c r="K990" s="40"/>
      <c r="L990" s="40"/>
      <c r="M990" s="81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3.5" customHeight="1">
      <c r="A991" s="40"/>
      <c r="B991" s="40"/>
      <c r="C991" s="40"/>
      <c r="D991" s="81"/>
      <c r="E991" s="40"/>
      <c r="F991" s="40"/>
      <c r="G991" s="81"/>
      <c r="H991" s="40"/>
      <c r="I991" s="40"/>
      <c r="J991" s="81"/>
      <c r="K991" s="40"/>
      <c r="L991" s="40"/>
      <c r="M991" s="81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3.5" customHeight="1">
      <c r="A992" s="40"/>
      <c r="B992" s="40"/>
      <c r="C992" s="40"/>
      <c r="D992" s="81"/>
      <c r="E992" s="40"/>
      <c r="F992" s="40"/>
      <c r="G992" s="81"/>
      <c r="H992" s="40"/>
      <c r="I992" s="40"/>
      <c r="J992" s="81"/>
      <c r="K992" s="40"/>
      <c r="L992" s="40"/>
      <c r="M992" s="81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3.5" customHeight="1">
      <c r="A993" s="40"/>
      <c r="B993" s="40"/>
      <c r="C993" s="40"/>
      <c r="D993" s="81"/>
      <c r="E993" s="40"/>
      <c r="F993" s="40"/>
      <c r="G993" s="81"/>
      <c r="H993" s="40"/>
      <c r="I993" s="40"/>
      <c r="J993" s="81"/>
      <c r="K993" s="40"/>
      <c r="L993" s="40"/>
      <c r="M993" s="81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3.5" customHeight="1">
      <c r="A994" s="40"/>
      <c r="B994" s="40"/>
      <c r="C994" s="40"/>
      <c r="D994" s="81"/>
      <c r="E994" s="40"/>
      <c r="F994" s="40"/>
      <c r="G994" s="81"/>
      <c r="H994" s="40"/>
      <c r="I994" s="40"/>
      <c r="J994" s="81"/>
      <c r="K994" s="40"/>
      <c r="L994" s="40"/>
      <c r="M994" s="81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3.5" customHeight="1">
      <c r="A995" s="40"/>
      <c r="B995" s="40"/>
      <c r="C995" s="40"/>
      <c r="D995" s="81"/>
      <c r="E995" s="40"/>
      <c r="F995" s="40"/>
      <c r="G995" s="81"/>
      <c r="H995" s="40"/>
      <c r="I995" s="40"/>
      <c r="J995" s="81"/>
      <c r="K995" s="40"/>
      <c r="L995" s="40"/>
      <c r="M995" s="81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3.5" customHeight="1">
      <c r="A996" s="40"/>
      <c r="B996" s="40"/>
      <c r="C996" s="40"/>
      <c r="D996" s="81"/>
      <c r="E996" s="40"/>
      <c r="F996" s="40"/>
      <c r="G996" s="81"/>
      <c r="H996" s="40"/>
      <c r="I996" s="40"/>
      <c r="J996" s="81"/>
      <c r="K996" s="40"/>
      <c r="L996" s="40"/>
      <c r="M996" s="81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1:26" ht="13.5" customHeight="1">
      <c r="A997" s="40"/>
      <c r="B997" s="40"/>
      <c r="C997" s="40"/>
      <c r="D997" s="81"/>
      <c r="E997" s="40"/>
      <c r="F997" s="40"/>
      <c r="G997" s="81"/>
      <c r="H997" s="40"/>
      <c r="I997" s="40"/>
      <c r="J997" s="81"/>
      <c r="K997" s="40"/>
      <c r="L997" s="40"/>
      <c r="M997" s="81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1:26" ht="13.5" customHeight="1">
      <c r="A998" s="40"/>
      <c r="B998" s="40"/>
      <c r="C998" s="40"/>
      <c r="D998" s="81"/>
      <c r="E998" s="40"/>
      <c r="F998" s="40"/>
      <c r="G998" s="81"/>
      <c r="H998" s="40"/>
      <c r="I998" s="40"/>
      <c r="J998" s="81"/>
      <c r="K998" s="40"/>
      <c r="L998" s="40"/>
      <c r="M998" s="81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1:26" ht="16.5">
      <c r="A999" s="2"/>
      <c r="B999" s="2"/>
      <c r="C999" s="2"/>
      <c r="D999" s="91"/>
      <c r="E999" s="2"/>
      <c r="F999" s="2"/>
      <c r="G999" s="91"/>
      <c r="H999" s="2"/>
      <c r="I999" s="2"/>
      <c r="J999" s="91"/>
      <c r="K999" s="2"/>
      <c r="L999" s="2"/>
      <c r="M999" s="91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6.5">
      <c r="A1000" s="2"/>
      <c r="B1000" s="2"/>
      <c r="C1000" s="2"/>
      <c r="D1000" s="91"/>
      <c r="E1000" s="2"/>
      <c r="F1000" s="2"/>
      <c r="G1000" s="91"/>
      <c r="H1000" s="2"/>
      <c r="I1000" s="2"/>
      <c r="J1000" s="91"/>
      <c r="K1000" s="2"/>
      <c r="L1000" s="2"/>
      <c r="M1000" s="91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N1"/>
  </mergeCells>
  <dataValidations count="1">
    <dataValidation type="list" allowBlank="1" showErrorMessage="1" sqref="H3 K3" xr:uid="{00000000-0002-0000-0300-000000000000}">
      <formula1>$A$14:$A$15</formula1>
    </dataValidation>
  </dataValidation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11"/>
  <sheetViews>
    <sheetView showGridLines="0" topLeftCell="A62" workbookViewId="0">
      <selection activeCell="C98" sqref="C98"/>
    </sheetView>
  </sheetViews>
  <sheetFormatPr baseColWidth="10" defaultColWidth="14.42578125" defaultRowHeight="15" customHeight="1"/>
  <cols>
    <col min="1" max="1" width="25.42578125" customWidth="1"/>
    <col min="2" max="2" width="25.28515625" customWidth="1"/>
    <col min="3" max="3" width="17.42578125" customWidth="1"/>
    <col min="5" max="5" width="17.42578125" customWidth="1"/>
    <col min="6" max="6" width="14.85546875" customWidth="1"/>
    <col min="7" max="7" width="11.42578125" customWidth="1"/>
    <col min="8" max="8" width="13.7109375" customWidth="1"/>
    <col min="9" max="9" width="17.7109375" customWidth="1"/>
    <col min="10" max="14" width="11.42578125" customWidth="1"/>
    <col min="15" max="26" width="10.7109375" customWidth="1"/>
  </cols>
  <sheetData>
    <row r="1" spans="1:26" ht="22.5" customHeight="1">
      <c r="A1" s="289" t="s">
        <v>177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3"/>
      <c r="M1" s="61"/>
      <c r="N1" s="61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19.5" customHeight="1">
      <c r="A2" s="290" t="s">
        <v>178</v>
      </c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2"/>
      <c r="M2" s="111"/>
      <c r="N2" s="112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4.25" customHeight="1">
      <c r="A3" s="113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30" customHeight="1">
      <c r="A4" s="114" t="s">
        <v>179</v>
      </c>
      <c r="B4" s="114" t="s">
        <v>180</v>
      </c>
      <c r="C4" s="114" t="s">
        <v>181</v>
      </c>
      <c r="D4" s="114" t="s">
        <v>182</v>
      </c>
      <c r="E4" s="114" t="s">
        <v>183</v>
      </c>
      <c r="F4" s="114" t="s">
        <v>184</v>
      </c>
      <c r="G4" s="114" t="s">
        <v>294</v>
      </c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4.25" customHeight="1">
      <c r="A5" s="115" t="s">
        <v>185</v>
      </c>
      <c r="B5" s="116">
        <v>19</v>
      </c>
      <c r="C5" s="116" t="s">
        <v>186</v>
      </c>
      <c r="D5" s="117">
        <v>277999</v>
      </c>
      <c r="E5" s="117">
        <f>+D5/B5</f>
        <v>14631.526315789473</v>
      </c>
      <c r="F5" s="116" t="s">
        <v>187</v>
      </c>
      <c r="G5" s="118">
        <v>45814</v>
      </c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4.25" customHeight="1">
      <c r="A6" s="115" t="s">
        <v>188</v>
      </c>
      <c r="B6" s="116">
        <v>19</v>
      </c>
      <c r="C6" s="116" t="s">
        <v>186</v>
      </c>
      <c r="D6" s="117">
        <v>125302</v>
      </c>
      <c r="E6" s="117">
        <f t="shared" ref="E6" si="0">+D6/B6</f>
        <v>6594.8421052631575</v>
      </c>
      <c r="F6" s="116" t="s">
        <v>187</v>
      </c>
      <c r="G6" s="118">
        <v>45814</v>
      </c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4.25" hidden="1" customHeight="1">
      <c r="A7" s="115" t="s">
        <v>189</v>
      </c>
      <c r="B7" s="116">
        <v>10</v>
      </c>
      <c r="C7" s="116" t="s">
        <v>190</v>
      </c>
      <c r="D7" s="117">
        <v>135000</v>
      </c>
      <c r="E7" s="117">
        <f t="shared" ref="E7:E11" si="1">D7/B7</f>
        <v>13500</v>
      </c>
      <c r="F7" s="116" t="s">
        <v>191</v>
      </c>
      <c r="G7" s="118">
        <v>45814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4.25" customHeight="1">
      <c r="A8" s="115" t="s">
        <v>192</v>
      </c>
      <c r="B8" s="116">
        <v>1</v>
      </c>
      <c r="C8" s="116" t="s">
        <v>193</v>
      </c>
      <c r="D8" s="117">
        <v>8000</v>
      </c>
      <c r="E8" s="117">
        <f t="shared" si="1"/>
        <v>8000</v>
      </c>
      <c r="F8" s="116" t="s">
        <v>191</v>
      </c>
      <c r="G8" s="118">
        <v>45814</v>
      </c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4.25" hidden="1" customHeight="1">
      <c r="A9" s="115" t="s">
        <v>194</v>
      </c>
      <c r="B9" s="116">
        <v>6</v>
      </c>
      <c r="C9" s="116" t="s">
        <v>195</v>
      </c>
      <c r="D9" s="117">
        <v>89672.45</v>
      </c>
      <c r="E9" s="117">
        <f t="shared" si="1"/>
        <v>14945.408333333333</v>
      </c>
      <c r="F9" s="116" t="s">
        <v>196</v>
      </c>
      <c r="G9" s="118">
        <v>45814</v>
      </c>
      <c r="H9" s="40"/>
      <c r="I9" s="119">
        <f>237000/20</f>
        <v>11850</v>
      </c>
      <c r="J9" s="119">
        <f>+I9*1.5</f>
        <v>17775</v>
      </c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4.25" hidden="1" customHeight="1">
      <c r="A10" s="115" t="s">
        <v>197</v>
      </c>
      <c r="B10" s="116">
        <v>3</v>
      </c>
      <c r="C10" s="116" t="s">
        <v>195</v>
      </c>
      <c r="D10" s="117">
        <v>65450</v>
      </c>
      <c r="E10" s="117">
        <f t="shared" si="1"/>
        <v>21816.666666666668</v>
      </c>
      <c r="F10" s="116" t="s">
        <v>196</v>
      </c>
      <c r="G10" s="118">
        <v>45814</v>
      </c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4.25" customHeight="1">
      <c r="A11" s="115" t="s">
        <v>323</v>
      </c>
      <c r="B11" s="116">
        <v>1</v>
      </c>
      <c r="C11" s="116" t="s">
        <v>324</v>
      </c>
      <c r="D11" s="117">
        <v>650</v>
      </c>
      <c r="E11" s="117">
        <f t="shared" si="1"/>
        <v>650</v>
      </c>
      <c r="F11" s="116" t="s">
        <v>325</v>
      </c>
      <c r="G11" s="118">
        <v>45918</v>
      </c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4.25" customHeight="1">
      <c r="A12" s="115" t="s">
        <v>198</v>
      </c>
      <c r="B12" s="116">
        <v>50</v>
      </c>
      <c r="C12" s="116" t="s">
        <v>199</v>
      </c>
      <c r="D12" s="117">
        <v>25600</v>
      </c>
      <c r="E12" s="117">
        <f>D12/B12</f>
        <v>512</v>
      </c>
      <c r="F12" s="116" t="s">
        <v>200</v>
      </c>
      <c r="G12" s="118">
        <v>45918</v>
      </c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4.25" customHeight="1">
      <c r="A13" s="120"/>
      <c r="B13" s="83"/>
      <c r="C13" s="83"/>
      <c r="D13" s="83"/>
      <c r="E13" s="83"/>
      <c r="F13" s="83"/>
      <c r="G13" s="83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4.25" customHeight="1">
      <c r="A14" s="293" t="s">
        <v>201</v>
      </c>
      <c r="B14" s="294"/>
      <c r="C14" s="294"/>
      <c r="D14" s="294"/>
      <c r="E14" s="294"/>
      <c r="F14" s="294"/>
      <c r="G14" s="294"/>
      <c r="H14" s="294"/>
      <c r="I14" s="294"/>
      <c r="J14" s="295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4.25" customHeight="1">
      <c r="A15" s="113"/>
      <c r="B15" s="40"/>
      <c r="C15" s="40"/>
      <c r="D15" s="40"/>
      <c r="E15" s="40"/>
      <c r="F15" s="83"/>
      <c r="G15" s="83"/>
      <c r="H15" s="83"/>
      <c r="I15" s="83"/>
      <c r="J15" s="83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36.75" customHeight="1">
      <c r="A16" s="114" t="s">
        <v>179</v>
      </c>
      <c r="B16" s="114" t="s">
        <v>202</v>
      </c>
      <c r="C16" s="114" t="s">
        <v>203</v>
      </c>
      <c r="D16" s="114" t="s">
        <v>204</v>
      </c>
      <c r="E16" s="114" t="s">
        <v>205</v>
      </c>
      <c r="F16" s="114" t="s">
        <v>206</v>
      </c>
      <c r="G16" s="114" t="s">
        <v>181</v>
      </c>
      <c r="H16" s="114" t="s">
        <v>207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4.25" customHeight="1">
      <c r="A17" s="115" t="s">
        <v>208</v>
      </c>
      <c r="B17" s="121">
        <v>0.67</v>
      </c>
      <c r="C17" s="121" t="s">
        <v>209</v>
      </c>
      <c r="D17" s="122">
        <v>0.2</v>
      </c>
      <c r="E17" s="121">
        <f>'DATOS INICIALES'!$D$16*B17</f>
        <v>0</v>
      </c>
      <c r="F17" s="122">
        <f>E17*(1+D17)</f>
        <v>0</v>
      </c>
      <c r="G17" s="121" t="s">
        <v>210</v>
      </c>
      <c r="H17" s="123">
        <f>F17*E5</f>
        <v>0</v>
      </c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4.25" customHeight="1">
      <c r="A18" s="115" t="s">
        <v>188</v>
      </c>
      <c r="B18" s="121">
        <v>0.2</v>
      </c>
      <c r="C18" s="121" t="s">
        <v>211</v>
      </c>
      <c r="D18" s="122">
        <v>0.2</v>
      </c>
      <c r="E18" s="121">
        <f>'DATOS INICIALES'!$D$16*B18</f>
        <v>0</v>
      </c>
      <c r="F18" s="122">
        <f>E18*(1+D18)</f>
        <v>0</v>
      </c>
      <c r="G18" s="121" t="s">
        <v>211</v>
      </c>
      <c r="H18" s="123">
        <f>F18*E6</f>
        <v>0</v>
      </c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4.25" customHeight="1">
      <c r="A19" s="115" t="s">
        <v>192</v>
      </c>
      <c r="B19" s="121">
        <v>0.2</v>
      </c>
      <c r="C19" s="121" t="s">
        <v>212</v>
      </c>
      <c r="D19" s="122">
        <v>0.2</v>
      </c>
      <c r="E19" s="121">
        <f>'DATOS INICIALES'!$D$16*B19</f>
        <v>0</v>
      </c>
      <c r="F19" s="122">
        <f>E19*(1+D19)</f>
        <v>0</v>
      </c>
      <c r="G19" s="121" t="s">
        <v>213</v>
      </c>
      <c r="H19" s="123">
        <f>F19*E8</f>
        <v>0</v>
      </c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4.25" customHeight="1">
      <c r="A20" s="115" t="s">
        <v>323</v>
      </c>
      <c r="B20" s="116">
        <v>1</v>
      </c>
      <c r="C20" s="116" t="s">
        <v>324</v>
      </c>
      <c r="D20" s="122">
        <v>0.2</v>
      </c>
      <c r="E20" s="121">
        <f>'DATOS INICIALES'!$D$16*B20</f>
        <v>0</v>
      </c>
      <c r="F20" s="122">
        <f>E20*(1+D20)</f>
        <v>0</v>
      </c>
      <c r="G20" s="118" t="s">
        <v>326</v>
      </c>
      <c r="H20" s="123">
        <f>F20*E9</f>
        <v>0</v>
      </c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2" customHeight="1">
      <c r="A21" s="115" t="s">
        <v>214</v>
      </c>
      <c r="B21" s="121">
        <v>1</v>
      </c>
      <c r="C21" s="121" t="s">
        <v>215</v>
      </c>
      <c r="D21" s="122">
        <v>0.2</v>
      </c>
      <c r="E21" s="121">
        <f>'DATOS INICIALES'!$D$16*B21</f>
        <v>0</v>
      </c>
      <c r="F21" s="122">
        <f>E21*(1+D21)</f>
        <v>0</v>
      </c>
      <c r="G21" s="121" t="s">
        <v>216</v>
      </c>
      <c r="H21" s="123">
        <f>F21*E12</f>
        <v>0</v>
      </c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4.25" customHeight="1">
      <c r="A22" s="296" t="s">
        <v>139</v>
      </c>
      <c r="B22" s="297"/>
      <c r="C22" s="297"/>
      <c r="D22" s="297"/>
      <c r="E22" s="297"/>
      <c r="F22" s="297"/>
      <c r="G22" s="298"/>
      <c r="H22" s="124">
        <f>SUM(H17:H21)</f>
        <v>0</v>
      </c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4.25" customHeight="1">
      <c r="A23" s="113"/>
      <c r="B23" s="40"/>
      <c r="C23" s="40"/>
      <c r="D23" s="40"/>
      <c r="E23" s="40"/>
      <c r="F23" s="83"/>
      <c r="G23" s="83"/>
      <c r="H23" s="83"/>
      <c r="I23" s="83"/>
      <c r="J23" s="83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4.25" customHeight="1">
      <c r="A24" s="293" t="s">
        <v>217</v>
      </c>
      <c r="B24" s="294"/>
      <c r="C24" s="294"/>
      <c r="D24" s="294"/>
      <c r="E24" s="294"/>
      <c r="F24" s="294"/>
      <c r="G24" s="294"/>
      <c r="H24" s="294"/>
      <c r="I24" s="294"/>
      <c r="J24" s="295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4.25" customHeight="1">
      <c r="A25" s="113"/>
      <c r="B25" s="40"/>
      <c r="C25" s="40"/>
      <c r="D25" s="40"/>
      <c r="E25" s="40"/>
      <c r="F25" s="83"/>
      <c r="G25" s="83"/>
      <c r="H25" s="83"/>
      <c r="I25" s="83"/>
      <c r="J25" s="83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31.5" customHeight="1">
      <c r="A26" s="125" t="s">
        <v>179</v>
      </c>
      <c r="B26" s="126" t="s">
        <v>180</v>
      </c>
      <c r="C26" s="125" t="s">
        <v>181</v>
      </c>
      <c r="D26" s="125" t="s">
        <v>182</v>
      </c>
      <c r="E26" s="125" t="s">
        <v>183</v>
      </c>
      <c r="F26" s="165" t="s">
        <v>184</v>
      </c>
      <c r="G26" s="114" t="s">
        <v>294</v>
      </c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4.25" customHeight="1">
      <c r="A27" s="115" t="s">
        <v>192</v>
      </c>
      <c r="B27" s="116">
        <v>1</v>
      </c>
      <c r="C27" s="116" t="s">
        <v>193</v>
      </c>
      <c r="D27" s="127">
        <f>D8</f>
        <v>8000</v>
      </c>
      <c r="E27" s="128">
        <f>D27/B27</f>
        <v>8000</v>
      </c>
      <c r="F27" s="166" t="s">
        <v>218</v>
      </c>
      <c r="G27" s="118">
        <f>+G8</f>
        <v>45814</v>
      </c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4.25" customHeight="1">
      <c r="A28" s="115" t="s">
        <v>208</v>
      </c>
      <c r="B28" s="129">
        <v>5.6</v>
      </c>
      <c r="C28" s="116" t="s">
        <v>193</v>
      </c>
      <c r="D28" s="128">
        <f>D6</f>
        <v>125302</v>
      </c>
      <c r="E28" s="128">
        <f>D28/B28</f>
        <v>22375.357142857145</v>
      </c>
      <c r="F28" s="166" t="s">
        <v>218</v>
      </c>
      <c r="G28" s="118">
        <f>+G6</f>
        <v>45814</v>
      </c>
      <c r="H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4.25" customHeight="1">
      <c r="A29" s="115" t="s">
        <v>323</v>
      </c>
      <c r="B29" s="116">
        <v>1</v>
      </c>
      <c r="C29" s="116" t="s">
        <v>324</v>
      </c>
      <c r="D29" s="128">
        <f>D11</f>
        <v>650</v>
      </c>
      <c r="E29" s="128">
        <f>D29/B29</f>
        <v>650</v>
      </c>
      <c r="F29" s="204" t="str">
        <f>G20</f>
        <v>Unidad/Equipo</v>
      </c>
      <c r="G29" s="118">
        <v>45919</v>
      </c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4.25" customHeight="1">
      <c r="A30" s="115" t="s">
        <v>220</v>
      </c>
      <c r="B30" s="129">
        <v>400</v>
      </c>
      <c r="C30" s="129" t="s">
        <v>221</v>
      </c>
      <c r="D30" s="128">
        <v>34000</v>
      </c>
      <c r="E30" s="128">
        <f>D30/B30</f>
        <v>85</v>
      </c>
      <c r="F30" s="166" t="s">
        <v>222</v>
      </c>
      <c r="G30" s="118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4.25" customHeight="1">
      <c r="A31" s="113"/>
      <c r="B31" s="40"/>
      <c r="C31" s="40"/>
      <c r="D31" s="40"/>
      <c r="E31" s="40"/>
      <c r="F31" s="83"/>
      <c r="G31" s="83"/>
      <c r="H31" s="83"/>
      <c r="I31" s="83"/>
      <c r="J31" s="83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4.25" customHeight="1">
      <c r="A32" s="293" t="s">
        <v>223</v>
      </c>
      <c r="B32" s="294"/>
      <c r="C32" s="294"/>
      <c r="D32" s="294"/>
      <c r="E32" s="294"/>
      <c r="F32" s="294"/>
      <c r="G32" s="294"/>
      <c r="H32" s="294"/>
      <c r="I32" s="294"/>
      <c r="J32" s="295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4.25" customHeight="1">
      <c r="A33" s="113"/>
      <c r="B33" s="40"/>
      <c r="C33" s="40"/>
      <c r="D33" s="40"/>
      <c r="E33" s="40"/>
      <c r="F33" s="40"/>
      <c r="G33" s="40"/>
      <c r="H33" s="40"/>
      <c r="I33" s="83"/>
      <c r="J33" s="83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39" customHeight="1">
      <c r="A34" s="125" t="s">
        <v>179</v>
      </c>
      <c r="B34" s="125" t="s">
        <v>224</v>
      </c>
      <c r="C34" s="125" t="s">
        <v>203</v>
      </c>
      <c r="D34" s="125" t="s">
        <v>204</v>
      </c>
      <c r="E34" s="125" t="s">
        <v>225</v>
      </c>
      <c r="F34" s="125" t="s">
        <v>206</v>
      </c>
      <c r="G34" s="125" t="s">
        <v>181</v>
      </c>
      <c r="H34" s="125" t="s">
        <v>207</v>
      </c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4.25" customHeight="1">
      <c r="A35" s="115" t="s">
        <v>192</v>
      </c>
      <c r="B35" s="116">
        <v>1</v>
      </c>
      <c r="C35" s="116" t="s">
        <v>226</v>
      </c>
      <c r="D35" s="122">
        <v>0.2</v>
      </c>
      <c r="E35" s="116">
        <f>'DATOS INICIALES'!$C$21*B35</f>
        <v>1</v>
      </c>
      <c r="F35" s="130">
        <f>E35*(1+D35)</f>
        <v>1.2</v>
      </c>
      <c r="G35" s="116" t="s">
        <v>213</v>
      </c>
      <c r="H35" s="131">
        <f>F35*E27</f>
        <v>9600</v>
      </c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4.25" customHeight="1">
      <c r="A36" s="115" t="s">
        <v>208</v>
      </c>
      <c r="B36" s="116">
        <v>1</v>
      </c>
      <c r="C36" s="116" t="s">
        <v>227</v>
      </c>
      <c r="D36" s="122">
        <v>0.2</v>
      </c>
      <c r="E36" s="116">
        <f>'DATOS INICIALES'!$C$21*B36</f>
        <v>1</v>
      </c>
      <c r="F36" s="130">
        <f t="shared" ref="F36:F38" si="2">E36*(1+D36)</f>
        <v>1.2</v>
      </c>
      <c r="G36" s="116" t="s">
        <v>213</v>
      </c>
      <c r="H36" s="131">
        <f>F36*E28</f>
        <v>26850.428571428572</v>
      </c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4.25" customHeight="1">
      <c r="A37" s="115" t="s">
        <v>323</v>
      </c>
      <c r="B37" s="116">
        <v>1</v>
      </c>
      <c r="C37" s="116" t="s">
        <v>324</v>
      </c>
      <c r="D37" s="122">
        <v>0.2</v>
      </c>
      <c r="E37" s="116">
        <f>'DATOS INICIALES'!$C$21*B37</f>
        <v>1</v>
      </c>
      <c r="F37" s="130">
        <f t="shared" si="2"/>
        <v>1.2</v>
      </c>
      <c r="G37" s="204" t="s">
        <v>326</v>
      </c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4.25" customHeight="1">
      <c r="A38" s="115" t="s">
        <v>220</v>
      </c>
      <c r="B38" s="116">
        <v>80</v>
      </c>
      <c r="C38" s="116" t="s">
        <v>228</v>
      </c>
      <c r="D38" s="122">
        <v>0.2</v>
      </c>
      <c r="E38" s="116">
        <f>'DATOS INICIALES'!$C$21*B38</f>
        <v>80</v>
      </c>
      <c r="F38" s="130">
        <f t="shared" si="2"/>
        <v>96</v>
      </c>
      <c r="G38" s="116" t="s">
        <v>229</v>
      </c>
      <c r="H38" s="131">
        <f>F38*E30</f>
        <v>8160</v>
      </c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4.25" customHeight="1">
      <c r="A39" s="296" t="s">
        <v>139</v>
      </c>
      <c r="B39" s="297"/>
      <c r="C39" s="297"/>
      <c r="D39" s="297"/>
      <c r="E39" s="297"/>
      <c r="F39" s="297"/>
      <c r="G39" s="298"/>
      <c r="H39" s="124">
        <f>SUM(H34:H38)</f>
        <v>44610.428571428572</v>
      </c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4.25" customHeight="1">
      <c r="A40" s="113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4.25" customHeight="1">
      <c r="A41" s="293" t="s">
        <v>230</v>
      </c>
      <c r="B41" s="294"/>
      <c r="C41" s="294"/>
      <c r="D41" s="294"/>
      <c r="E41" s="294"/>
      <c r="F41" s="294"/>
      <c r="G41" s="294"/>
      <c r="H41" s="294"/>
      <c r="I41" s="294"/>
      <c r="J41" s="295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4.25" customHeight="1">
      <c r="A42" s="113"/>
      <c r="B42" s="40"/>
      <c r="C42" s="40"/>
      <c r="D42" s="40"/>
      <c r="E42" s="40"/>
      <c r="F42" s="83"/>
      <c r="G42" s="83"/>
      <c r="H42" s="83"/>
      <c r="I42" s="83"/>
      <c r="J42" s="83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31.5" customHeight="1">
      <c r="A43" s="125" t="s">
        <v>179</v>
      </c>
      <c r="B43" s="126" t="s">
        <v>180</v>
      </c>
      <c r="C43" s="125" t="s">
        <v>181</v>
      </c>
      <c r="D43" s="125" t="s">
        <v>182</v>
      </c>
      <c r="E43" s="125" t="s">
        <v>183</v>
      </c>
      <c r="F43" s="165" t="s">
        <v>184</v>
      </c>
      <c r="G43" s="114" t="s">
        <v>294</v>
      </c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4.25" customHeight="1">
      <c r="A44" s="115" t="s">
        <v>192</v>
      </c>
      <c r="B44" s="116">
        <f>+B8</f>
        <v>1</v>
      </c>
      <c r="C44" s="116" t="s">
        <v>193</v>
      </c>
      <c r="D44" s="127">
        <f>+D8</f>
        <v>8000</v>
      </c>
      <c r="E44" s="128">
        <f>+D44/B44</f>
        <v>8000</v>
      </c>
      <c r="F44" s="166" t="s">
        <v>218</v>
      </c>
      <c r="G44" s="118">
        <f>+G8</f>
        <v>45814</v>
      </c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4.25" hidden="1" customHeight="1">
      <c r="A45" s="132"/>
      <c r="B45" s="129">
        <v>0</v>
      </c>
      <c r="C45" s="116" t="s">
        <v>231</v>
      </c>
      <c r="D45" s="128">
        <v>31900</v>
      </c>
      <c r="E45" s="128" t="e">
        <f t="shared" ref="E45:E46" si="3">+D45/B45</f>
        <v>#DIV/0!</v>
      </c>
      <c r="F45" s="166" t="s">
        <v>219</v>
      </c>
      <c r="G45" s="118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4.25" customHeight="1">
      <c r="A46" s="132" t="s">
        <v>188</v>
      </c>
      <c r="B46" s="129">
        <f>+B6</f>
        <v>19</v>
      </c>
      <c r="C46" s="129" t="s">
        <v>186</v>
      </c>
      <c r="D46" s="128">
        <f>+D6</f>
        <v>125302</v>
      </c>
      <c r="E46" s="128">
        <f t="shared" si="3"/>
        <v>6594.8421052631575</v>
      </c>
      <c r="F46" s="166" t="s">
        <v>187</v>
      </c>
      <c r="G46" s="118">
        <f>+G6</f>
        <v>45814</v>
      </c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4.25" customHeight="1">
      <c r="A47" s="113"/>
      <c r="B47" s="40"/>
      <c r="C47" s="40"/>
      <c r="D47" s="40"/>
      <c r="E47" s="40"/>
      <c r="F47" s="83"/>
      <c r="G47" s="83"/>
      <c r="H47" s="83"/>
      <c r="I47" s="83"/>
      <c r="J47" s="83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4.25" customHeight="1">
      <c r="A48" s="293" t="s">
        <v>232</v>
      </c>
      <c r="B48" s="294"/>
      <c r="C48" s="294"/>
      <c r="D48" s="294"/>
      <c r="E48" s="294"/>
      <c r="F48" s="294"/>
      <c r="G48" s="294"/>
      <c r="H48" s="294"/>
      <c r="I48" s="294"/>
      <c r="J48" s="295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4.25" customHeight="1">
      <c r="A49" s="113"/>
      <c r="B49" s="40"/>
      <c r="C49" s="40"/>
      <c r="D49" s="40"/>
      <c r="E49" s="40"/>
      <c r="F49" s="40"/>
      <c r="G49" s="40"/>
      <c r="H49" s="40"/>
      <c r="I49" s="83"/>
      <c r="J49" s="83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37.5" customHeight="1">
      <c r="A50" s="125" t="s">
        <v>179</v>
      </c>
      <c r="B50" s="125" t="s">
        <v>233</v>
      </c>
      <c r="C50" s="125" t="s">
        <v>203</v>
      </c>
      <c r="D50" s="125" t="s">
        <v>204</v>
      </c>
      <c r="E50" s="125" t="s">
        <v>225</v>
      </c>
      <c r="F50" s="125" t="s">
        <v>206</v>
      </c>
      <c r="G50" s="125" t="s">
        <v>181</v>
      </c>
      <c r="H50" s="125" t="s">
        <v>207</v>
      </c>
      <c r="I50" s="299" t="s">
        <v>234</v>
      </c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4.25" customHeight="1">
      <c r="A51" s="115" t="s">
        <v>192</v>
      </c>
      <c r="B51" s="116">
        <v>0.5</v>
      </c>
      <c r="C51" s="116" t="s">
        <v>212</v>
      </c>
      <c r="D51" s="122">
        <v>0.2</v>
      </c>
      <c r="E51" s="131">
        <f>+'DATOS INICIALES'!H13*B51</f>
        <v>1</v>
      </c>
      <c r="F51" s="131">
        <f>E51*(1+D51)</f>
        <v>1.2</v>
      </c>
      <c r="G51" s="116" t="s">
        <v>213</v>
      </c>
      <c r="H51" s="131">
        <f>+F51*E44</f>
        <v>9600</v>
      </c>
      <c r="I51" s="255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4.25" hidden="1" customHeight="1">
      <c r="A52" s="132"/>
      <c r="B52" s="116"/>
      <c r="C52" s="116"/>
      <c r="D52" s="122">
        <v>0.2</v>
      </c>
      <c r="E52" s="131">
        <f t="shared" ref="E52" si="4">B52*(1+D52)</f>
        <v>0</v>
      </c>
      <c r="F52" s="131">
        <f t="shared" ref="F52" si="5">E52*(1+D52)</f>
        <v>0</v>
      </c>
      <c r="G52" s="116"/>
      <c r="H52" s="131">
        <f t="shared" ref="H52" si="6">+F52*B52</f>
        <v>0</v>
      </c>
      <c r="I52" s="255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4.25" customHeight="1">
      <c r="A53" s="134" t="s">
        <v>188</v>
      </c>
      <c r="B53" s="121">
        <v>1.5</v>
      </c>
      <c r="C53" s="121" t="s">
        <v>235</v>
      </c>
      <c r="D53" s="122">
        <v>0.2</v>
      </c>
      <c r="E53" s="131">
        <f>+'DATOS INICIALES'!H13*B53</f>
        <v>3</v>
      </c>
      <c r="F53" s="131">
        <f>E53*(1+D53)</f>
        <v>3.5999999999999996</v>
      </c>
      <c r="G53" s="121" t="s">
        <v>236</v>
      </c>
      <c r="H53" s="131">
        <f>+F53*E46</f>
        <v>23741.431578947366</v>
      </c>
      <c r="I53" s="255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4.25" customHeight="1">
      <c r="A54" s="306" t="s">
        <v>139</v>
      </c>
      <c r="B54" s="297"/>
      <c r="C54" s="297"/>
      <c r="D54" s="297"/>
      <c r="E54" s="297"/>
      <c r="F54" s="297"/>
      <c r="G54" s="298"/>
      <c r="H54" s="135">
        <f>SUM(H51:H53)</f>
        <v>33341.431578947362</v>
      </c>
      <c r="I54" s="30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4.2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4.25" customHeight="1">
      <c r="A56" s="293" t="s">
        <v>237</v>
      </c>
      <c r="B56" s="294"/>
      <c r="C56" s="294"/>
      <c r="D56" s="294"/>
      <c r="E56" s="294"/>
      <c r="F56" s="294"/>
      <c r="G56" s="294"/>
      <c r="H56" s="294"/>
      <c r="I56" s="294"/>
      <c r="J56" s="295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4.2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33" customHeight="1">
      <c r="A58" s="125" t="s">
        <v>179</v>
      </c>
      <c r="B58" s="125" t="s">
        <v>238</v>
      </c>
      <c r="C58" s="125" t="s">
        <v>203</v>
      </c>
      <c r="D58" s="125" t="s">
        <v>204</v>
      </c>
      <c r="E58" s="125" t="s">
        <v>225</v>
      </c>
      <c r="F58" s="125" t="s">
        <v>206</v>
      </c>
      <c r="G58" s="125" t="s">
        <v>181</v>
      </c>
      <c r="H58" s="125" t="s">
        <v>207</v>
      </c>
      <c r="I58" s="299" t="s">
        <v>239</v>
      </c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4.25" customHeight="1">
      <c r="A59" s="115" t="s">
        <v>192</v>
      </c>
      <c r="B59" s="116">
        <f>+B51</f>
        <v>0.5</v>
      </c>
      <c r="C59" s="116" t="s">
        <v>212</v>
      </c>
      <c r="D59" s="122">
        <v>0.2</v>
      </c>
      <c r="E59" s="131">
        <f>+'DATOS INICIALES'!$H$19*B59</f>
        <v>1</v>
      </c>
      <c r="F59" s="131">
        <f>E59*(1+D59)</f>
        <v>1.2</v>
      </c>
      <c r="G59" s="116" t="s">
        <v>213</v>
      </c>
      <c r="H59" s="131">
        <f>F59*E44</f>
        <v>9600</v>
      </c>
      <c r="I59" s="255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4.25" hidden="1" customHeight="1">
      <c r="A60" s="132"/>
      <c r="B60" s="116">
        <f t="shared" ref="B60:B61" si="7">+B52</f>
        <v>0</v>
      </c>
      <c r="C60" s="116"/>
      <c r="D60" s="122">
        <v>0.2</v>
      </c>
      <c r="E60" s="131">
        <f>+'DATOS INICIALES'!$H$19*B60</f>
        <v>0</v>
      </c>
      <c r="F60" s="131">
        <f t="shared" ref="F60" si="8">E60*(1+D60)</f>
        <v>0</v>
      </c>
      <c r="G60" s="116"/>
      <c r="H60" s="131">
        <f t="shared" ref="H60" si="9">F60*B60</f>
        <v>0</v>
      </c>
      <c r="I60" s="255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4.25" customHeight="1">
      <c r="A61" s="134" t="s">
        <v>188</v>
      </c>
      <c r="B61" s="116">
        <f t="shared" si="7"/>
        <v>1.5</v>
      </c>
      <c r="C61" s="121" t="s">
        <v>235</v>
      </c>
      <c r="D61" s="122">
        <v>0.2</v>
      </c>
      <c r="E61" s="131">
        <f>+'DATOS INICIALES'!$H$19*B61</f>
        <v>3</v>
      </c>
      <c r="F61" s="131">
        <f>E61*(1+D61)</f>
        <v>3.5999999999999996</v>
      </c>
      <c r="G61" s="121" t="s">
        <v>236</v>
      </c>
      <c r="H61" s="131">
        <f>F61*E46</f>
        <v>23741.431578947366</v>
      </c>
      <c r="I61" s="255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4.25" customHeight="1">
      <c r="A62" s="296" t="s">
        <v>139</v>
      </c>
      <c r="B62" s="297"/>
      <c r="C62" s="297"/>
      <c r="D62" s="297"/>
      <c r="E62" s="297"/>
      <c r="F62" s="297"/>
      <c r="G62" s="298"/>
      <c r="H62" s="124">
        <f>SUM(H59:H61)</f>
        <v>33341.431578947362</v>
      </c>
      <c r="I62" s="30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4.2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4.25" customHeight="1">
      <c r="A64" s="293" t="s">
        <v>240</v>
      </c>
      <c r="B64" s="294"/>
      <c r="C64" s="294"/>
      <c r="D64" s="294"/>
      <c r="E64" s="294"/>
      <c r="F64" s="294"/>
      <c r="G64" s="294"/>
      <c r="H64" s="294"/>
      <c r="I64" s="294"/>
      <c r="J64" s="295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4.25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25.5">
      <c r="A66" s="133" t="s">
        <v>241</v>
      </c>
      <c r="B66" s="133" t="s">
        <v>242</v>
      </c>
      <c r="C66" s="133" t="s">
        <v>181</v>
      </c>
      <c r="D66" s="133" t="s">
        <v>243</v>
      </c>
      <c r="E66" s="133" t="s">
        <v>181</v>
      </c>
      <c r="F66" s="40"/>
      <c r="G66" s="133" t="s">
        <v>244</v>
      </c>
      <c r="H66" s="133" t="s">
        <v>181</v>
      </c>
      <c r="I66" s="133" t="s">
        <v>202</v>
      </c>
      <c r="J66" s="133" t="s">
        <v>245</v>
      </c>
      <c r="K66" s="83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4.25" customHeight="1">
      <c r="A67" s="66" t="s">
        <v>246</v>
      </c>
      <c r="B67" s="121">
        <v>500</v>
      </c>
      <c r="C67" s="121" t="s">
        <v>247</v>
      </c>
      <c r="D67" s="123">
        <f>D69/2</f>
        <v>4914.585</v>
      </c>
      <c r="E67" s="121" t="s">
        <v>248</v>
      </c>
      <c r="F67" s="40"/>
      <c r="G67" s="136">
        <v>0.5</v>
      </c>
      <c r="H67" s="121" t="s">
        <v>249</v>
      </c>
      <c r="I67" s="123">
        <v>0</v>
      </c>
      <c r="J67" s="123">
        <f>'DATOS INICIALES'!D$16*'DATOS INSU'!I67</f>
        <v>0</v>
      </c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4.25" customHeight="1">
      <c r="A68" s="66" t="s">
        <v>250</v>
      </c>
      <c r="B68" s="137">
        <v>1.651</v>
      </c>
      <c r="C68" s="121" t="s">
        <v>251</v>
      </c>
      <c r="D68" s="123">
        <v>674.74</v>
      </c>
      <c r="E68" s="121" t="s">
        <v>252</v>
      </c>
      <c r="F68" s="40"/>
      <c r="G68" s="136">
        <v>0.66</v>
      </c>
      <c r="H68" s="121" t="s">
        <v>253</v>
      </c>
      <c r="I68" s="138">
        <v>0</v>
      </c>
      <c r="J68" s="123">
        <f>'DATOS INICIALES'!D$16*'DATOS INSU'!I68</f>
        <v>0</v>
      </c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4.25" customHeight="1">
      <c r="A69" s="66" t="s">
        <v>254</v>
      </c>
      <c r="B69" s="121">
        <v>5.5</v>
      </c>
      <c r="C69" s="121" t="s">
        <v>255</v>
      </c>
      <c r="D69" s="123">
        <f>5526.54+4302.63</f>
        <v>9829.17</v>
      </c>
      <c r="E69" s="121" t="s">
        <v>256</v>
      </c>
      <c r="F69" s="40"/>
      <c r="G69" s="136">
        <v>40</v>
      </c>
      <c r="H69" s="121" t="s">
        <v>257</v>
      </c>
      <c r="I69" s="123">
        <v>0</v>
      </c>
      <c r="J69" s="123">
        <f>'DATOS INICIALES'!D$16*'DATOS INSU'!I69</f>
        <v>0</v>
      </c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27">
      <c r="A70" s="66" t="s">
        <v>258</v>
      </c>
      <c r="B70" s="123">
        <f>10929.45+6285.86</f>
        <v>17215.310000000001</v>
      </c>
      <c r="C70" s="121" t="s">
        <v>259</v>
      </c>
      <c r="D70" s="123">
        <f>B70/(8*24)</f>
        <v>89.663072916666678</v>
      </c>
      <c r="E70" s="121" t="s">
        <v>260</v>
      </c>
      <c r="F70" s="40"/>
      <c r="G70" s="136">
        <v>1.5</v>
      </c>
      <c r="H70" s="121" t="s">
        <v>253</v>
      </c>
      <c r="I70" s="123">
        <v>0</v>
      </c>
      <c r="J70" s="123">
        <f>'DATOS INICIALES'!D$16*'DATOS INSU'!I70</f>
        <v>0</v>
      </c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27">
      <c r="A71" s="66" t="s">
        <v>261</v>
      </c>
      <c r="B71" s="121" t="s">
        <v>262</v>
      </c>
      <c r="C71" s="121" t="s">
        <v>262</v>
      </c>
      <c r="D71" s="123">
        <v>3000</v>
      </c>
      <c r="E71" s="121" t="s">
        <v>263</v>
      </c>
      <c r="F71" s="40"/>
      <c r="G71" s="136">
        <f>'DATOS INICIALES'!D16</f>
        <v>0</v>
      </c>
      <c r="H71" s="139" t="s">
        <v>264</v>
      </c>
      <c r="I71" s="123">
        <v>65000</v>
      </c>
      <c r="J71" s="123">
        <f>'DATOS INICIALES'!D$16*'DATOS INSU'!I71</f>
        <v>0</v>
      </c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4.25" customHeight="1">
      <c r="A72" s="40"/>
      <c r="B72" s="40"/>
      <c r="C72" s="40"/>
      <c r="D72" s="40"/>
      <c r="E72" s="40"/>
      <c r="F72" s="40"/>
      <c r="G72" s="301" t="s">
        <v>139</v>
      </c>
      <c r="H72" s="302"/>
      <c r="I72" s="303"/>
      <c r="J72" s="164">
        <f>SUM(J67:J71)</f>
        <v>0</v>
      </c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4.2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4.2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22.5" hidden="1" customHeight="1">
      <c r="A75" s="304" t="s">
        <v>265</v>
      </c>
      <c r="B75" s="252"/>
      <c r="C75" s="252"/>
      <c r="D75" s="252"/>
      <c r="E75" s="252"/>
      <c r="F75" s="252"/>
      <c r="G75" s="252"/>
      <c r="H75" s="252"/>
      <c r="I75" s="252"/>
      <c r="J75" s="252"/>
      <c r="K75" s="252"/>
      <c r="L75" s="253"/>
      <c r="M75" s="61"/>
      <c r="N75" s="61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4.25" hidden="1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4.25" hidden="1" customHeight="1">
      <c r="A77" s="61"/>
      <c r="B77" s="61"/>
      <c r="C77" s="61"/>
      <c r="D77" s="305" t="s">
        <v>266</v>
      </c>
      <c r="E77" s="297"/>
      <c r="F77" s="298"/>
      <c r="G77" s="40"/>
      <c r="H77" s="140" t="s">
        <v>267</v>
      </c>
      <c r="I77" s="140" t="s">
        <v>20</v>
      </c>
      <c r="J77" s="140" t="s">
        <v>268</v>
      </c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22.5" hidden="1" customHeight="1">
      <c r="A78" s="133" t="s">
        <v>269</v>
      </c>
      <c r="B78" s="133" t="s">
        <v>270</v>
      </c>
      <c r="C78" s="133" t="s">
        <v>271</v>
      </c>
      <c r="D78" s="141" t="s">
        <v>272</v>
      </c>
      <c r="E78" s="142" t="s">
        <v>273</v>
      </c>
      <c r="F78" s="143" t="s">
        <v>274</v>
      </c>
      <c r="G78" s="40"/>
      <c r="H78" s="144" t="s">
        <v>275</v>
      </c>
      <c r="I78" s="144">
        <v>15</v>
      </c>
      <c r="J78" s="145">
        <v>1</v>
      </c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4.25" hidden="1" customHeight="1">
      <c r="A79" s="146">
        <v>48</v>
      </c>
      <c r="B79" s="146"/>
      <c r="C79" s="147">
        <v>0</v>
      </c>
      <c r="D79" s="148">
        <f>C$79/A$79*J78</f>
        <v>0</v>
      </c>
      <c r="E79" s="148"/>
      <c r="F79" s="148"/>
      <c r="G79" s="40"/>
      <c r="H79" s="144" t="s">
        <v>276</v>
      </c>
      <c r="I79" s="144">
        <v>11</v>
      </c>
      <c r="J79" s="145">
        <v>0</v>
      </c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4.25" hidden="1" customHeight="1">
      <c r="A80" s="146">
        <v>48</v>
      </c>
      <c r="B80" s="146"/>
      <c r="C80" s="147">
        <f>600000</f>
        <v>600000</v>
      </c>
      <c r="D80" s="148">
        <f>C$80/A$79*J79</f>
        <v>0</v>
      </c>
      <c r="E80" s="148"/>
      <c r="F80" s="148"/>
      <c r="G80" s="40"/>
      <c r="H80" s="144" t="s">
        <v>277</v>
      </c>
      <c r="I80" s="144">
        <v>0</v>
      </c>
      <c r="J80" s="145">
        <f>I80/$I$81</f>
        <v>0</v>
      </c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4.25" hidden="1" customHeight="1">
      <c r="A81" s="40"/>
      <c r="B81" s="40"/>
      <c r="C81" s="40"/>
      <c r="D81" s="40"/>
      <c r="E81" s="40"/>
      <c r="F81" s="40"/>
      <c r="G81" s="40"/>
      <c r="H81" s="149" t="s">
        <v>139</v>
      </c>
      <c r="I81" s="149">
        <f t="shared" ref="I81:J81" si="10">SUM(I78:I80)</f>
        <v>26</v>
      </c>
      <c r="J81" s="150">
        <f t="shared" si="10"/>
        <v>1</v>
      </c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4.25" hidden="1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22.5" hidden="1" customHeight="1">
      <c r="A83" s="304" t="s">
        <v>278</v>
      </c>
      <c r="B83" s="252"/>
      <c r="C83" s="252"/>
      <c r="D83" s="252"/>
      <c r="E83" s="252"/>
      <c r="F83" s="252"/>
      <c r="G83" s="252"/>
      <c r="H83" s="252"/>
      <c r="I83" s="252"/>
      <c r="J83" s="252"/>
      <c r="K83" s="252"/>
      <c r="L83" s="253"/>
      <c r="M83" s="61"/>
      <c r="N83" s="61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4.25" hidden="1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4.25" hidden="1" customHeight="1">
      <c r="A85" s="61"/>
      <c r="B85" s="61"/>
      <c r="C85" s="61"/>
      <c r="D85" s="305" t="s">
        <v>266</v>
      </c>
      <c r="E85" s="297"/>
      <c r="F85" s="298"/>
      <c r="G85" s="40"/>
      <c r="H85" s="140" t="s">
        <v>267</v>
      </c>
      <c r="I85" s="140" t="s">
        <v>20</v>
      </c>
      <c r="J85" s="140" t="s">
        <v>268</v>
      </c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22.5" hidden="1" customHeight="1">
      <c r="A86" s="133" t="s">
        <v>269</v>
      </c>
      <c r="B86" s="133" t="s">
        <v>270</v>
      </c>
      <c r="C86" s="133" t="s">
        <v>271</v>
      </c>
      <c r="D86" s="141" t="s">
        <v>272</v>
      </c>
      <c r="E86" s="142" t="s">
        <v>273</v>
      </c>
      <c r="F86" s="143" t="s">
        <v>274</v>
      </c>
      <c r="G86" s="40"/>
      <c r="H86" s="144" t="s">
        <v>275</v>
      </c>
      <c r="I86" s="144">
        <v>15</v>
      </c>
      <c r="J86" s="145">
        <f>I86/$I$89</f>
        <v>1</v>
      </c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4.25" hidden="1" customHeight="1">
      <c r="A87" s="146">
        <v>60</v>
      </c>
      <c r="B87" s="146"/>
      <c r="C87" s="147">
        <v>0</v>
      </c>
      <c r="D87" s="148">
        <f t="shared" ref="D87:D88" si="11">(C87/11760)*24.5</f>
        <v>0</v>
      </c>
      <c r="E87" s="148"/>
      <c r="F87" s="148"/>
      <c r="G87" s="40"/>
      <c r="H87" s="144" t="s">
        <v>276</v>
      </c>
      <c r="I87" s="144">
        <v>0</v>
      </c>
      <c r="J87" s="145">
        <f t="shared" ref="J87:J88" si="12">I87/$I$81</f>
        <v>0</v>
      </c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4.25" hidden="1" customHeight="1">
      <c r="A88" s="146">
        <v>60</v>
      </c>
      <c r="B88" s="146"/>
      <c r="C88" s="147">
        <v>0</v>
      </c>
      <c r="D88" s="148">
        <f t="shared" si="11"/>
        <v>0</v>
      </c>
      <c r="E88" s="148"/>
      <c r="F88" s="148"/>
      <c r="G88" s="40"/>
      <c r="H88" s="144" t="s">
        <v>277</v>
      </c>
      <c r="I88" s="144">
        <v>0</v>
      </c>
      <c r="J88" s="145">
        <f t="shared" si="12"/>
        <v>0</v>
      </c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4.25" hidden="1" customHeight="1">
      <c r="A89" s="40"/>
      <c r="B89" s="40"/>
      <c r="C89" s="40"/>
      <c r="D89" s="119" t="e">
        <f ca="1">ARRAY_CONSTRAIN(ARRAYFORMULA(SUM(D87:D88)*'DATOS INICIALES'!#REF!), 1, 1)</f>
        <v>#NAME?</v>
      </c>
      <c r="E89" s="40"/>
      <c r="F89" s="40"/>
      <c r="G89" s="40"/>
      <c r="H89" s="149" t="s">
        <v>139</v>
      </c>
      <c r="I89" s="149">
        <f t="shared" ref="I89:J89" si="13">SUM(I86:I88)</f>
        <v>15</v>
      </c>
      <c r="J89" s="150">
        <f t="shared" si="13"/>
        <v>1</v>
      </c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4.25" hidden="1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4.2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4.2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4.2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4.2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4.2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4.2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4.2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4.2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4.2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4.2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4.2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4.2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4.2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4.2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4.2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4.2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4.2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4.2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4.2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4.2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4.2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4.2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4.2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4.2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4.2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4.2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4.2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4.2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4.2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4.2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4.2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4.2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4.2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4.2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4.2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4.2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4.2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4.2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4.2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4.2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4.2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4.2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4.2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4.2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4.2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4.2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4.2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4.2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4.2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4.2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4.2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4.2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4.2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4.2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4.2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4.2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4.2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4.2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4.2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4.2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4.2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4.2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4.2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4.2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4.2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4.2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4.2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4.2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4.2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4.2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4.2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4.2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4.2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4.2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4.2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4.2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4.2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4.2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4.2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4.2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4.2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4.2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4.2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4.2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4.2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4.2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4.2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4.2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4.2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4.2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4.2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4.2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4.2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4.2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4.2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4.2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4.2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4.2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4.2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4.2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4.2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4.2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4.2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4.2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4.2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4.2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4.2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4.2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4.2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4.2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4.2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4.2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4.2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4.2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4.2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4.2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4.2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4.2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4.2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4.2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4.2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4.2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4.2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4.2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4.2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4.2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4.2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4.2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4.2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4.2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4.2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4.2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4.2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4.2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4.2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4.2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4.2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4.2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4.2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4.2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4.2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4.2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4.2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4.2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4.2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4.2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4.2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4.2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4.2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4.2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4.2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4.2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4.2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4.2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4.2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4.2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4.2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4.2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4.2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4.2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4.2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4.2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4.2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4.2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4.2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4.2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4.2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4.2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4.2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4.2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4.2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4.2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4.2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4.2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4.2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4.2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4.2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4.2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4.2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4.2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4.2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4.2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4.2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4.2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4.2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4.2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4.2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4.2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4.2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4.2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4.2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4.2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4.2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4.2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4.2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4.2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4.2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4.2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4.2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4.2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4.2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4.2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4.2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4.2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4.2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4.2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4.2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4.2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4.2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4.2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4.2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4.2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4.2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4.2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4.2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4.2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4.2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4.2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4.2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4.2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4.2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4.2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4.2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4.2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4.2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4.2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4.2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4.2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4.2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4.2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4.2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4.2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4.2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4.2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4.2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4.2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4.2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4.2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4.2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4.2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4.2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4.2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4.2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4.2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4.2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4.2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4.2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4.2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4.2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4.2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4.2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4.2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4.2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4.2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4.2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4.2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4.2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4.2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4.2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4.2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4.2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4.2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4.2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4.2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4.2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4.2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4.2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4.2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4.2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4.2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4.2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4.2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4.2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4.2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4.2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4.2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4.2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4.2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4.2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4.2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4.2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4.2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4.2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4.2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4.2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4.2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4.2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4.2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4.2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4.2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4.2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4.2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4.2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4.2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4.2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4.2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4.2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4.2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4.2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4.2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4.2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4.2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4.2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4.2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4.2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4.2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4.2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4.2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4.2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4.2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4.2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4.2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4.2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4.2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4.2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4.2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4.2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4.2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4.2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4.2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4.2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4.2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4.2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4.2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4.2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4.2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4.2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4.2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4.2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4.2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4.2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4.2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4.2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4.2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4.2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4.2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4.2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4.2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4.2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4.2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4.2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4.2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4.2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4.2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4.2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4.2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4.2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4.2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4.2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4.2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4.2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4.2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4.2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4.2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4.2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4.2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4.2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4.2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4.2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4.2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4.2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4.2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4.2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4.2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4.2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4.2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4.2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4.2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4.2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4.2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4.2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4.2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4.2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4.2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4.2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4.2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4.2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4.2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4.2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4.2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4.2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4.2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4.2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4.2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4.2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4.2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4.2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4.2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4.2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4.2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4.2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4.2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4.2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4.2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4.2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4.2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4.2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4.2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4.2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4.2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4.2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4.2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4.2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4.2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4.2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4.2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4.2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4.2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4.2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4.2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4.2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4.2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4.2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4.2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4.2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4.2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4.2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4.2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4.2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4.2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4.2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4.2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4.2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4.2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4.2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4.2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4.2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4.2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4.2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4.2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4.2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4.2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4.2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4.2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4.2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4.2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4.2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4.2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4.2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4.2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4.2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4.2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4.2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4.2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4.2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4.2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4.2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4.2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4.2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4.2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4.2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4.2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4.2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4.2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4.2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4.2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4.2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4.2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4.2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4.2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4.2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4.2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4.2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4.2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4.2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4.2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4.2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4.2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4.2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4.2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4.2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4.2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4.2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4.2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4.2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4.2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4.2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4.2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4.2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4.2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4.2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4.2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4.2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4.2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4.2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4.2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4.2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4.2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4.2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4.2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4.2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4.2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4.2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4.2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4.2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4.2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4.2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4.2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4.2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4.2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4.2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4.2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4.2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4.2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4.2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4.2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4.2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4.2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4.2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4.2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4.2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4.2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4.2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4.2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4.2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4.2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4.2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4.2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4.2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4.2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4.2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4.2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4.2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4.2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4.2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4.2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4.2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4.2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4.2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4.2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4.2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4.2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4.2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4.2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4.2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4.2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4.2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4.2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4.2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4.2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4.2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4.2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4.2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4.2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4.2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4.2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4.2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4.2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4.2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4.2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4.2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4.2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4.2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4.2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4.2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4.2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4.2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4.2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4.2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4.2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4.2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4.2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4.2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4.2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4.2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4.2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4.2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4.2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4.2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4.2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4.2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4.2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4.2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4.2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4.2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4.2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4.2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4.2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4.2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4.2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4.2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4.2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4.2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4.2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4.2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4.2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4.2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4.2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4.2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4.2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4.2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4.2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4.2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4.2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4.2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4.2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4.2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4.2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4.2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4.2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4.2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4.2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4.2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4.2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4.2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4.2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4.2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4.2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4.2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4.2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4.2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4.2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4.2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4.2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4.2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4.2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4.2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4.2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4.2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4.2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4.2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4.2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4.2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4.2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4.2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4.2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4.2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4.2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4.2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4.2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4.2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4.2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4.2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4.2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4.2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4.2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4.2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4.2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4.2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4.2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4.2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4.2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4.2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4.2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4.2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4.2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4.2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4.2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4.2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4.2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4.2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4.2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4.2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4.2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4.2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4.2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4.2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4.2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4.2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4.2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4.2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4.2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4.2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4.2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4.2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4.2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4.2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4.2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4.2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4.2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4.2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4.2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4.2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4.2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4.2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4.2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4.2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4.2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4.2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4.2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4.2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4.2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4.2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4.2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4.2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4.2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4.2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4.2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4.2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4.2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4.2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4.2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4.2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4.2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4.2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4.2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4.2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4.2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4.2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4.2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4.2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4.2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4.2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4.2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4.2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4.2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4.2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4.2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4.2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4.2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4.2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4.2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4.2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4.2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4.2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4.2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4.2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4.2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4.2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4.2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4.2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4.2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4.2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4.2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4.2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4.2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4.2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4.2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4.2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4.2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4.2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4.2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4.2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4.2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4.2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4.2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4.2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4.2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4.2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4.2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4.2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4.2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4.2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4.2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4.2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4.2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4.2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4.2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4.2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4.2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4.2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4.2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4.2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4.2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4.2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4.2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4.2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4.2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4.2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4.2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4.2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4.2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4.2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4.2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4.2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4.2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4.2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4.2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4.2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4.2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4.2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4.2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4.2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4.2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4.2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4.2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4.2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4.2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4.2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4.2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4.2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4.2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4.2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4.2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4.2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4.2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4.2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4.2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4.2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4.2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4.2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4.2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4.2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4.2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4.2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4.2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4.2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4.2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4.2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4.2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4.2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4.2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4.2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4.2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4.2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4.2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4.2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4.2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4.2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4.2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4.2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4.2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4.2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4.2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4.2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4.2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4.2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4.2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4.2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4.2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4.2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4.2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4.2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4.2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4.2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4.2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4.2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4.2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4.2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4.2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4.2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4.2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4.2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4.2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4.2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4.2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4.2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4.2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4.2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4.2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4.2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4.2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4.2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4.2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4.2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4.2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4.2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4.2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4.2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4.2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4.2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4.2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4.2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4.2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4.2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4.2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4.2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4.2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4.2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4.2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4.2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4.2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4.2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4.2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4.2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4.2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4.2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4.2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4.2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4.2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4.2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4.2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4.2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4.2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4.2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4.2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4.2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4.2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4.2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4.2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4.2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4.2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4.2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4.2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4.2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4.2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4.2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4.2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4.2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4.2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4.2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4.2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4.2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4.2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4.2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4.2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4.2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4.2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4.2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4.2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4.2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4.2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4.2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4.2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4.2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4.2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1:26" ht="14.2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1:26" ht="14.2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1:26" ht="14.2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spans="1:26" ht="14.2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  <row r="1001" spans="1:26" ht="14.25" customHeight="1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</row>
    <row r="1002" spans="1:26" ht="14.25" customHeight="1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</row>
    <row r="1003" spans="1:26" ht="14.25" customHeight="1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</row>
    <row r="1004" spans="1:26" ht="14.25" customHeight="1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</row>
    <row r="1005" spans="1:26" ht="14.25" customHeight="1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</row>
    <row r="1006" spans="1:26" ht="14.25" customHeight="1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</row>
    <row r="1007" spans="1:26" ht="14.25" customHeight="1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</row>
    <row r="1008" spans="1:26" ht="14.25" customHeight="1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</row>
    <row r="1009" spans="1:26" ht="14.25" customHeight="1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</row>
    <row r="1010" spans="1:26" ht="14.25" customHeight="1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</row>
    <row r="1011" spans="1:26" ht="14.25" customHeight="1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</row>
  </sheetData>
  <mergeCells count="20">
    <mergeCell ref="D77:F77"/>
    <mergeCell ref="A83:L83"/>
    <mergeCell ref="D85:F85"/>
    <mergeCell ref="A41:J41"/>
    <mergeCell ref="A48:J48"/>
    <mergeCell ref="I50:I54"/>
    <mergeCell ref="A54:G54"/>
    <mergeCell ref="A56:J56"/>
    <mergeCell ref="A62:G62"/>
    <mergeCell ref="A64:J64"/>
    <mergeCell ref="A32:J32"/>
    <mergeCell ref="A39:G39"/>
    <mergeCell ref="I58:I62"/>
    <mergeCell ref="G72:I72"/>
    <mergeCell ref="A75:L75"/>
    <mergeCell ref="A1:L1"/>
    <mergeCell ref="A2:L2"/>
    <mergeCell ref="A14:J14"/>
    <mergeCell ref="A22:G22"/>
    <mergeCell ref="A24:J24"/>
  </mergeCells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36699"/>
  </sheetPr>
  <dimension ref="A1:Z974"/>
  <sheetViews>
    <sheetView showGridLines="0" topLeftCell="A43" workbookViewId="0">
      <selection activeCell="E52" sqref="E52"/>
    </sheetView>
  </sheetViews>
  <sheetFormatPr baseColWidth="10" defaultColWidth="14.42578125" defaultRowHeight="15" customHeight="1"/>
  <cols>
    <col min="1" max="1" width="3" customWidth="1"/>
    <col min="2" max="2" width="42.85546875" customWidth="1"/>
    <col min="3" max="3" width="6.28515625" customWidth="1"/>
    <col min="4" max="4" width="24.42578125" customWidth="1"/>
    <col min="5" max="5" width="18.5703125" customWidth="1"/>
    <col min="6" max="6" width="2.85546875" customWidth="1"/>
    <col min="7" max="7" width="39.7109375" customWidth="1"/>
    <col min="8" max="8" width="6.28515625" customWidth="1"/>
    <col min="9" max="9" width="24.42578125" customWidth="1"/>
    <col min="10" max="10" width="11.42578125" customWidth="1"/>
    <col min="11" max="26" width="10.7109375" customWidth="1"/>
  </cols>
  <sheetData>
    <row r="1" spans="1:26" ht="11.25" customHeight="1">
      <c r="A1" s="44"/>
      <c r="B1" s="310"/>
      <c r="C1" s="264"/>
      <c r="D1" s="264"/>
      <c r="E1" s="265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ht="16.5">
      <c r="A2" s="44"/>
      <c r="B2" s="92" t="s">
        <v>313</v>
      </c>
      <c r="C2" s="93"/>
      <c r="D2" s="93" t="str">
        <f>IF('DATOS INICIALES'!D2="","",'DATOS INICIALES'!D2)</f>
        <v>Chip Station HONGO - DUCTOS - CAMPANAS</v>
      </c>
      <c r="E2" s="93"/>
      <c r="F2" s="1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 ht="16.5">
      <c r="A3" s="44"/>
      <c r="B3" s="94" t="s">
        <v>163</v>
      </c>
      <c r="C3" s="311" t="s">
        <v>164</v>
      </c>
      <c r="D3" s="312"/>
      <c r="E3" s="308"/>
      <c r="F3" s="1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ht="12.75" customHeight="1">
      <c r="A4" s="44"/>
      <c r="B4" s="313" t="s">
        <v>165</v>
      </c>
      <c r="C4" s="309" t="s">
        <v>166</v>
      </c>
      <c r="D4" s="308"/>
      <c r="E4" s="96">
        <f>SALARIOS!K11+SALARIOS!K12</f>
        <v>0</v>
      </c>
      <c r="F4" s="1"/>
      <c r="G4" s="44"/>
      <c r="H4" s="44"/>
      <c r="I4" s="44"/>
      <c r="J4" s="97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spans="1:26" ht="12.75" customHeight="1">
      <c r="A5" s="44"/>
      <c r="B5" s="314"/>
      <c r="C5" s="309" t="s">
        <v>167</v>
      </c>
      <c r="D5" s="308"/>
      <c r="E5" s="96">
        <f>SALARIOS!K13</f>
        <v>0</v>
      </c>
      <c r="F5" s="1"/>
      <c r="G5" s="44"/>
      <c r="H5" s="44"/>
      <c r="I5" s="44"/>
      <c r="J5" s="97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ht="4.5" customHeight="1">
      <c r="A6" s="44"/>
      <c r="B6" s="98"/>
      <c r="C6" s="99"/>
      <c r="D6" s="99"/>
      <c r="E6" s="99"/>
      <c r="F6" s="1"/>
      <c r="G6" s="44"/>
      <c r="H6" s="44"/>
      <c r="I6" s="44"/>
      <c r="J6" s="44"/>
      <c r="K6" s="44"/>
      <c r="L6" s="44"/>
      <c r="M6" s="44"/>
      <c r="N6" s="44"/>
      <c r="O6" s="100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ht="12.75" customHeight="1">
      <c r="A7" s="44"/>
      <c r="B7" s="95" t="s">
        <v>170</v>
      </c>
      <c r="C7" s="309"/>
      <c r="D7" s="308"/>
      <c r="E7" s="101">
        <f>'DATOS INSU'!H22</f>
        <v>0</v>
      </c>
      <c r="F7" s="1"/>
      <c r="G7" s="44"/>
      <c r="H7" s="44"/>
      <c r="I7" s="44"/>
      <c r="J7" s="97"/>
      <c r="K7" s="44"/>
      <c r="L7" s="44"/>
      <c r="M7" s="44"/>
      <c r="N7" s="44"/>
      <c r="O7" s="100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ht="12.75" customHeight="1">
      <c r="A8" s="44"/>
      <c r="B8" s="102" t="s">
        <v>172</v>
      </c>
      <c r="C8" s="103"/>
      <c r="D8" s="104"/>
      <c r="E8" s="101">
        <f>'DATOS INSU'!J72</f>
        <v>0</v>
      </c>
      <c r="F8" s="1"/>
      <c r="G8" s="44"/>
      <c r="H8" s="44"/>
      <c r="I8" s="44"/>
      <c r="J8" s="44"/>
      <c r="K8" s="44"/>
      <c r="L8" s="44"/>
      <c r="M8" s="44"/>
      <c r="N8" s="44"/>
      <c r="O8" s="100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ht="12.75" customHeight="1">
      <c r="A9" s="44"/>
      <c r="B9" s="102" t="s">
        <v>173</v>
      </c>
      <c r="C9" s="307" t="s">
        <v>174</v>
      </c>
      <c r="D9" s="308"/>
      <c r="E9" s="101">
        <f>SUM(E3:E8)*5%</f>
        <v>0</v>
      </c>
      <c r="F9" s="1"/>
      <c r="G9" s="44"/>
      <c r="H9" s="44"/>
      <c r="I9" s="44"/>
      <c r="J9" s="97"/>
      <c r="K9" s="44"/>
      <c r="L9" s="44"/>
      <c r="M9" s="44"/>
      <c r="N9" s="44"/>
      <c r="O9" s="100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ht="12.75" customHeight="1">
      <c r="A10" s="44"/>
      <c r="B10" s="102" t="s">
        <v>175</v>
      </c>
      <c r="C10" s="307" t="s">
        <v>174</v>
      </c>
      <c r="D10" s="308"/>
      <c r="E10" s="101">
        <f>SUM(E4:E9)*5%</f>
        <v>0</v>
      </c>
      <c r="F10" s="1"/>
      <c r="G10" s="44"/>
      <c r="H10" s="44"/>
      <c r="I10" s="44"/>
      <c r="J10" s="97"/>
      <c r="K10" s="44"/>
      <c r="L10" s="44"/>
      <c r="M10" s="44"/>
      <c r="N10" s="44"/>
      <c r="O10" s="100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ht="16.5">
      <c r="A11" s="44"/>
      <c r="B11" s="315" t="s">
        <v>176</v>
      </c>
      <c r="C11" s="308"/>
      <c r="D11" s="105"/>
      <c r="E11" s="106">
        <f>SUM(E4:E10)</f>
        <v>0</v>
      </c>
      <c r="F11" s="1"/>
      <c r="G11" s="44"/>
      <c r="H11" s="44"/>
      <c r="I11" s="44"/>
      <c r="J11" s="97"/>
      <c r="K11" s="44"/>
      <c r="L11" s="44"/>
      <c r="M11" s="44"/>
      <c r="N11" s="44"/>
      <c r="O11" s="100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ht="6" customHeight="1">
      <c r="A12" s="44"/>
      <c r="B12" s="107"/>
      <c r="C12" s="108"/>
      <c r="D12" s="108"/>
      <c r="E12" s="108"/>
      <c r="F12" s="1"/>
      <c r="G12" s="44"/>
      <c r="H12" s="44"/>
      <c r="I12" s="44"/>
      <c r="J12" s="44"/>
      <c r="K12" s="44"/>
      <c r="L12" s="44"/>
      <c r="M12" s="44"/>
      <c r="N12" s="44"/>
      <c r="O12" s="100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ht="14.25" customHeight="1">
      <c r="A13" s="44"/>
      <c r="B13" s="44"/>
      <c r="C13" s="44"/>
      <c r="D13" s="44"/>
      <c r="E13" s="51"/>
      <c r="F13" s="1"/>
      <c r="G13" s="44"/>
      <c r="H13" s="44"/>
      <c r="I13" s="44"/>
      <c r="J13" s="44"/>
      <c r="K13" s="44"/>
      <c r="L13" s="44"/>
      <c r="M13" s="44"/>
      <c r="N13" s="44"/>
      <c r="O13" s="100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ht="16.5">
      <c r="A14" s="109"/>
      <c r="B14" s="92" t="s">
        <v>314</v>
      </c>
      <c r="C14" s="93"/>
      <c r="D14" s="93" t="str">
        <f>+D2</f>
        <v>Chip Station HONGO - DUCTOS - CAMPANAS</v>
      </c>
      <c r="E14" s="93"/>
      <c r="F14" s="109"/>
      <c r="G14" s="109"/>
      <c r="H14" s="109"/>
      <c r="I14" s="109"/>
      <c r="J14" s="109"/>
      <c r="K14" s="109"/>
      <c r="L14" s="109"/>
      <c r="M14" s="109"/>
      <c r="N14" s="109"/>
      <c r="O14" s="44"/>
      <c r="P14" s="44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spans="1:26" ht="14.25" customHeight="1">
      <c r="A15" s="44"/>
      <c r="B15" s="94" t="s">
        <v>163</v>
      </c>
      <c r="C15" s="311" t="s">
        <v>164</v>
      </c>
      <c r="D15" s="312"/>
      <c r="E15" s="308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ht="14.25" customHeight="1">
      <c r="A16" s="44"/>
      <c r="B16" s="313" t="s">
        <v>165</v>
      </c>
      <c r="C16" s="309" t="s">
        <v>166</v>
      </c>
      <c r="D16" s="308"/>
      <c r="E16" s="96">
        <f>SALARIOS!L11+SALARIOS!L12</f>
        <v>146146.68786298035</v>
      </c>
      <c r="F16" s="44"/>
      <c r="G16" s="44"/>
      <c r="H16" s="44"/>
      <c r="I16" s="44"/>
      <c r="J16" s="97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ht="14.25" customHeight="1">
      <c r="A17" s="44"/>
      <c r="B17" s="314"/>
      <c r="C17" s="309" t="s">
        <v>167</v>
      </c>
      <c r="D17" s="308"/>
      <c r="E17" s="96">
        <f>SALARIOS!L13</f>
        <v>0</v>
      </c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ht="5.25" customHeight="1">
      <c r="A18" s="44"/>
      <c r="B18" s="98"/>
      <c r="C18" s="99"/>
      <c r="D18" s="99"/>
      <c r="E18" s="99"/>
      <c r="F18" s="44"/>
      <c r="G18" s="44"/>
      <c r="H18" s="44"/>
      <c r="I18" s="44"/>
      <c r="J18" s="97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 ht="14.25" customHeight="1">
      <c r="A19" s="44"/>
      <c r="B19" s="95" t="s">
        <v>170</v>
      </c>
      <c r="C19" s="309"/>
      <c r="D19" s="308"/>
      <c r="E19" s="188">
        <f>'DATOS INSU'!H39</f>
        <v>44610.428571428572</v>
      </c>
      <c r="F19" s="44"/>
      <c r="G19" s="44"/>
      <c r="H19" s="44"/>
      <c r="I19" s="44"/>
      <c r="J19" s="97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ht="14.25" customHeight="1">
      <c r="A20" s="44"/>
      <c r="B20" s="102" t="s">
        <v>173</v>
      </c>
      <c r="C20" s="307" t="s">
        <v>174</v>
      </c>
      <c r="D20" s="308"/>
      <c r="E20" s="101">
        <f>SUM(E15:E19)*5%</f>
        <v>9537.8558217204463</v>
      </c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ht="14.25" customHeight="1">
      <c r="A21" s="44"/>
      <c r="B21" s="102" t="s">
        <v>175</v>
      </c>
      <c r="C21" s="307" t="s">
        <v>174</v>
      </c>
      <c r="D21" s="308"/>
      <c r="E21" s="101">
        <f>SUM(E16:E20)*5%</f>
        <v>10014.74861280647</v>
      </c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>
      <c r="A22" s="44"/>
      <c r="B22" s="315" t="s">
        <v>176</v>
      </c>
      <c r="C22" s="308"/>
      <c r="D22" s="105"/>
      <c r="E22" s="106">
        <f>SUM(E16:E21)</f>
        <v>210309.72086893584</v>
      </c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ht="14.2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ht="14.2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ht="16.5">
      <c r="A25" s="44"/>
      <c r="B25" s="92" t="s">
        <v>315</v>
      </c>
      <c r="C25" s="93"/>
      <c r="D25" s="93" t="str">
        <f>+D2</f>
        <v>Chip Station HONGO - DUCTOS - CAMPANAS</v>
      </c>
      <c r="E25" s="93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ht="14.25" customHeight="1">
      <c r="A26" s="44"/>
      <c r="B26" s="94" t="s">
        <v>163</v>
      </c>
      <c r="C26" s="311" t="s">
        <v>164</v>
      </c>
      <c r="D26" s="312"/>
      <c r="E26" s="308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ht="14.25" customHeight="1">
      <c r="A27" s="44"/>
      <c r="B27" s="313" t="s">
        <v>165</v>
      </c>
      <c r="C27" s="309" t="s">
        <v>166</v>
      </c>
      <c r="D27" s="308"/>
      <c r="E27" s="96">
        <f>SALARIOS!M11+SALARIOS!M12</f>
        <v>146146.68786298035</v>
      </c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ht="14.25" customHeight="1">
      <c r="A28" s="44"/>
      <c r="B28" s="314"/>
      <c r="C28" s="309" t="s">
        <v>167</v>
      </c>
      <c r="D28" s="308"/>
      <c r="E28" s="96">
        <f>SALARIOS!M13</f>
        <v>0</v>
      </c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ht="6" customHeight="1">
      <c r="A29" s="44"/>
      <c r="B29" s="98"/>
      <c r="C29" s="99"/>
      <c r="D29" s="99"/>
      <c r="E29" s="99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ht="14.25" customHeight="1">
      <c r="A30" s="44"/>
      <c r="B30" s="95" t="s">
        <v>170</v>
      </c>
      <c r="C30" s="309"/>
      <c r="D30" s="308"/>
      <c r="E30" s="101">
        <f>'DATOS INSU'!H54</f>
        <v>33341.431578947362</v>
      </c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ht="14.25" customHeight="1">
      <c r="A31" s="44"/>
      <c r="B31" s="102" t="s">
        <v>173</v>
      </c>
      <c r="C31" s="307" t="s">
        <v>174</v>
      </c>
      <c r="D31" s="308"/>
      <c r="E31" s="101">
        <f>SUM(E26:E30)*5%</f>
        <v>8974.4059720963851</v>
      </c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ht="14.25" customHeight="1">
      <c r="A32" s="44"/>
      <c r="B32" s="102" t="s">
        <v>175</v>
      </c>
      <c r="C32" s="307" t="s">
        <v>174</v>
      </c>
      <c r="D32" s="308"/>
      <c r="E32" s="101">
        <f>SUM(E27:E31)*5%</f>
        <v>9423.1262707012047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>
      <c r="A33" s="44"/>
      <c r="B33" s="315" t="s">
        <v>176</v>
      </c>
      <c r="C33" s="308"/>
      <c r="D33" s="105"/>
      <c r="E33" s="106">
        <f>SUM(E27:E32)</f>
        <v>197885.65168472528</v>
      </c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ht="14.2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ht="14.2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ht="16.5">
      <c r="A36" s="44"/>
      <c r="B36" s="92" t="s">
        <v>316</v>
      </c>
      <c r="C36" s="93"/>
      <c r="D36" s="93" t="str">
        <f>+D2</f>
        <v>Chip Station HONGO - DUCTOS - CAMPANAS</v>
      </c>
      <c r="E36" s="93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ht="14.25" customHeight="1">
      <c r="A37" s="44"/>
      <c r="B37" s="94" t="s">
        <v>163</v>
      </c>
      <c r="C37" s="311" t="s">
        <v>164</v>
      </c>
      <c r="D37" s="312"/>
      <c r="E37" s="308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ht="14.25" customHeight="1">
      <c r="A38" s="44"/>
      <c r="B38" s="313" t="s">
        <v>165</v>
      </c>
      <c r="C38" s="309" t="s">
        <v>166</v>
      </c>
      <c r="D38" s="308"/>
      <c r="E38" s="96">
        <f>SALARIOS!N11+SALARIOS!N12</f>
        <v>146146.68786298035</v>
      </c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ht="14.25" customHeight="1">
      <c r="A39" s="44"/>
      <c r="B39" s="314"/>
      <c r="C39" s="309" t="s">
        <v>167</v>
      </c>
      <c r="D39" s="308"/>
      <c r="E39" s="96">
        <f>SALARIOS!N13</f>
        <v>0</v>
      </c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ht="6" customHeight="1">
      <c r="A40" s="44"/>
      <c r="B40" s="98"/>
      <c r="C40" s="99"/>
      <c r="D40" s="99"/>
      <c r="E40" s="99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ht="14.25" customHeight="1">
      <c r="A41" s="44"/>
      <c r="B41" s="95" t="s">
        <v>170</v>
      </c>
      <c r="C41" s="309"/>
      <c r="D41" s="308"/>
      <c r="E41" s="101">
        <f>'DATOS INSU'!H62</f>
        <v>33341.431578947362</v>
      </c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ht="14.25" customHeight="1">
      <c r="A42" s="44"/>
      <c r="B42" s="102" t="s">
        <v>173</v>
      </c>
      <c r="C42" s="307" t="s">
        <v>174</v>
      </c>
      <c r="D42" s="308"/>
      <c r="E42" s="101">
        <f>SUM(E37:E41)*5%</f>
        <v>8974.4059720963851</v>
      </c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1:26" ht="14.25" customHeight="1">
      <c r="A43" s="44"/>
      <c r="B43" s="102" t="s">
        <v>175</v>
      </c>
      <c r="C43" s="307" t="s">
        <v>174</v>
      </c>
      <c r="D43" s="308"/>
      <c r="E43" s="101">
        <f>SUM(E38:E42)*5%</f>
        <v>9423.1262707012047</v>
      </c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spans="1:26">
      <c r="A44" s="44"/>
      <c r="B44" s="315" t="s">
        <v>176</v>
      </c>
      <c r="C44" s="308"/>
      <c r="D44" s="105"/>
      <c r="E44" s="106">
        <f>SUM(E38:E43)</f>
        <v>197885.65168472528</v>
      </c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spans="1:26" ht="14.2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spans="1:26" ht="14.25" customHeight="1">
      <c r="A46" s="176"/>
      <c r="B46" s="176"/>
      <c r="C46" s="176"/>
      <c r="D46" s="176"/>
      <c r="E46" s="176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spans="1:26" ht="14.25" customHeight="1">
      <c r="A47" s="176"/>
      <c r="B47" s="92" t="s">
        <v>318</v>
      </c>
      <c r="C47" s="93"/>
      <c r="D47" s="93" t="str">
        <f>+D2</f>
        <v>Chip Station HONGO - DUCTOS - CAMPANAS</v>
      </c>
      <c r="E47" s="93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spans="1:26" ht="14.25" customHeight="1">
      <c r="A48" s="44"/>
      <c r="B48" s="94" t="s">
        <v>163</v>
      </c>
      <c r="C48" s="311" t="s">
        <v>164</v>
      </c>
      <c r="D48" s="318"/>
      <c r="E48" s="189">
        <v>0.05</v>
      </c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spans="1:26" ht="14.25" customHeight="1">
      <c r="A49" s="44"/>
      <c r="B49" s="102" t="s">
        <v>168</v>
      </c>
      <c r="C49" s="319">
        <f>'DATOS INICIALES'!D8</f>
        <v>0</v>
      </c>
      <c r="D49" s="320"/>
      <c r="E49" s="191">
        <f>C49*(1+$E$48)</f>
        <v>0</v>
      </c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spans="1:26" ht="14.25" customHeight="1">
      <c r="A50" s="44"/>
      <c r="B50" s="102" t="s">
        <v>169</v>
      </c>
      <c r="C50" s="319">
        <f>TRANSPORTES!E10+TRANSPORTES!B10</f>
        <v>194000</v>
      </c>
      <c r="D50" s="320"/>
      <c r="E50" s="191">
        <f>C50*(1+$E$48)</f>
        <v>203700</v>
      </c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spans="1:26" ht="14.25" customHeight="1">
      <c r="A51" s="44"/>
      <c r="B51" s="102" t="s">
        <v>171</v>
      </c>
      <c r="C51" s="319">
        <f>'DATOS INICIALES'!E30</f>
        <v>35000</v>
      </c>
      <c r="D51" s="320"/>
      <c r="E51" s="191">
        <f>C51*(1+$E$48)</f>
        <v>36750</v>
      </c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spans="1:26" ht="14.25" customHeight="1">
      <c r="A52" s="44"/>
      <c r="B52" s="102" t="s">
        <v>175</v>
      </c>
      <c r="C52" s="321"/>
      <c r="D52" s="322"/>
      <c r="E52" s="96">
        <f>SUM(E49:E51)*E48</f>
        <v>12022.5</v>
      </c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spans="1:26" ht="14.25" customHeight="1">
      <c r="A53" s="44"/>
      <c r="B53" s="190" t="s">
        <v>176</v>
      </c>
      <c r="C53" s="316"/>
      <c r="D53" s="317"/>
      <c r="E53" s="106">
        <f>SUM(E49:E51)+E52</f>
        <v>252472.5</v>
      </c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spans="1:26" ht="14.2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spans="1:26" ht="14.2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spans="1:26" ht="14.2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spans="1:26" ht="14.2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spans="1:26" ht="14.2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spans="1:26" ht="14.2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spans="1:26" ht="14.2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spans="1:26" ht="14.2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spans="1:26" ht="14.2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spans="1:26" ht="14.2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spans="1:26" ht="14.2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spans="1:26" ht="14.2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spans="1:26" ht="14.2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spans="1:26" ht="14.2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spans="1:26" ht="14.2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spans="1:26" ht="14.2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spans="1:26" ht="14.2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spans="1:26" ht="14.2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spans="1:26" ht="14.2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spans="1:26" ht="14.2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spans="1:26" ht="14.2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spans="1:26" ht="14.2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spans="1:26" ht="14.2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spans="1:26" ht="14.2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spans="1:26" ht="14.2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spans="1:26" ht="14.2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spans="1:26" ht="14.2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spans="1:26" ht="14.2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spans="1:26" ht="14.2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spans="1:26" ht="14.2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spans="1:26" ht="14.2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spans="1:26" ht="14.2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spans="1:26" ht="14.2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spans="1:26" ht="14.2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spans="1:26" ht="14.2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spans="1:26" ht="14.2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spans="1:26" ht="14.2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spans="1:26" ht="14.2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spans="1:26" ht="14.2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spans="1:26" ht="14.2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spans="1:26" ht="14.2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spans="1:26" ht="14.2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spans="1:26" ht="14.2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spans="1:26" ht="14.2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spans="1:26" ht="14.2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spans="1:26" ht="14.2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spans="1:26" ht="14.2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spans="1:26" ht="14.2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spans="1:26" ht="14.2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spans="1:26" ht="14.2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spans="1:26" ht="14.2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spans="1:26" ht="14.2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spans="1:26" ht="14.2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spans="1:26" ht="14.2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spans="1:26" ht="14.2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spans="1:26" ht="14.2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spans="1:26" ht="14.2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spans="1:26" ht="14.2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spans="1:26" ht="14.2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spans="1:26" ht="14.2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spans="1:26" ht="14.2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spans="1:26" ht="14.2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spans="1:26" ht="14.2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spans="1:26" ht="14.2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spans="1:26" ht="14.2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spans="1:26" ht="14.2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spans="1:26" ht="14.2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spans="1:26" ht="14.2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spans="1:26" ht="14.2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spans="1:26" ht="14.2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spans="1:26" ht="14.2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spans="1:26" ht="14.2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spans="1:26" ht="14.2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spans="1:26" ht="14.2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spans="1:26" ht="14.2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spans="1:26" ht="14.2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spans="1:26" ht="14.2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spans="1:26" ht="14.2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spans="1:26" ht="14.2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spans="1:26" ht="14.2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spans="1:26" ht="14.2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spans="1:26" ht="14.2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spans="1:26" ht="14.2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spans="1:26" ht="14.2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spans="1:26" ht="14.2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spans="1:26" ht="14.2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spans="1:26" ht="14.2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spans="1:26" ht="14.2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spans="1:26" ht="14.2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spans="1:26" ht="14.2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spans="1:26" ht="14.2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spans="1:26" ht="14.2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spans="1:26" ht="14.2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spans="1:26" ht="14.2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spans="1:26" ht="14.2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spans="1:26" ht="14.2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spans="1:26" ht="14.2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spans="1:26" ht="14.2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spans="1:26" ht="14.2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spans="1:26" ht="14.2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spans="1:26" ht="14.2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spans="1:26" ht="14.2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spans="1:26" ht="14.2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spans="1:26" ht="14.2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spans="1:26" ht="14.2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spans="1:26" ht="14.2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spans="1:26" ht="14.2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spans="1:26" ht="14.2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spans="1:26" ht="14.2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spans="1:26" ht="14.2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spans="1:26" ht="14.2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spans="1:26" ht="14.2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spans="1:26" ht="14.2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spans="1:26" ht="14.2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spans="1:26" ht="14.2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spans="1:26" ht="14.2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spans="1:26" ht="14.2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spans="1:26" ht="14.2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spans="1:26" ht="14.2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spans="1:26" ht="14.2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spans="1:26" ht="14.2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spans="1:26" ht="14.2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spans="1:26" ht="14.2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spans="1:26" ht="14.2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spans="1:26" ht="14.2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spans="1:26" ht="14.2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spans="1:26" ht="14.2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spans="1:26" ht="14.2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spans="1:26" ht="14.2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spans="1:26" ht="14.2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spans="1:26" ht="14.2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spans="1:26" ht="14.2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spans="1:26" ht="14.2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spans="1:26" ht="14.2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spans="1:26" ht="14.2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spans="1:26" ht="14.2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spans="1:26" ht="14.2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spans="1:26" ht="14.2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spans="1:26" ht="14.2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spans="1:26" ht="14.2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spans="1:26" ht="14.2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spans="1:26" ht="14.2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spans="1:26" ht="14.2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spans="1:26" ht="14.2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spans="1:26" ht="14.2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spans="1:26" ht="14.2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spans="1:26" ht="14.2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spans="1:26" ht="14.2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spans="1:26" ht="14.2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spans="1:26" ht="14.2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spans="1:26" ht="14.2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spans="1:26" ht="14.2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spans="1:26" ht="14.2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spans="1:26" ht="14.2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spans="1:26" ht="14.2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spans="1:26" ht="14.2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spans="1:26" ht="14.2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spans="1:26" ht="14.2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spans="1:26" ht="14.2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spans="1:26" ht="14.2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spans="1:26" ht="14.2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spans="1:26" ht="14.2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spans="1:26" ht="14.2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spans="1:26" ht="14.2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spans="1:26" ht="14.2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spans="1:26" ht="14.2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spans="1:26" ht="14.2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spans="1:26" ht="14.2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spans="1:26" ht="14.2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spans="1:26" ht="14.2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spans="1:26" ht="14.2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spans="1:26" ht="14.2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spans="1:26" ht="14.2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spans="1:26" ht="14.2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spans="1:26" ht="14.2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spans="1:26" ht="14.2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spans="1:26" ht="14.2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spans="1:26" ht="14.2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spans="1:26" ht="14.2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spans="1:26" ht="14.2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spans="1:26" ht="14.2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spans="1:26" ht="14.2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spans="1:26" ht="14.2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spans="1:26" ht="14.2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spans="1:26" ht="14.2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spans="1:26" ht="14.2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spans="1:26" ht="14.2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spans="1:26" ht="14.2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spans="1:26" ht="14.25" customHeight="1">
      <c r="A242" s="44"/>
      <c r="B242" s="110"/>
      <c r="C242" s="110"/>
      <c r="D242" s="110"/>
      <c r="E242" s="110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spans="1:26" ht="14.25" customHeight="1">
      <c r="A243" s="44"/>
      <c r="B243" s="110"/>
      <c r="C243" s="110"/>
      <c r="D243" s="110"/>
      <c r="E243" s="110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spans="1:26" ht="14.25" customHeight="1">
      <c r="A244" s="44"/>
      <c r="B244" s="110"/>
      <c r="C244" s="110"/>
      <c r="D244" s="110"/>
      <c r="E244" s="110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spans="1:26" ht="14.25" customHeight="1">
      <c r="A245" s="44"/>
      <c r="B245" s="110"/>
      <c r="C245" s="110"/>
      <c r="D245" s="110"/>
      <c r="E245" s="110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spans="1:26" ht="14.25" customHeight="1">
      <c r="A246" s="44"/>
      <c r="B246" s="110"/>
      <c r="C246" s="110"/>
      <c r="D246" s="110"/>
      <c r="E246" s="110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spans="1:26" ht="14.25" customHeight="1">
      <c r="A247" s="44"/>
      <c r="B247" s="110"/>
      <c r="C247" s="110"/>
      <c r="D247" s="110"/>
      <c r="E247" s="110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spans="1:26" ht="14.25" customHeight="1">
      <c r="A248" s="44"/>
      <c r="B248" s="110"/>
      <c r="C248" s="110"/>
      <c r="D248" s="110"/>
      <c r="E248" s="110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spans="1:26" ht="14.25" customHeight="1">
      <c r="A249" s="44"/>
      <c r="B249" s="110"/>
      <c r="C249" s="110"/>
      <c r="D249" s="110"/>
      <c r="E249" s="110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spans="1:26" ht="14.25" customHeight="1">
      <c r="A250" s="44"/>
      <c r="B250" s="110"/>
      <c r="C250" s="110"/>
      <c r="D250" s="110"/>
      <c r="E250" s="110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spans="1:26" ht="14.25" customHeight="1">
      <c r="A251" s="44"/>
      <c r="B251" s="110"/>
      <c r="C251" s="110"/>
      <c r="D251" s="110"/>
      <c r="E251" s="110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spans="1:26" ht="14.25" customHeight="1">
      <c r="A252" s="44"/>
      <c r="B252" s="110"/>
      <c r="C252" s="110"/>
      <c r="D252" s="110"/>
      <c r="E252" s="110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spans="1:26" ht="14.25" customHeight="1">
      <c r="A253" s="44"/>
      <c r="B253" s="110"/>
      <c r="C253" s="110"/>
      <c r="D253" s="110"/>
      <c r="E253" s="110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spans="1:26" ht="14.25" customHeight="1">
      <c r="A254" s="44"/>
      <c r="B254" s="110"/>
      <c r="C254" s="110"/>
      <c r="D254" s="110"/>
      <c r="E254" s="110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spans="1:26" ht="14.25" customHeight="1">
      <c r="A255" s="44"/>
      <c r="B255" s="110"/>
      <c r="C255" s="110"/>
      <c r="D255" s="110"/>
      <c r="E255" s="110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spans="1:26" ht="14.25" customHeight="1">
      <c r="A256" s="44"/>
      <c r="B256" s="110"/>
      <c r="C256" s="110"/>
      <c r="D256" s="110"/>
      <c r="E256" s="110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spans="1:26" ht="14.25" customHeight="1">
      <c r="A257" s="44"/>
      <c r="B257" s="110"/>
      <c r="C257" s="110"/>
      <c r="D257" s="110"/>
      <c r="E257" s="110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spans="1:26" ht="14.25" customHeight="1">
      <c r="A258" s="44"/>
      <c r="B258" s="110"/>
      <c r="C258" s="110"/>
      <c r="D258" s="110"/>
      <c r="E258" s="110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spans="1:26" ht="14.25" customHeight="1">
      <c r="A259" s="44"/>
      <c r="B259" s="110"/>
      <c r="C259" s="110"/>
      <c r="D259" s="110"/>
      <c r="E259" s="110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spans="1:26" ht="14.25" customHeight="1">
      <c r="A260" s="44"/>
      <c r="B260" s="110"/>
      <c r="C260" s="110"/>
      <c r="D260" s="110"/>
      <c r="E260" s="110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spans="1:26" ht="14.25" customHeight="1">
      <c r="A261" s="44"/>
      <c r="B261" s="110"/>
      <c r="C261" s="110"/>
      <c r="D261" s="110"/>
      <c r="E261" s="110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spans="1:26" ht="14.25" customHeight="1">
      <c r="A262" s="44"/>
      <c r="B262" s="110"/>
      <c r="C262" s="110"/>
      <c r="D262" s="110"/>
      <c r="E262" s="110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spans="1:26" ht="14.25" customHeight="1">
      <c r="A263" s="44"/>
      <c r="B263" s="110"/>
      <c r="C263" s="110"/>
      <c r="D263" s="110"/>
      <c r="E263" s="110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spans="1:26" ht="14.25" customHeight="1">
      <c r="A264" s="44"/>
      <c r="B264" s="110"/>
      <c r="C264" s="110"/>
      <c r="D264" s="110"/>
      <c r="E264" s="110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spans="1:26" ht="14.25" customHeight="1">
      <c r="A265" s="44"/>
      <c r="B265" s="110"/>
      <c r="C265" s="110"/>
      <c r="D265" s="110"/>
      <c r="E265" s="110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spans="1:26" ht="14.25" customHeight="1">
      <c r="A266" s="44"/>
      <c r="B266" s="110"/>
      <c r="C266" s="110"/>
      <c r="D266" s="110"/>
      <c r="E266" s="110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spans="1:26" ht="14.25" customHeight="1">
      <c r="A267" s="44"/>
      <c r="B267" s="110"/>
      <c r="C267" s="110"/>
      <c r="D267" s="110"/>
      <c r="E267" s="110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spans="1:26" ht="14.25" customHeight="1">
      <c r="A268" s="44"/>
      <c r="B268" s="110"/>
      <c r="C268" s="110"/>
      <c r="D268" s="110"/>
      <c r="E268" s="110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spans="1:26" ht="14.25" customHeight="1">
      <c r="A269" s="44"/>
      <c r="B269" s="110"/>
      <c r="C269" s="110"/>
      <c r="D269" s="110"/>
      <c r="E269" s="110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spans="1:26" ht="14.25" customHeight="1">
      <c r="A270" s="44"/>
      <c r="B270" s="110"/>
      <c r="C270" s="110"/>
      <c r="D270" s="110"/>
      <c r="E270" s="110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spans="1:26" ht="14.25" customHeight="1">
      <c r="A271" s="44"/>
      <c r="B271" s="110"/>
      <c r="C271" s="110"/>
      <c r="D271" s="110"/>
      <c r="E271" s="110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spans="1:26" ht="14.25" customHeight="1">
      <c r="A272" s="44"/>
      <c r="B272" s="110"/>
      <c r="C272" s="110"/>
      <c r="D272" s="110"/>
      <c r="E272" s="110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spans="1:26" ht="14.25" customHeight="1">
      <c r="A273" s="44"/>
      <c r="B273" s="110"/>
      <c r="C273" s="110"/>
      <c r="D273" s="110"/>
      <c r="E273" s="110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spans="1:26" ht="14.25" customHeight="1">
      <c r="A274" s="44"/>
      <c r="B274" s="110"/>
      <c r="C274" s="110"/>
      <c r="D274" s="110"/>
      <c r="E274" s="110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spans="1:26" ht="14.25" customHeight="1">
      <c r="A275" s="44"/>
      <c r="B275" s="110"/>
      <c r="C275" s="110"/>
      <c r="D275" s="110"/>
      <c r="E275" s="110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spans="1:26" ht="14.25" customHeight="1">
      <c r="A276" s="44"/>
      <c r="B276" s="110"/>
      <c r="C276" s="110"/>
      <c r="D276" s="110"/>
      <c r="E276" s="110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spans="1:26" ht="14.25" customHeight="1">
      <c r="A277" s="44"/>
      <c r="B277" s="110"/>
      <c r="C277" s="110"/>
      <c r="D277" s="110"/>
      <c r="E277" s="110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spans="1:26" ht="14.25" customHeight="1">
      <c r="A278" s="44"/>
      <c r="B278" s="110"/>
      <c r="C278" s="110"/>
      <c r="D278" s="110"/>
      <c r="E278" s="110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spans="1:26" ht="14.25" customHeight="1">
      <c r="A279" s="44"/>
      <c r="B279" s="110"/>
      <c r="C279" s="110"/>
      <c r="D279" s="110"/>
      <c r="E279" s="110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spans="1:26" ht="14.25" customHeight="1">
      <c r="A280" s="44"/>
      <c r="B280" s="110"/>
      <c r="C280" s="110"/>
      <c r="D280" s="110"/>
      <c r="E280" s="110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spans="1:26" ht="14.25" customHeight="1">
      <c r="A281" s="44"/>
      <c r="B281" s="110"/>
      <c r="C281" s="110"/>
      <c r="D281" s="110"/>
      <c r="E281" s="110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spans="1:26" ht="14.25" customHeight="1">
      <c r="A282" s="44"/>
      <c r="B282" s="110"/>
      <c r="C282" s="110"/>
      <c r="D282" s="110"/>
      <c r="E282" s="110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spans="1:26" ht="14.25" customHeight="1">
      <c r="A283" s="44"/>
      <c r="B283" s="110"/>
      <c r="C283" s="110"/>
      <c r="D283" s="110"/>
      <c r="E283" s="110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spans="1:26" ht="14.25" customHeight="1">
      <c r="A284" s="44"/>
      <c r="B284" s="110"/>
      <c r="C284" s="110"/>
      <c r="D284" s="110"/>
      <c r="E284" s="110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spans="1:26" ht="14.25" customHeight="1">
      <c r="A285" s="44"/>
      <c r="B285" s="110"/>
      <c r="C285" s="110"/>
      <c r="D285" s="110"/>
      <c r="E285" s="110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spans="1:26" ht="14.25" customHeight="1">
      <c r="A286" s="44"/>
      <c r="B286" s="110"/>
      <c r="C286" s="110"/>
      <c r="D286" s="110"/>
      <c r="E286" s="110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spans="1:26" ht="14.25" customHeight="1">
      <c r="A287" s="44"/>
      <c r="B287" s="110"/>
      <c r="C287" s="110"/>
      <c r="D287" s="110"/>
      <c r="E287" s="110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spans="1:26" ht="14.25" customHeight="1">
      <c r="A288" s="44"/>
      <c r="B288" s="110"/>
      <c r="C288" s="110"/>
      <c r="D288" s="110"/>
      <c r="E288" s="110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spans="1:26" ht="14.25" customHeight="1">
      <c r="A289" s="44"/>
      <c r="B289" s="110"/>
      <c r="C289" s="110"/>
      <c r="D289" s="110"/>
      <c r="E289" s="110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spans="1:26" ht="14.25" customHeight="1">
      <c r="A290" s="44"/>
      <c r="B290" s="110"/>
      <c r="C290" s="110"/>
      <c r="D290" s="110"/>
      <c r="E290" s="110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spans="1:26" ht="14.25" customHeight="1">
      <c r="A291" s="44"/>
      <c r="B291" s="110"/>
      <c r="C291" s="110"/>
      <c r="D291" s="110"/>
      <c r="E291" s="110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spans="1:26" ht="14.25" customHeight="1">
      <c r="A292" s="44"/>
      <c r="B292" s="110"/>
      <c r="C292" s="110"/>
      <c r="D292" s="110"/>
      <c r="E292" s="110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spans="1:26" ht="14.25" customHeight="1">
      <c r="A293" s="44"/>
      <c r="B293" s="110"/>
      <c r="C293" s="110"/>
      <c r="D293" s="110"/>
      <c r="E293" s="110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spans="1:26" ht="14.25" customHeight="1">
      <c r="A294" s="44"/>
      <c r="B294" s="110"/>
      <c r="C294" s="110"/>
      <c r="D294" s="110"/>
      <c r="E294" s="110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spans="1:26" ht="14.25" customHeight="1">
      <c r="A295" s="44"/>
      <c r="B295" s="110"/>
      <c r="C295" s="110"/>
      <c r="D295" s="110"/>
      <c r="E295" s="110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spans="1:26" ht="14.25" customHeight="1">
      <c r="A296" s="44"/>
      <c r="B296" s="110"/>
      <c r="C296" s="110"/>
      <c r="D296" s="110"/>
      <c r="E296" s="110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spans="1:26" ht="14.25" customHeight="1">
      <c r="A297" s="44"/>
      <c r="B297" s="110"/>
      <c r="C297" s="110"/>
      <c r="D297" s="110"/>
      <c r="E297" s="110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spans="1:26" ht="14.25" customHeight="1">
      <c r="A298" s="44"/>
      <c r="B298" s="110"/>
      <c r="C298" s="110"/>
      <c r="D298" s="110"/>
      <c r="E298" s="110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spans="1:26" ht="14.25" customHeight="1">
      <c r="A299" s="44"/>
      <c r="B299" s="110"/>
      <c r="C299" s="110"/>
      <c r="D299" s="110"/>
      <c r="E299" s="110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spans="1:26" ht="14.25" customHeight="1">
      <c r="A300" s="44"/>
      <c r="B300" s="110"/>
      <c r="C300" s="110"/>
      <c r="D300" s="110"/>
      <c r="E300" s="110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spans="1:26" ht="14.25" customHeight="1">
      <c r="A301" s="44"/>
      <c r="B301" s="110"/>
      <c r="C301" s="110"/>
      <c r="D301" s="110"/>
      <c r="E301" s="110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spans="1:26" ht="14.25" customHeight="1">
      <c r="A302" s="44"/>
      <c r="B302" s="110"/>
      <c r="C302" s="110"/>
      <c r="D302" s="110"/>
      <c r="E302" s="110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spans="1:26" ht="14.25" customHeight="1">
      <c r="A303" s="44"/>
      <c r="B303" s="110"/>
      <c r="C303" s="110"/>
      <c r="D303" s="110"/>
      <c r="E303" s="110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spans="1:26" ht="14.25" customHeight="1">
      <c r="A304" s="44"/>
      <c r="B304" s="110"/>
      <c r="C304" s="110"/>
      <c r="D304" s="110"/>
      <c r="E304" s="110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spans="1:26" ht="14.25" customHeight="1">
      <c r="A305" s="44"/>
      <c r="B305" s="110"/>
      <c r="C305" s="110"/>
      <c r="D305" s="110"/>
      <c r="E305" s="110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spans="1:26" ht="14.25" customHeight="1">
      <c r="A306" s="44"/>
      <c r="B306" s="110"/>
      <c r="C306" s="110"/>
      <c r="D306" s="110"/>
      <c r="E306" s="110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spans="1:26" ht="14.25" customHeight="1">
      <c r="A307" s="44"/>
      <c r="B307" s="110"/>
      <c r="C307" s="110"/>
      <c r="D307" s="110"/>
      <c r="E307" s="110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spans="1:26" ht="14.25" customHeight="1">
      <c r="A308" s="44"/>
      <c r="B308" s="110"/>
      <c r="C308" s="110"/>
      <c r="D308" s="110"/>
      <c r="E308" s="110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spans="1:26" ht="14.25" customHeight="1">
      <c r="A309" s="44"/>
      <c r="B309" s="110"/>
      <c r="C309" s="110"/>
      <c r="D309" s="110"/>
      <c r="E309" s="110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spans="1:26" ht="14.25" customHeight="1">
      <c r="A310" s="44"/>
      <c r="B310" s="110"/>
      <c r="C310" s="110"/>
      <c r="D310" s="110"/>
      <c r="E310" s="110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spans="1:26" ht="14.25" customHeight="1">
      <c r="A311" s="44"/>
      <c r="B311" s="110"/>
      <c r="C311" s="110"/>
      <c r="D311" s="110"/>
      <c r="E311" s="110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spans="1:26" ht="14.25" customHeight="1">
      <c r="A312" s="44"/>
      <c r="B312" s="110"/>
      <c r="C312" s="110"/>
      <c r="D312" s="110"/>
      <c r="E312" s="110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spans="1:26" ht="14.25" customHeight="1">
      <c r="A313" s="44"/>
      <c r="B313" s="110"/>
      <c r="C313" s="110"/>
      <c r="D313" s="110"/>
      <c r="E313" s="110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spans="1:26" ht="14.25" customHeight="1">
      <c r="A314" s="44"/>
      <c r="B314" s="110"/>
      <c r="C314" s="110"/>
      <c r="D314" s="110"/>
      <c r="E314" s="110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spans="1:26" ht="14.25" customHeight="1">
      <c r="A315" s="44"/>
      <c r="B315" s="110"/>
      <c r="C315" s="110"/>
      <c r="D315" s="110"/>
      <c r="E315" s="110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spans="1:26" ht="14.25" customHeight="1">
      <c r="A316" s="44"/>
      <c r="B316" s="110"/>
      <c r="C316" s="110"/>
      <c r="D316" s="110"/>
      <c r="E316" s="110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spans="1:26" ht="14.25" customHeight="1">
      <c r="A317" s="44"/>
      <c r="B317" s="110"/>
      <c r="C317" s="110"/>
      <c r="D317" s="110"/>
      <c r="E317" s="110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spans="1:26" ht="14.25" customHeight="1">
      <c r="A318" s="44"/>
      <c r="B318" s="110"/>
      <c r="C318" s="110"/>
      <c r="D318" s="110"/>
      <c r="E318" s="110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spans="1:26" ht="14.25" customHeight="1">
      <c r="A319" s="44"/>
      <c r="B319" s="110"/>
      <c r="C319" s="110"/>
      <c r="D319" s="110"/>
      <c r="E319" s="110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spans="1:26" ht="14.25" customHeight="1">
      <c r="A320" s="44"/>
      <c r="B320" s="110"/>
      <c r="C320" s="110"/>
      <c r="D320" s="110"/>
      <c r="E320" s="110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spans="1:26" ht="14.25" customHeight="1">
      <c r="A321" s="44"/>
      <c r="B321" s="110"/>
      <c r="C321" s="110"/>
      <c r="D321" s="110"/>
      <c r="E321" s="110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spans="1:26" ht="14.25" customHeight="1">
      <c r="A322" s="44"/>
      <c r="B322" s="110"/>
      <c r="C322" s="110"/>
      <c r="D322" s="110"/>
      <c r="E322" s="110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spans="1:26" ht="14.25" customHeight="1">
      <c r="A323" s="44"/>
      <c r="B323" s="110"/>
      <c r="C323" s="110"/>
      <c r="D323" s="110"/>
      <c r="E323" s="110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spans="1:26" ht="14.25" customHeight="1">
      <c r="A324" s="44"/>
      <c r="B324" s="110"/>
      <c r="C324" s="110"/>
      <c r="D324" s="110"/>
      <c r="E324" s="110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spans="1:26" ht="14.25" customHeight="1">
      <c r="A325" s="44"/>
      <c r="B325" s="110"/>
      <c r="C325" s="110"/>
      <c r="D325" s="110"/>
      <c r="E325" s="110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spans="1:26" ht="14.25" customHeight="1">
      <c r="A326" s="44"/>
      <c r="B326" s="110"/>
      <c r="C326" s="110"/>
      <c r="D326" s="110"/>
      <c r="E326" s="110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spans="1:26" ht="14.25" customHeight="1">
      <c r="A327" s="44"/>
      <c r="B327" s="110"/>
      <c r="C327" s="110"/>
      <c r="D327" s="110"/>
      <c r="E327" s="110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spans="1:26" ht="14.25" customHeight="1">
      <c r="A328" s="44"/>
      <c r="B328" s="110"/>
      <c r="C328" s="110"/>
      <c r="D328" s="110"/>
      <c r="E328" s="110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spans="1:26" ht="14.25" customHeight="1">
      <c r="A329" s="44"/>
      <c r="B329" s="110"/>
      <c r="C329" s="110"/>
      <c r="D329" s="110"/>
      <c r="E329" s="110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spans="1:26" ht="14.25" customHeight="1">
      <c r="A330" s="44"/>
      <c r="B330" s="110"/>
      <c r="C330" s="110"/>
      <c r="D330" s="110"/>
      <c r="E330" s="110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spans="1:26" ht="14.25" customHeight="1">
      <c r="A331" s="44"/>
      <c r="B331" s="110"/>
      <c r="C331" s="110"/>
      <c r="D331" s="110"/>
      <c r="E331" s="110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spans="1:26" ht="14.25" customHeight="1">
      <c r="A332" s="44"/>
      <c r="B332" s="110"/>
      <c r="C332" s="110"/>
      <c r="D332" s="110"/>
      <c r="E332" s="110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spans="1:26" ht="14.25" customHeight="1">
      <c r="A333" s="44"/>
      <c r="B333" s="110"/>
      <c r="C333" s="110"/>
      <c r="D333" s="110"/>
      <c r="E333" s="110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spans="1:26" ht="14.25" customHeight="1">
      <c r="A334" s="44"/>
      <c r="B334" s="110"/>
      <c r="C334" s="110"/>
      <c r="D334" s="110"/>
      <c r="E334" s="110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spans="1:26" ht="14.25" customHeight="1">
      <c r="A335" s="44"/>
      <c r="B335" s="110"/>
      <c r="C335" s="110"/>
      <c r="D335" s="110"/>
      <c r="E335" s="110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spans="1:26" ht="14.25" customHeight="1">
      <c r="A336" s="44"/>
      <c r="B336" s="110"/>
      <c r="C336" s="110"/>
      <c r="D336" s="110"/>
      <c r="E336" s="110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spans="1:26" ht="14.25" customHeight="1">
      <c r="A337" s="44"/>
      <c r="B337" s="110"/>
      <c r="C337" s="110"/>
      <c r="D337" s="110"/>
      <c r="E337" s="110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spans="1:26" ht="14.25" customHeight="1">
      <c r="A338" s="44"/>
      <c r="B338" s="110"/>
      <c r="C338" s="110"/>
      <c r="D338" s="110"/>
      <c r="E338" s="110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spans="1:26" ht="14.25" customHeight="1">
      <c r="A339" s="44"/>
      <c r="B339" s="110"/>
      <c r="C339" s="110"/>
      <c r="D339" s="110"/>
      <c r="E339" s="110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spans="1:26" ht="14.25" customHeight="1">
      <c r="A340" s="44"/>
      <c r="B340" s="110"/>
      <c r="C340" s="110"/>
      <c r="D340" s="110"/>
      <c r="E340" s="110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spans="1:26" ht="14.25" customHeight="1">
      <c r="A341" s="44"/>
      <c r="B341" s="110"/>
      <c r="C341" s="110"/>
      <c r="D341" s="110"/>
      <c r="E341" s="110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spans="1:26" ht="14.25" customHeight="1">
      <c r="A342" s="44"/>
      <c r="B342" s="110"/>
      <c r="C342" s="110"/>
      <c r="D342" s="110"/>
      <c r="E342" s="110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spans="1:26" ht="14.25" customHeight="1">
      <c r="A343" s="44"/>
      <c r="B343" s="110"/>
      <c r="C343" s="110"/>
      <c r="D343" s="110"/>
      <c r="E343" s="110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spans="1:26" ht="14.25" customHeight="1">
      <c r="A344" s="44"/>
      <c r="B344" s="110"/>
      <c r="C344" s="110"/>
      <c r="D344" s="110"/>
      <c r="E344" s="110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spans="1:26" ht="14.25" customHeight="1">
      <c r="A345" s="44"/>
      <c r="B345" s="110"/>
      <c r="C345" s="110"/>
      <c r="D345" s="110"/>
      <c r="E345" s="110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spans="1:26" ht="14.25" customHeight="1">
      <c r="A346" s="44"/>
      <c r="B346" s="110"/>
      <c r="C346" s="110"/>
      <c r="D346" s="110"/>
      <c r="E346" s="110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spans="1:26" ht="14.25" customHeight="1">
      <c r="A347" s="44"/>
      <c r="B347" s="110"/>
      <c r="C347" s="110"/>
      <c r="D347" s="110"/>
      <c r="E347" s="110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spans="1:26" ht="14.25" customHeight="1">
      <c r="A348" s="44"/>
      <c r="B348" s="110"/>
      <c r="C348" s="110"/>
      <c r="D348" s="110"/>
      <c r="E348" s="110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spans="1:26" ht="14.25" customHeight="1">
      <c r="A349" s="44"/>
      <c r="B349" s="110"/>
      <c r="C349" s="110"/>
      <c r="D349" s="110"/>
      <c r="E349" s="110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spans="1:26" ht="14.25" customHeight="1">
      <c r="A350" s="44"/>
      <c r="B350" s="110"/>
      <c r="C350" s="110"/>
      <c r="D350" s="110"/>
      <c r="E350" s="110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spans="1:26" ht="14.25" customHeight="1">
      <c r="A351" s="44"/>
      <c r="B351" s="110"/>
      <c r="C351" s="110"/>
      <c r="D351" s="110"/>
      <c r="E351" s="110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spans="1:26" ht="14.25" customHeight="1">
      <c r="A352" s="44"/>
      <c r="B352" s="110"/>
      <c r="C352" s="110"/>
      <c r="D352" s="110"/>
      <c r="E352" s="110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spans="1:26" ht="14.25" customHeight="1">
      <c r="A353" s="44"/>
      <c r="B353" s="110"/>
      <c r="C353" s="110"/>
      <c r="D353" s="110"/>
      <c r="E353" s="110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spans="1:26" ht="14.25" customHeight="1">
      <c r="A354" s="44"/>
      <c r="B354" s="110"/>
      <c r="C354" s="110"/>
      <c r="D354" s="110"/>
      <c r="E354" s="110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spans="1:26" ht="14.25" customHeight="1">
      <c r="A355" s="44"/>
      <c r="B355" s="110"/>
      <c r="C355" s="110"/>
      <c r="D355" s="110"/>
      <c r="E355" s="110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spans="1:26" ht="14.25" customHeight="1">
      <c r="A356" s="44"/>
      <c r="B356" s="110"/>
      <c r="C356" s="110"/>
      <c r="D356" s="110"/>
      <c r="E356" s="110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spans="1:26" ht="14.25" customHeight="1">
      <c r="A357" s="44"/>
      <c r="B357" s="110"/>
      <c r="C357" s="110"/>
      <c r="D357" s="110"/>
      <c r="E357" s="110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spans="1:26" ht="14.25" customHeight="1">
      <c r="A358" s="44"/>
      <c r="B358" s="110"/>
      <c r="C358" s="110"/>
      <c r="D358" s="110"/>
      <c r="E358" s="110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spans="1:26" ht="14.25" customHeight="1">
      <c r="A359" s="44"/>
      <c r="B359" s="110"/>
      <c r="C359" s="110"/>
      <c r="D359" s="110"/>
      <c r="E359" s="110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spans="1:26" ht="14.25" customHeight="1">
      <c r="A360" s="44"/>
      <c r="B360" s="110"/>
      <c r="C360" s="110"/>
      <c r="D360" s="110"/>
      <c r="E360" s="110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spans="1:26" ht="14.25" customHeight="1">
      <c r="A361" s="44"/>
      <c r="B361" s="110"/>
      <c r="C361" s="110"/>
      <c r="D361" s="110"/>
      <c r="E361" s="110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spans="1:26" ht="14.25" customHeight="1">
      <c r="A362" s="44"/>
      <c r="B362" s="110"/>
      <c r="C362" s="110"/>
      <c r="D362" s="110"/>
      <c r="E362" s="110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spans="1:26" ht="14.25" customHeight="1">
      <c r="A363" s="44"/>
      <c r="B363" s="110"/>
      <c r="C363" s="110"/>
      <c r="D363" s="110"/>
      <c r="E363" s="110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spans="1:26" ht="14.25" customHeight="1">
      <c r="A364" s="44"/>
      <c r="B364" s="110"/>
      <c r="C364" s="110"/>
      <c r="D364" s="110"/>
      <c r="E364" s="110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spans="1:26" ht="14.25" customHeight="1">
      <c r="A365" s="44"/>
      <c r="B365" s="110"/>
      <c r="C365" s="110"/>
      <c r="D365" s="110"/>
      <c r="E365" s="110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spans="1:26" ht="14.25" customHeight="1">
      <c r="A366" s="44"/>
      <c r="B366" s="110"/>
      <c r="C366" s="110"/>
      <c r="D366" s="110"/>
      <c r="E366" s="110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spans="1:26" ht="14.25" customHeight="1">
      <c r="A367" s="44"/>
      <c r="B367" s="110"/>
      <c r="C367" s="110"/>
      <c r="D367" s="110"/>
      <c r="E367" s="110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spans="1:26" ht="14.25" customHeight="1">
      <c r="A368" s="44"/>
      <c r="B368" s="110"/>
      <c r="C368" s="110"/>
      <c r="D368" s="110"/>
      <c r="E368" s="110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spans="1:26" ht="14.25" customHeight="1">
      <c r="A369" s="44"/>
      <c r="B369" s="110"/>
      <c r="C369" s="110"/>
      <c r="D369" s="110"/>
      <c r="E369" s="110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spans="1:26" ht="14.25" customHeight="1">
      <c r="A370" s="44"/>
      <c r="B370" s="110"/>
      <c r="C370" s="110"/>
      <c r="D370" s="110"/>
      <c r="E370" s="110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spans="1:26" ht="14.25" customHeight="1">
      <c r="A371" s="44"/>
      <c r="B371" s="110"/>
      <c r="C371" s="110"/>
      <c r="D371" s="110"/>
      <c r="E371" s="110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spans="1:26" ht="14.25" customHeight="1">
      <c r="A372" s="44"/>
      <c r="B372" s="110"/>
      <c r="C372" s="110"/>
      <c r="D372" s="110"/>
      <c r="E372" s="110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spans="1:26" ht="14.25" customHeight="1">
      <c r="A373" s="44"/>
      <c r="B373" s="110"/>
      <c r="C373" s="110"/>
      <c r="D373" s="110"/>
      <c r="E373" s="110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spans="1:26" ht="14.25" customHeight="1">
      <c r="A374" s="44"/>
      <c r="B374" s="110"/>
      <c r="C374" s="110"/>
      <c r="D374" s="110"/>
      <c r="E374" s="110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spans="1:26" ht="14.25" customHeight="1">
      <c r="A375" s="44"/>
      <c r="B375" s="110"/>
      <c r="C375" s="110"/>
      <c r="D375" s="110"/>
      <c r="E375" s="110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spans="1:26" ht="14.25" customHeight="1">
      <c r="A376" s="44"/>
      <c r="B376" s="110"/>
      <c r="C376" s="110"/>
      <c r="D376" s="110"/>
      <c r="E376" s="110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spans="1:26" ht="14.25" customHeight="1">
      <c r="A377" s="44"/>
      <c r="B377" s="110"/>
      <c r="C377" s="110"/>
      <c r="D377" s="110"/>
      <c r="E377" s="110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spans="1:26" ht="14.25" customHeight="1">
      <c r="A378" s="44"/>
      <c r="B378" s="110"/>
      <c r="C378" s="110"/>
      <c r="D378" s="110"/>
      <c r="E378" s="110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spans="1:26" ht="14.25" customHeight="1">
      <c r="A379" s="44"/>
      <c r="B379" s="110"/>
      <c r="C379" s="110"/>
      <c r="D379" s="110"/>
      <c r="E379" s="110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spans="1:26" ht="14.25" customHeight="1">
      <c r="A380" s="44"/>
      <c r="B380" s="110"/>
      <c r="C380" s="110"/>
      <c r="D380" s="110"/>
      <c r="E380" s="110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spans="1:26" ht="14.25" customHeight="1">
      <c r="A381" s="44"/>
      <c r="B381" s="110"/>
      <c r="C381" s="110"/>
      <c r="D381" s="110"/>
      <c r="E381" s="110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spans="1:26" ht="14.25" customHeight="1">
      <c r="A382" s="44"/>
      <c r="B382" s="110"/>
      <c r="C382" s="110"/>
      <c r="D382" s="110"/>
      <c r="E382" s="110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spans="1:26" ht="14.25" customHeight="1">
      <c r="A383" s="44"/>
      <c r="B383" s="110"/>
      <c r="C383" s="110"/>
      <c r="D383" s="110"/>
      <c r="E383" s="110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spans="1:26" ht="14.25" customHeight="1">
      <c r="A384" s="44"/>
      <c r="B384" s="110"/>
      <c r="C384" s="110"/>
      <c r="D384" s="110"/>
      <c r="E384" s="110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spans="1:26" ht="14.25" customHeight="1">
      <c r="A385" s="44"/>
      <c r="B385" s="110"/>
      <c r="C385" s="110"/>
      <c r="D385" s="110"/>
      <c r="E385" s="110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spans="1:26" ht="14.25" customHeight="1">
      <c r="A386" s="44"/>
      <c r="B386" s="110"/>
      <c r="C386" s="110"/>
      <c r="D386" s="110"/>
      <c r="E386" s="110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spans="1:26" ht="14.25" customHeight="1">
      <c r="A387" s="44"/>
      <c r="B387" s="110"/>
      <c r="C387" s="110"/>
      <c r="D387" s="110"/>
      <c r="E387" s="110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spans="1:26" ht="14.25" customHeight="1">
      <c r="A388" s="44"/>
      <c r="B388" s="110"/>
      <c r="C388" s="110"/>
      <c r="D388" s="110"/>
      <c r="E388" s="110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spans="1:26" ht="14.25" customHeight="1">
      <c r="A389" s="44"/>
      <c r="B389" s="110"/>
      <c r="C389" s="110"/>
      <c r="D389" s="110"/>
      <c r="E389" s="110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spans="1:26" ht="14.25" customHeight="1">
      <c r="A390" s="44"/>
      <c r="B390" s="110"/>
      <c r="C390" s="110"/>
      <c r="D390" s="110"/>
      <c r="E390" s="110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spans="1:26" ht="14.25" customHeight="1">
      <c r="A391" s="44"/>
      <c r="B391" s="110"/>
      <c r="C391" s="110"/>
      <c r="D391" s="110"/>
      <c r="E391" s="110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spans="1:26" ht="14.25" customHeight="1">
      <c r="A392" s="44"/>
      <c r="B392" s="110"/>
      <c r="C392" s="110"/>
      <c r="D392" s="110"/>
      <c r="E392" s="110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spans="1:26" ht="14.25" customHeight="1">
      <c r="A393" s="44"/>
      <c r="B393" s="110"/>
      <c r="C393" s="110"/>
      <c r="D393" s="110"/>
      <c r="E393" s="110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spans="1:26" ht="14.25" customHeight="1">
      <c r="A394" s="44"/>
      <c r="B394" s="110"/>
      <c r="C394" s="110"/>
      <c r="D394" s="110"/>
      <c r="E394" s="110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spans="1:26" ht="14.25" customHeight="1">
      <c r="A395" s="44"/>
      <c r="B395" s="110"/>
      <c r="C395" s="110"/>
      <c r="D395" s="110"/>
      <c r="E395" s="110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spans="1:26" ht="14.25" customHeight="1">
      <c r="A396" s="44"/>
      <c r="B396" s="110"/>
      <c r="C396" s="110"/>
      <c r="D396" s="110"/>
      <c r="E396" s="110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spans="1:26" ht="14.25" customHeight="1">
      <c r="A397" s="44"/>
      <c r="B397" s="110"/>
      <c r="C397" s="110"/>
      <c r="D397" s="110"/>
      <c r="E397" s="110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spans="1:26" ht="14.25" customHeight="1">
      <c r="A398" s="44"/>
      <c r="B398" s="110"/>
      <c r="C398" s="110"/>
      <c r="D398" s="110"/>
      <c r="E398" s="110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spans="1:26" ht="14.25" customHeight="1">
      <c r="A399" s="44"/>
      <c r="B399" s="110"/>
      <c r="C399" s="110"/>
      <c r="D399" s="110"/>
      <c r="E399" s="110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spans="1:26" ht="14.25" customHeight="1">
      <c r="A400" s="44"/>
      <c r="B400" s="110"/>
      <c r="C400" s="110"/>
      <c r="D400" s="110"/>
      <c r="E400" s="110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spans="1:26" ht="14.25" customHeight="1">
      <c r="A401" s="44"/>
      <c r="B401" s="110"/>
      <c r="C401" s="110"/>
      <c r="D401" s="110"/>
      <c r="E401" s="110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spans="1:26" ht="14.25" customHeight="1">
      <c r="A402" s="44"/>
      <c r="B402" s="110"/>
      <c r="C402" s="110"/>
      <c r="D402" s="110"/>
      <c r="E402" s="110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spans="1:26" ht="14.25" customHeight="1">
      <c r="A403" s="44"/>
      <c r="B403" s="110"/>
      <c r="C403" s="110"/>
      <c r="D403" s="110"/>
      <c r="E403" s="110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spans="1:26" ht="14.25" customHeight="1">
      <c r="A404" s="44"/>
      <c r="B404" s="110"/>
      <c r="C404" s="110"/>
      <c r="D404" s="110"/>
      <c r="E404" s="110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spans="1:26" ht="14.25" customHeight="1">
      <c r="A405" s="44"/>
      <c r="B405" s="110"/>
      <c r="C405" s="110"/>
      <c r="D405" s="110"/>
      <c r="E405" s="110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spans="1:26" ht="14.25" customHeight="1">
      <c r="A406" s="44"/>
      <c r="B406" s="110"/>
      <c r="C406" s="110"/>
      <c r="D406" s="110"/>
      <c r="E406" s="110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spans="1:26" ht="14.25" customHeight="1">
      <c r="A407" s="44"/>
      <c r="B407" s="110"/>
      <c r="C407" s="110"/>
      <c r="D407" s="110"/>
      <c r="E407" s="110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spans="1:26" ht="14.25" customHeight="1">
      <c r="A408" s="44"/>
      <c r="B408" s="110"/>
      <c r="C408" s="110"/>
      <c r="D408" s="110"/>
      <c r="E408" s="110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spans="1:26" ht="14.25" customHeight="1">
      <c r="A409" s="44"/>
      <c r="B409" s="110"/>
      <c r="C409" s="110"/>
      <c r="D409" s="110"/>
      <c r="E409" s="110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spans="1:26" ht="14.25" customHeight="1">
      <c r="A410" s="44"/>
      <c r="B410" s="110"/>
      <c r="C410" s="110"/>
      <c r="D410" s="110"/>
      <c r="E410" s="110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spans="1:26" ht="14.25" customHeight="1">
      <c r="A411" s="44"/>
      <c r="B411" s="110"/>
      <c r="C411" s="110"/>
      <c r="D411" s="110"/>
      <c r="E411" s="110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spans="1:26" ht="14.25" customHeight="1">
      <c r="A412" s="44"/>
      <c r="B412" s="110"/>
      <c r="C412" s="110"/>
      <c r="D412" s="110"/>
      <c r="E412" s="110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spans="1:26" ht="14.25" customHeight="1">
      <c r="A413" s="44"/>
      <c r="B413" s="110"/>
      <c r="C413" s="110"/>
      <c r="D413" s="110"/>
      <c r="E413" s="110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spans="1:26" ht="14.25" customHeight="1">
      <c r="A414" s="44"/>
      <c r="B414" s="110"/>
      <c r="C414" s="110"/>
      <c r="D414" s="110"/>
      <c r="E414" s="110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spans="1:26" ht="14.25" customHeight="1">
      <c r="A415" s="44"/>
      <c r="B415" s="110"/>
      <c r="C415" s="110"/>
      <c r="D415" s="110"/>
      <c r="E415" s="110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spans="1:26" ht="14.25" customHeight="1">
      <c r="A416" s="44"/>
      <c r="B416" s="110"/>
      <c r="C416" s="110"/>
      <c r="D416" s="110"/>
      <c r="E416" s="110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spans="1:26" ht="14.25" customHeight="1">
      <c r="A417" s="44"/>
      <c r="B417" s="110"/>
      <c r="C417" s="110"/>
      <c r="D417" s="110"/>
      <c r="E417" s="110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spans="1:26" ht="14.25" customHeight="1">
      <c r="A418" s="44"/>
      <c r="B418" s="110"/>
      <c r="C418" s="110"/>
      <c r="D418" s="110"/>
      <c r="E418" s="110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spans="1:26" ht="14.25" customHeight="1">
      <c r="A419" s="44"/>
      <c r="B419" s="110"/>
      <c r="C419" s="110"/>
      <c r="D419" s="110"/>
      <c r="E419" s="110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spans="1:26" ht="14.25" customHeight="1">
      <c r="A420" s="44"/>
      <c r="B420" s="110"/>
      <c r="C420" s="110"/>
      <c r="D420" s="110"/>
      <c r="E420" s="110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spans="1:26" ht="14.25" customHeight="1">
      <c r="A421" s="44"/>
      <c r="B421" s="110"/>
      <c r="C421" s="110"/>
      <c r="D421" s="110"/>
      <c r="E421" s="110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spans="1:26" ht="14.25" customHeight="1">
      <c r="A422" s="44"/>
      <c r="B422" s="110"/>
      <c r="C422" s="110"/>
      <c r="D422" s="110"/>
      <c r="E422" s="110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spans="1:26" ht="14.25" customHeight="1">
      <c r="A423" s="44"/>
      <c r="B423" s="110"/>
      <c r="C423" s="110"/>
      <c r="D423" s="110"/>
      <c r="E423" s="110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spans="1:26" ht="14.25" customHeight="1">
      <c r="A424" s="44"/>
      <c r="B424" s="110"/>
      <c r="C424" s="110"/>
      <c r="D424" s="110"/>
      <c r="E424" s="110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spans="1:26" ht="14.25" customHeight="1">
      <c r="A425" s="44"/>
      <c r="B425" s="110"/>
      <c r="C425" s="110"/>
      <c r="D425" s="110"/>
      <c r="E425" s="110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spans="1:26" ht="14.25" customHeight="1">
      <c r="A426" s="44"/>
      <c r="B426" s="110"/>
      <c r="C426" s="110"/>
      <c r="D426" s="110"/>
      <c r="E426" s="110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spans="1:26" ht="14.25" customHeight="1">
      <c r="A427" s="44"/>
      <c r="B427" s="110"/>
      <c r="C427" s="110"/>
      <c r="D427" s="110"/>
      <c r="E427" s="110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spans="1:26" ht="14.25" customHeight="1">
      <c r="A428" s="44"/>
      <c r="B428" s="110"/>
      <c r="C428" s="110"/>
      <c r="D428" s="110"/>
      <c r="E428" s="110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spans="1:26" ht="14.25" customHeight="1">
      <c r="A429" s="44"/>
      <c r="B429" s="110"/>
      <c r="C429" s="110"/>
      <c r="D429" s="110"/>
      <c r="E429" s="110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spans="1:26" ht="14.25" customHeight="1">
      <c r="A430" s="44"/>
      <c r="B430" s="110"/>
      <c r="C430" s="110"/>
      <c r="D430" s="110"/>
      <c r="E430" s="110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spans="1:26" ht="14.25" customHeight="1">
      <c r="A431" s="44"/>
      <c r="B431" s="110"/>
      <c r="C431" s="110"/>
      <c r="D431" s="110"/>
      <c r="E431" s="110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spans="1:26" ht="14.25" customHeight="1">
      <c r="A432" s="44"/>
      <c r="B432" s="110"/>
      <c r="C432" s="110"/>
      <c r="D432" s="110"/>
      <c r="E432" s="110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spans="1:26" ht="14.25" customHeight="1">
      <c r="A433" s="44"/>
      <c r="B433" s="110"/>
      <c r="C433" s="110"/>
      <c r="D433" s="110"/>
      <c r="E433" s="110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spans="1:26" ht="14.25" customHeight="1">
      <c r="A434" s="44"/>
      <c r="B434" s="110"/>
      <c r="C434" s="110"/>
      <c r="D434" s="110"/>
      <c r="E434" s="110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spans="1:26" ht="14.25" customHeight="1">
      <c r="A435" s="44"/>
      <c r="B435" s="110"/>
      <c r="C435" s="110"/>
      <c r="D435" s="110"/>
      <c r="E435" s="110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spans="1:26" ht="14.25" customHeight="1">
      <c r="A436" s="44"/>
      <c r="B436" s="110"/>
      <c r="C436" s="110"/>
      <c r="D436" s="110"/>
      <c r="E436" s="110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spans="1:26" ht="14.25" customHeight="1">
      <c r="A437" s="44"/>
      <c r="B437" s="110"/>
      <c r="C437" s="110"/>
      <c r="D437" s="110"/>
      <c r="E437" s="110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spans="1:26" ht="14.25" customHeight="1">
      <c r="A438" s="44"/>
      <c r="B438" s="110"/>
      <c r="C438" s="110"/>
      <c r="D438" s="110"/>
      <c r="E438" s="110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spans="1:26" ht="14.25" customHeight="1">
      <c r="A439" s="44"/>
      <c r="B439" s="110"/>
      <c r="C439" s="110"/>
      <c r="D439" s="110"/>
      <c r="E439" s="110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spans="1:26" ht="14.25" customHeight="1">
      <c r="A440" s="44"/>
      <c r="B440" s="110"/>
      <c r="C440" s="110"/>
      <c r="D440" s="110"/>
      <c r="E440" s="110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spans="1:26" ht="14.25" customHeight="1">
      <c r="A441" s="44"/>
      <c r="B441" s="110"/>
      <c r="C441" s="110"/>
      <c r="D441" s="110"/>
      <c r="E441" s="110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spans="1:26" ht="14.25" customHeight="1">
      <c r="A442" s="44"/>
      <c r="B442" s="110"/>
      <c r="C442" s="110"/>
      <c r="D442" s="110"/>
      <c r="E442" s="110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spans="1:26" ht="14.25" customHeight="1">
      <c r="A443" s="44"/>
      <c r="B443" s="110"/>
      <c r="C443" s="110"/>
      <c r="D443" s="110"/>
      <c r="E443" s="110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spans="1:26" ht="14.25" customHeight="1">
      <c r="A444" s="44"/>
      <c r="B444" s="110"/>
      <c r="C444" s="110"/>
      <c r="D444" s="110"/>
      <c r="E444" s="110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spans="1:26" ht="14.25" customHeight="1">
      <c r="A445" s="44"/>
      <c r="B445" s="110"/>
      <c r="C445" s="110"/>
      <c r="D445" s="110"/>
      <c r="E445" s="110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spans="1:26" ht="14.25" customHeight="1">
      <c r="A446" s="44"/>
      <c r="B446" s="110"/>
      <c r="C446" s="110"/>
      <c r="D446" s="110"/>
      <c r="E446" s="110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spans="1:26" ht="14.25" customHeight="1">
      <c r="A447" s="44"/>
      <c r="B447" s="110"/>
      <c r="C447" s="110"/>
      <c r="D447" s="110"/>
      <c r="E447" s="110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spans="1:26" ht="14.25" customHeight="1">
      <c r="A448" s="44"/>
      <c r="B448" s="110"/>
      <c r="C448" s="110"/>
      <c r="D448" s="110"/>
      <c r="E448" s="110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spans="1:26" ht="14.25" customHeight="1">
      <c r="A449" s="44"/>
      <c r="B449" s="110"/>
      <c r="C449" s="110"/>
      <c r="D449" s="110"/>
      <c r="E449" s="110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spans="1:26" ht="14.25" customHeight="1">
      <c r="A450" s="44"/>
      <c r="B450" s="110"/>
      <c r="C450" s="110"/>
      <c r="D450" s="110"/>
      <c r="E450" s="110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spans="1:26" ht="14.25" customHeight="1">
      <c r="A451" s="44"/>
      <c r="B451" s="110"/>
      <c r="C451" s="110"/>
      <c r="D451" s="110"/>
      <c r="E451" s="110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spans="1:26" ht="14.25" customHeight="1">
      <c r="A452" s="44"/>
      <c r="B452" s="110"/>
      <c r="C452" s="110"/>
      <c r="D452" s="110"/>
      <c r="E452" s="110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spans="1:26" ht="14.25" customHeight="1">
      <c r="A453" s="44"/>
      <c r="B453" s="110"/>
      <c r="C453" s="110"/>
      <c r="D453" s="110"/>
      <c r="E453" s="110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spans="1:26" ht="14.25" customHeight="1">
      <c r="A454" s="44"/>
      <c r="B454" s="110"/>
      <c r="C454" s="110"/>
      <c r="D454" s="110"/>
      <c r="E454" s="110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spans="1:26" ht="14.25" customHeight="1">
      <c r="A455" s="44"/>
      <c r="B455" s="110"/>
      <c r="C455" s="110"/>
      <c r="D455" s="110"/>
      <c r="E455" s="110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spans="1:26" ht="14.25" customHeight="1">
      <c r="A456" s="44"/>
      <c r="B456" s="110"/>
      <c r="C456" s="110"/>
      <c r="D456" s="110"/>
      <c r="E456" s="110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spans="1:26" ht="14.25" customHeight="1">
      <c r="A457" s="44"/>
      <c r="B457" s="110"/>
      <c r="C457" s="110"/>
      <c r="D457" s="110"/>
      <c r="E457" s="110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spans="1:26" ht="14.25" customHeight="1">
      <c r="A458" s="44"/>
      <c r="B458" s="110"/>
      <c r="C458" s="110"/>
      <c r="D458" s="110"/>
      <c r="E458" s="110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spans="1:26" ht="14.25" customHeight="1">
      <c r="A459" s="44"/>
      <c r="B459" s="110"/>
      <c r="C459" s="110"/>
      <c r="D459" s="110"/>
      <c r="E459" s="110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spans="1:26" ht="14.25" customHeight="1">
      <c r="A460" s="44"/>
      <c r="B460" s="110"/>
      <c r="C460" s="110"/>
      <c r="D460" s="110"/>
      <c r="E460" s="110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spans="1:26" ht="14.25" customHeight="1">
      <c r="A461" s="44"/>
      <c r="B461" s="110"/>
      <c r="C461" s="110"/>
      <c r="D461" s="110"/>
      <c r="E461" s="110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spans="1:26" ht="14.25" customHeight="1">
      <c r="A462" s="44"/>
      <c r="B462" s="110"/>
      <c r="C462" s="110"/>
      <c r="D462" s="110"/>
      <c r="E462" s="110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spans="1:26" ht="14.25" customHeight="1">
      <c r="A463" s="44"/>
      <c r="B463" s="110"/>
      <c r="C463" s="110"/>
      <c r="D463" s="110"/>
      <c r="E463" s="110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spans="1:26" ht="14.25" customHeight="1">
      <c r="A464" s="44"/>
      <c r="B464" s="110"/>
      <c r="C464" s="110"/>
      <c r="D464" s="110"/>
      <c r="E464" s="110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spans="1:26" ht="14.25" customHeight="1">
      <c r="A465" s="44"/>
      <c r="B465" s="110"/>
      <c r="C465" s="110"/>
      <c r="D465" s="110"/>
      <c r="E465" s="110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spans="1:26" ht="14.25" customHeight="1">
      <c r="A466" s="44"/>
      <c r="B466" s="110"/>
      <c r="C466" s="110"/>
      <c r="D466" s="110"/>
      <c r="E466" s="110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spans="1:26" ht="14.25" customHeight="1">
      <c r="A467" s="44"/>
      <c r="B467" s="110"/>
      <c r="C467" s="110"/>
      <c r="D467" s="110"/>
      <c r="E467" s="110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spans="1:26" ht="14.25" customHeight="1">
      <c r="A468" s="44"/>
      <c r="B468" s="110"/>
      <c r="C468" s="110"/>
      <c r="D468" s="110"/>
      <c r="E468" s="110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spans="1:26" ht="14.25" customHeight="1">
      <c r="A469" s="44"/>
      <c r="B469" s="110"/>
      <c r="C469" s="110"/>
      <c r="D469" s="110"/>
      <c r="E469" s="110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spans="1:26" ht="14.25" customHeight="1">
      <c r="A470" s="44"/>
      <c r="B470" s="110"/>
      <c r="C470" s="110"/>
      <c r="D470" s="110"/>
      <c r="E470" s="110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spans="1:26" ht="14.25" customHeight="1">
      <c r="A471" s="44"/>
      <c r="B471" s="110"/>
      <c r="C471" s="110"/>
      <c r="D471" s="110"/>
      <c r="E471" s="110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spans="1:26" ht="14.25" customHeight="1">
      <c r="A472" s="44"/>
      <c r="B472" s="110"/>
      <c r="C472" s="110"/>
      <c r="D472" s="110"/>
      <c r="E472" s="110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spans="1:26" ht="14.25" customHeight="1">
      <c r="A473" s="44"/>
      <c r="B473" s="110"/>
      <c r="C473" s="110"/>
      <c r="D473" s="110"/>
      <c r="E473" s="110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spans="1:26" ht="14.25" customHeight="1">
      <c r="A474" s="44"/>
      <c r="B474" s="110"/>
      <c r="C474" s="110"/>
      <c r="D474" s="110"/>
      <c r="E474" s="110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spans="1:26" ht="14.25" customHeight="1">
      <c r="A475" s="44"/>
      <c r="B475" s="110"/>
      <c r="C475" s="110"/>
      <c r="D475" s="110"/>
      <c r="E475" s="110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spans="1:26" ht="14.25" customHeight="1">
      <c r="A476" s="44"/>
      <c r="B476" s="110"/>
      <c r="C476" s="110"/>
      <c r="D476" s="110"/>
      <c r="E476" s="110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spans="1:26" ht="14.25" customHeight="1">
      <c r="A477" s="44"/>
      <c r="B477" s="110"/>
      <c r="C477" s="110"/>
      <c r="D477" s="110"/>
      <c r="E477" s="110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spans="1:26" ht="14.25" customHeight="1">
      <c r="A478" s="44"/>
      <c r="B478" s="110"/>
      <c r="C478" s="110"/>
      <c r="D478" s="110"/>
      <c r="E478" s="110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spans="1:26" ht="14.25" customHeight="1">
      <c r="A479" s="44"/>
      <c r="B479" s="110"/>
      <c r="C479" s="110"/>
      <c r="D479" s="110"/>
      <c r="E479" s="110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spans="1:26" ht="14.25" customHeight="1">
      <c r="A480" s="44"/>
      <c r="B480" s="110"/>
      <c r="C480" s="110"/>
      <c r="D480" s="110"/>
      <c r="E480" s="110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spans="1:26" ht="14.25" customHeight="1">
      <c r="A481" s="44"/>
      <c r="B481" s="110"/>
      <c r="C481" s="110"/>
      <c r="D481" s="110"/>
      <c r="E481" s="110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spans="1:26" ht="14.25" customHeight="1">
      <c r="A482" s="44"/>
      <c r="B482" s="110"/>
      <c r="C482" s="110"/>
      <c r="D482" s="110"/>
      <c r="E482" s="110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spans="1:26" ht="14.25" customHeight="1">
      <c r="A483" s="44"/>
      <c r="B483" s="110"/>
      <c r="C483" s="110"/>
      <c r="D483" s="110"/>
      <c r="E483" s="110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spans="1:26" ht="14.25" customHeight="1">
      <c r="A484" s="44"/>
      <c r="B484" s="110"/>
      <c r="C484" s="110"/>
      <c r="D484" s="110"/>
      <c r="E484" s="110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spans="1:26" ht="14.25" customHeight="1">
      <c r="A485" s="44"/>
      <c r="B485" s="110"/>
      <c r="C485" s="110"/>
      <c r="D485" s="110"/>
      <c r="E485" s="110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spans="1:26" ht="14.25" customHeight="1">
      <c r="A486" s="44"/>
      <c r="B486" s="110"/>
      <c r="C486" s="110"/>
      <c r="D486" s="110"/>
      <c r="E486" s="110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spans="1:26" ht="14.25" customHeight="1">
      <c r="A487" s="44"/>
      <c r="B487" s="110"/>
      <c r="C487" s="110"/>
      <c r="D487" s="110"/>
      <c r="E487" s="110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spans="1:26" ht="14.25" customHeight="1">
      <c r="A488" s="44"/>
      <c r="B488" s="110"/>
      <c r="C488" s="110"/>
      <c r="D488" s="110"/>
      <c r="E488" s="110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spans="1:26" ht="14.25" customHeight="1">
      <c r="A489" s="44"/>
      <c r="B489" s="110"/>
      <c r="C489" s="110"/>
      <c r="D489" s="110"/>
      <c r="E489" s="110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spans="1:26" ht="14.25" customHeight="1">
      <c r="A490" s="44"/>
      <c r="B490" s="110"/>
      <c r="C490" s="110"/>
      <c r="D490" s="110"/>
      <c r="E490" s="110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spans="1:26" ht="14.25" customHeight="1">
      <c r="A491" s="44"/>
      <c r="B491" s="110"/>
      <c r="C491" s="110"/>
      <c r="D491" s="110"/>
      <c r="E491" s="110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spans="1:26" ht="14.25" customHeight="1">
      <c r="A492" s="44"/>
      <c r="B492" s="110"/>
      <c r="C492" s="110"/>
      <c r="D492" s="110"/>
      <c r="E492" s="110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spans="1:26" ht="14.25" customHeight="1">
      <c r="A493" s="44"/>
      <c r="B493" s="110"/>
      <c r="C493" s="110"/>
      <c r="D493" s="110"/>
      <c r="E493" s="110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spans="1:26" ht="14.25" customHeight="1">
      <c r="A494" s="44"/>
      <c r="B494" s="110"/>
      <c r="C494" s="110"/>
      <c r="D494" s="110"/>
      <c r="E494" s="110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spans="1:26" ht="14.25" customHeight="1">
      <c r="A495" s="44"/>
      <c r="B495" s="110"/>
      <c r="C495" s="110"/>
      <c r="D495" s="110"/>
      <c r="E495" s="110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spans="1:26" ht="14.25" customHeight="1">
      <c r="A496" s="44"/>
      <c r="B496" s="110"/>
      <c r="C496" s="110"/>
      <c r="D496" s="110"/>
      <c r="E496" s="110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spans="1:26" ht="14.25" customHeight="1">
      <c r="A497" s="44"/>
      <c r="B497" s="110"/>
      <c r="C497" s="110"/>
      <c r="D497" s="110"/>
      <c r="E497" s="110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spans="1:26" ht="14.25" customHeight="1">
      <c r="A498" s="44"/>
      <c r="B498" s="110"/>
      <c r="C498" s="110"/>
      <c r="D498" s="110"/>
      <c r="E498" s="110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spans="1:26" ht="14.25" customHeight="1">
      <c r="A499" s="44"/>
      <c r="B499" s="110"/>
      <c r="C499" s="110"/>
      <c r="D499" s="110"/>
      <c r="E499" s="110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spans="1:26" ht="14.25" customHeight="1">
      <c r="A500" s="44"/>
      <c r="B500" s="110"/>
      <c r="C500" s="110"/>
      <c r="D500" s="110"/>
      <c r="E500" s="110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spans="1:26" ht="14.25" customHeight="1">
      <c r="A501" s="44"/>
      <c r="B501" s="110"/>
      <c r="C501" s="110"/>
      <c r="D501" s="110"/>
      <c r="E501" s="110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spans="1:26" ht="14.25" customHeight="1">
      <c r="A502" s="44"/>
      <c r="B502" s="110"/>
      <c r="C502" s="110"/>
      <c r="D502" s="110"/>
      <c r="E502" s="110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spans="1:26" ht="14.25" customHeight="1">
      <c r="A503" s="44"/>
      <c r="B503" s="110"/>
      <c r="C503" s="110"/>
      <c r="D503" s="110"/>
      <c r="E503" s="110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spans="1:26" ht="14.25" customHeight="1">
      <c r="A504" s="44"/>
      <c r="B504" s="110"/>
      <c r="C504" s="110"/>
      <c r="D504" s="110"/>
      <c r="E504" s="110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spans="1:26" ht="14.25" customHeight="1">
      <c r="A505" s="44"/>
      <c r="B505" s="110"/>
      <c r="C505" s="110"/>
      <c r="D505" s="110"/>
      <c r="E505" s="110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spans="1:26" ht="14.25" customHeight="1">
      <c r="A506" s="44"/>
      <c r="B506" s="110"/>
      <c r="C506" s="110"/>
      <c r="D506" s="110"/>
      <c r="E506" s="110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spans="1:26" ht="14.25" customHeight="1">
      <c r="A507" s="44"/>
      <c r="B507" s="110"/>
      <c r="C507" s="110"/>
      <c r="D507" s="110"/>
      <c r="E507" s="110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spans="1:26" ht="14.25" customHeight="1">
      <c r="A508" s="44"/>
      <c r="B508" s="110"/>
      <c r="C508" s="110"/>
      <c r="D508" s="110"/>
      <c r="E508" s="110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spans="1:26" ht="14.25" customHeight="1">
      <c r="A509" s="44"/>
      <c r="B509" s="110"/>
      <c r="C509" s="110"/>
      <c r="D509" s="110"/>
      <c r="E509" s="110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spans="1:26" ht="14.25" customHeight="1">
      <c r="A510" s="44"/>
      <c r="B510" s="110"/>
      <c r="C510" s="110"/>
      <c r="D510" s="110"/>
      <c r="E510" s="110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spans="1:26" ht="14.25" customHeight="1">
      <c r="A511" s="44"/>
      <c r="B511" s="110"/>
      <c r="C511" s="110"/>
      <c r="D511" s="110"/>
      <c r="E511" s="110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spans="1:26" ht="14.25" customHeight="1">
      <c r="A512" s="44"/>
      <c r="B512" s="110"/>
      <c r="C512" s="110"/>
      <c r="D512" s="110"/>
      <c r="E512" s="110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spans="1:26" ht="14.25" customHeight="1">
      <c r="A513" s="44"/>
      <c r="B513" s="110"/>
      <c r="C513" s="110"/>
      <c r="D513" s="110"/>
      <c r="E513" s="110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spans="1:26" ht="14.25" customHeight="1">
      <c r="A514" s="44"/>
      <c r="B514" s="110"/>
      <c r="C514" s="110"/>
      <c r="D514" s="110"/>
      <c r="E514" s="110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spans="1:26" ht="14.25" customHeight="1">
      <c r="A515" s="44"/>
      <c r="B515" s="110"/>
      <c r="C515" s="110"/>
      <c r="D515" s="110"/>
      <c r="E515" s="110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spans="1:26" ht="14.25" customHeight="1">
      <c r="A516" s="44"/>
      <c r="B516" s="110"/>
      <c r="C516" s="110"/>
      <c r="D516" s="110"/>
      <c r="E516" s="110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spans="1:26" ht="14.25" customHeight="1">
      <c r="A517" s="44"/>
      <c r="B517" s="110"/>
      <c r="C517" s="110"/>
      <c r="D517" s="110"/>
      <c r="E517" s="110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spans="1:26" ht="14.25" customHeight="1">
      <c r="A518" s="44"/>
      <c r="B518" s="110"/>
      <c r="C518" s="110"/>
      <c r="D518" s="110"/>
      <c r="E518" s="110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spans="1:26" ht="14.25" customHeight="1">
      <c r="A519" s="44"/>
      <c r="B519" s="110"/>
      <c r="C519" s="110"/>
      <c r="D519" s="110"/>
      <c r="E519" s="110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spans="1:26" ht="14.25" customHeight="1">
      <c r="A520" s="44"/>
      <c r="B520" s="110"/>
      <c r="C520" s="110"/>
      <c r="D520" s="110"/>
      <c r="E520" s="110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spans="1:26" ht="14.25" customHeight="1">
      <c r="A521" s="44"/>
      <c r="B521" s="110"/>
      <c r="C521" s="110"/>
      <c r="D521" s="110"/>
      <c r="E521" s="110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spans="1:26" ht="14.25" customHeight="1">
      <c r="A522" s="44"/>
      <c r="B522" s="110"/>
      <c r="C522" s="110"/>
      <c r="D522" s="110"/>
      <c r="E522" s="110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spans="1:26" ht="14.25" customHeight="1">
      <c r="A523" s="44"/>
      <c r="B523" s="110"/>
      <c r="C523" s="110"/>
      <c r="D523" s="110"/>
      <c r="E523" s="110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spans="1:26" ht="14.25" customHeight="1">
      <c r="A524" s="44"/>
      <c r="B524" s="110"/>
      <c r="C524" s="110"/>
      <c r="D524" s="110"/>
      <c r="E524" s="110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spans="1:26" ht="14.25" customHeight="1">
      <c r="A525" s="44"/>
      <c r="B525" s="110"/>
      <c r="C525" s="110"/>
      <c r="D525" s="110"/>
      <c r="E525" s="110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spans="1:26" ht="14.25" customHeight="1">
      <c r="A526" s="44"/>
      <c r="B526" s="110"/>
      <c r="C526" s="110"/>
      <c r="D526" s="110"/>
      <c r="E526" s="110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spans="1:26" ht="14.25" customHeight="1">
      <c r="A527" s="44"/>
      <c r="B527" s="110"/>
      <c r="C527" s="110"/>
      <c r="D527" s="110"/>
      <c r="E527" s="110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spans="1:26" ht="14.25" customHeight="1">
      <c r="A528" s="44"/>
      <c r="B528" s="110"/>
      <c r="C528" s="110"/>
      <c r="D528" s="110"/>
      <c r="E528" s="110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spans="1:26" ht="14.25" customHeight="1">
      <c r="A529" s="44"/>
      <c r="B529" s="110"/>
      <c r="C529" s="110"/>
      <c r="D529" s="110"/>
      <c r="E529" s="110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spans="1:26" ht="14.25" customHeight="1">
      <c r="A530" s="44"/>
      <c r="B530" s="110"/>
      <c r="C530" s="110"/>
      <c r="D530" s="110"/>
      <c r="E530" s="110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spans="1:26" ht="14.25" customHeight="1">
      <c r="A531" s="44"/>
      <c r="B531" s="110"/>
      <c r="C531" s="110"/>
      <c r="D531" s="110"/>
      <c r="E531" s="110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spans="1:26" ht="14.25" customHeight="1">
      <c r="A532" s="44"/>
      <c r="B532" s="110"/>
      <c r="C532" s="110"/>
      <c r="D532" s="110"/>
      <c r="E532" s="110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spans="1:26" ht="14.25" customHeight="1">
      <c r="A533" s="44"/>
      <c r="B533" s="110"/>
      <c r="C533" s="110"/>
      <c r="D533" s="110"/>
      <c r="E533" s="110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spans="1:26" ht="14.25" customHeight="1">
      <c r="A534" s="44"/>
      <c r="B534" s="110"/>
      <c r="C534" s="110"/>
      <c r="D534" s="110"/>
      <c r="E534" s="110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spans="1:26" ht="14.25" customHeight="1">
      <c r="A535" s="44"/>
      <c r="B535" s="110"/>
      <c r="C535" s="110"/>
      <c r="D535" s="110"/>
      <c r="E535" s="110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spans="1:26" ht="14.25" customHeight="1">
      <c r="A536" s="44"/>
      <c r="B536" s="110"/>
      <c r="C536" s="110"/>
      <c r="D536" s="110"/>
      <c r="E536" s="110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spans="1:26" ht="14.25" customHeight="1">
      <c r="A537" s="44"/>
      <c r="B537" s="110"/>
      <c r="C537" s="110"/>
      <c r="D537" s="110"/>
      <c r="E537" s="110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spans="1:26" ht="14.25" customHeight="1">
      <c r="A538" s="44"/>
      <c r="B538" s="110"/>
      <c r="C538" s="110"/>
      <c r="D538" s="110"/>
      <c r="E538" s="110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spans="1:26" ht="14.25" customHeight="1">
      <c r="A539" s="44"/>
      <c r="B539" s="110"/>
      <c r="C539" s="110"/>
      <c r="D539" s="110"/>
      <c r="E539" s="110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spans="1:26" ht="14.25" customHeight="1">
      <c r="A540" s="44"/>
      <c r="B540" s="110"/>
      <c r="C540" s="110"/>
      <c r="D540" s="110"/>
      <c r="E540" s="110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spans="1:26" ht="14.25" customHeight="1">
      <c r="A541" s="44"/>
      <c r="B541" s="110"/>
      <c r="C541" s="110"/>
      <c r="D541" s="110"/>
      <c r="E541" s="110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spans="1:26" ht="14.25" customHeight="1">
      <c r="A542" s="44"/>
      <c r="B542" s="110"/>
      <c r="C542" s="110"/>
      <c r="D542" s="110"/>
      <c r="E542" s="110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spans="1:26" ht="14.25" customHeight="1">
      <c r="A543" s="44"/>
      <c r="B543" s="110"/>
      <c r="C543" s="110"/>
      <c r="D543" s="110"/>
      <c r="E543" s="110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spans="1:26" ht="14.25" customHeight="1">
      <c r="A544" s="44"/>
      <c r="B544" s="110"/>
      <c r="C544" s="110"/>
      <c r="D544" s="110"/>
      <c r="E544" s="110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spans="1:26" ht="14.25" customHeight="1">
      <c r="A545" s="44"/>
      <c r="B545" s="110"/>
      <c r="C545" s="110"/>
      <c r="D545" s="110"/>
      <c r="E545" s="110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spans="1:26" ht="14.25" customHeight="1">
      <c r="A546" s="44"/>
      <c r="B546" s="110"/>
      <c r="C546" s="110"/>
      <c r="D546" s="110"/>
      <c r="E546" s="110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spans="1:26" ht="14.25" customHeight="1">
      <c r="A547" s="44"/>
      <c r="B547" s="110"/>
      <c r="C547" s="110"/>
      <c r="D547" s="110"/>
      <c r="E547" s="110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spans="1:26" ht="14.25" customHeight="1">
      <c r="A548" s="44"/>
      <c r="B548" s="110"/>
      <c r="C548" s="110"/>
      <c r="D548" s="110"/>
      <c r="E548" s="110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spans="1:26" ht="14.25" customHeight="1">
      <c r="A549" s="44"/>
      <c r="B549" s="110"/>
      <c r="C549" s="110"/>
      <c r="D549" s="110"/>
      <c r="E549" s="110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spans="1:26" ht="14.25" customHeight="1">
      <c r="A550" s="44"/>
      <c r="B550" s="110"/>
      <c r="C550" s="110"/>
      <c r="D550" s="110"/>
      <c r="E550" s="110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spans="1:26" ht="14.25" customHeight="1">
      <c r="A551" s="44"/>
      <c r="B551" s="110"/>
      <c r="C551" s="110"/>
      <c r="D551" s="110"/>
      <c r="E551" s="110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spans="1:26" ht="14.25" customHeight="1">
      <c r="A552" s="44"/>
      <c r="B552" s="110"/>
      <c r="C552" s="110"/>
      <c r="D552" s="110"/>
      <c r="E552" s="110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spans="1:26" ht="14.25" customHeight="1">
      <c r="A553" s="44"/>
      <c r="B553" s="110"/>
      <c r="C553" s="110"/>
      <c r="D553" s="110"/>
      <c r="E553" s="110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spans="1:26" ht="14.25" customHeight="1">
      <c r="A554" s="44"/>
      <c r="B554" s="110"/>
      <c r="C554" s="110"/>
      <c r="D554" s="110"/>
      <c r="E554" s="110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spans="1:26" ht="14.25" customHeight="1">
      <c r="A555" s="44"/>
      <c r="B555" s="110"/>
      <c r="C555" s="110"/>
      <c r="D555" s="110"/>
      <c r="E555" s="110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spans="1:26" ht="14.25" customHeight="1">
      <c r="A556" s="44"/>
      <c r="B556" s="110"/>
      <c r="C556" s="110"/>
      <c r="D556" s="110"/>
      <c r="E556" s="110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spans="1:26" ht="14.25" customHeight="1">
      <c r="A557" s="44"/>
      <c r="B557" s="110"/>
      <c r="C557" s="110"/>
      <c r="D557" s="110"/>
      <c r="E557" s="110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spans="1:26" ht="14.25" customHeight="1">
      <c r="A558" s="44"/>
      <c r="B558" s="110"/>
      <c r="C558" s="110"/>
      <c r="D558" s="110"/>
      <c r="E558" s="110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spans="1:26" ht="14.25" customHeight="1">
      <c r="A559" s="44"/>
      <c r="B559" s="110"/>
      <c r="C559" s="110"/>
      <c r="D559" s="110"/>
      <c r="E559" s="110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spans="1:26" ht="14.25" customHeight="1">
      <c r="A560" s="44"/>
      <c r="B560" s="110"/>
      <c r="C560" s="110"/>
      <c r="D560" s="110"/>
      <c r="E560" s="110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spans="1:26" ht="14.25" customHeight="1">
      <c r="A561" s="44"/>
      <c r="B561" s="110"/>
      <c r="C561" s="110"/>
      <c r="D561" s="110"/>
      <c r="E561" s="110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spans="1:26" ht="14.25" customHeight="1">
      <c r="A562" s="44"/>
      <c r="B562" s="110"/>
      <c r="C562" s="110"/>
      <c r="D562" s="110"/>
      <c r="E562" s="110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spans="1:26" ht="14.25" customHeight="1">
      <c r="A563" s="44"/>
      <c r="B563" s="110"/>
      <c r="C563" s="110"/>
      <c r="D563" s="110"/>
      <c r="E563" s="110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spans="1:26" ht="14.25" customHeight="1">
      <c r="A564" s="44"/>
      <c r="B564" s="110"/>
      <c r="C564" s="110"/>
      <c r="D564" s="110"/>
      <c r="E564" s="110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spans="1:26" ht="14.25" customHeight="1">
      <c r="A565" s="44"/>
      <c r="B565" s="110"/>
      <c r="C565" s="110"/>
      <c r="D565" s="110"/>
      <c r="E565" s="110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spans="1:26" ht="14.25" customHeight="1">
      <c r="A566" s="44"/>
      <c r="B566" s="110"/>
      <c r="C566" s="110"/>
      <c r="D566" s="110"/>
      <c r="E566" s="110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spans="1:26" ht="14.25" customHeight="1">
      <c r="A567" s="44"/>
      <c r="B567" s="110"/>
      <c r="C567" s="110"/>
      <c r="D567" s="110"/>
      <c r="E567" s="110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spans="1:26" ht="14.25" customHeight="1">
      <c r="A568" s="44"/>
      <c r="B568" s="110"/>
      <c r="C568" s="110"/>
      <c r="D568" s="110"/>
      <c r="E568" s="110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spans="1:26" ht="14.25" customHeight="1">
      <c r="A569" s="44"/>
      <c r="B569" s="110"/>
      <c r="C569" s="110"/>
      <c r="D569" s="110"/>
      <c r="E569" s="110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spans="1:26" ht="14.25" customHeight="1">
      <c r="A570" s="44"/>
      <c r="B570" s="110"/>
      <c r="C570" s="110"/>
      <c r="D570" s="110"/>
      <c r="E570" s="110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spans="1:26" ht="14.25" customHeight="1">
      <c r="A571" s="44"/>
      <c r="B571" s="110"/>
      <c r="C571" s="110"/>
      <c r="D571" s="110"/>
      <c r="E571" s="110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spans="1:26" ht="14.25" customHeight="1">
      <c r="A572" s="44"/>
      <c r="B572" s="110"/>
      <c r="C572" s="110"/>
      <c r="D572" s="110"/>
      <c r="E572" s="110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spans="1:26" ht="14.25" customHeight="1">
      <c r="A573" s="44"/>
      <c r="B573" s="110"/>
      <c r="C573" s="110"/>
      <c r="D573" s="110"/>
      <c r="E573" s="110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spans="1:26" ht="14.25" customHeight="1">
      <c r="A574" s="44"/>
      <c r="B574" s="110"/>
      <c r="C574" s="110"/>
      <c r="D574" s="110"/>
      <c r="E574" s="110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spans="1:26" ht="14.25" customHeight="1">
      <c r="A575" s="44"/>
      <c r="B575" s="110"/>
      <c r="C575" s="110"/>
      <c r="D575" s="110"/>
      <c r="E575" s="110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spans="1:26" ht="14.25" customHeight="1">
      <c r="A576" s="44"/>
      <c r="B576" s="110"/>
      <c r="C576" s="110"/>
      <c r="D576" s="110"/>
      <c r="E576" s="110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spans="1:26" ht="14.25" customHeight="1">
      <c r="A577" s="44"/>
      <c r="B577" s="110"/>
      <c r="C577" s="110"/>
      <c r="D577" s="110"/>
      <c r="E577" s="110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spans="1:26" ht="14.25" customHeight="1">
      <c r="A578" s="44"/>
      <c r="B578" s="110"/>
      <c r="C578" s="110"/>
      <c r="D578" s="110"/>
      <c r="E578" s="110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spans="1:26" ht="14.25" customHeight="1">
      <c r="A579" s="44"/>
      <c r="B579" s="110"/>
      <c r="C579" s="110"/>
      <c r="D579" s="110"/>
      <c r="E579" s="110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spans="1:26" ht="14.25" customHeight="1">
      <c r="A580" s="44"/>
      <c r="B580" s="110"/>
      <c r="C580" s="110"/>
      <c r="D580" s="110"/>
      <c r="E580" s="110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spans="1:26" ht="14.25" customHeight="1">
      <c r="A581" s="44"/>
      <c r="B581" s="110"/>
      <c r="C581" s="110"/>
      <c r="D581" s="110"/>
      <c r="E581" s="110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spans="1:26" ht="14.25" customHeight="1">
      <c r="A582" s="44"/>
      <c r="B582" s="110"/>
      <c r="C582" s="110"/>
      <c r="D582" s="110"/>
      <c r="E582" s="110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spans="1:26" ht="14.25" customHeight="1">
      <c r="A583" s="44"/>
      <c r="B583" s="110"/>
      <c r="C583" s="110"/>
      <c r="D583" s="110"/>
      <c r="E583" s="110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spans="1:26" ht="14.25" customHeight="1">
      <c r="A584" s="44"/>
      <c r="B584" s="110"/>
      <c r="C584" s="110"/>
      <c r="D584" s="110"/>
      <c r="E584" s="110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spans="1:26" ht="14.25" customHeight="1">
      <c r="A585" s="44"/>
      <c r="B585" s="110"/>
      <c r="C585" s="110"/>
      <c r="D585" s="110"/>
      <c r="E585" s="110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spans="1:26" ht="14.25" customHeight="1">
      <c r="A586" s="44"/>
      <c r="B586" s="110"/>
      <c r="C586" s="110"/>
      <c r="D586" s="110"/>
      <c r="E586" s="110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spans="1:26" ht="14.25" customHeight="1">
      <c r="A587" s="44"/>
      <c r="B587" s="110"/>
      <c r="C587" s="110"/>
      <c r="D587" s="110"/>
      <c r="E587" s="110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spans="1:26" ht="14.25" customHeight="1">
      <c r="A588" s="44"/>
      <c r="B588" s="110"/>
      <c r="C588" s="110"/>
      <c r="D588" s="110"/>
      <c r="E588" s="110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spans="1:26" ht="14.25" customHeight="1">
      <c r="A589" s="44"/>
      <c r="B589" s="110"/>
      <c r="C589" s="110"/>
      <c r="D589" s="110"/>
      <c r="E589" s="110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spans="1:26" ht="14.25" customHeight="1">
      <c r="A590" s="44"/>
      <c r="B590" s="110"/>
      <c r="C590" s="110"/>
      <c r="D590" s="110"/>
      <c r="E590" s="110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spans="1:26" ht="14.25" customHeight="1">
      <c r="A591" s="44"/>
      <c r="B591" s="110"/>
      <c r="C591" s="110"/>
      <c r="D591" s="110"/>
      <c r="E591" s="110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spans="1:26" ht="14.25" customHeight="1">
      <c r="A592" s="44"/>
      <c r="B592" s="110"/>
      <c r="C592" s="110"/>
      <c r="D592" s="110"/>
      <c r="E592" s="110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spans="1:26" ht="14.25" customHeight="1">
      <c r="A593" s="44"/>
      <c r="B593" s="110"/>
      <c r="C593" s="110"/>
      <c r="D593" s="110"/>
      <c r="E593" s="110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spans="1:26" ht="14.25" customHeight="1">
      <c r="A594" s="44"/>
      <c r="B594" s="110"/>
      <c r="C594" s="110"/>
      <c r="D594" s="110"/>
      <c r="E594" s="110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spans="1:26" ht="14.25" customHeight="1">
      <c r="A595" s="44"/>
      <c r="B595" s="110"/>
      <c r="C595" s="110"/>
      <c r="D595" s="110"/>
      <c r="E595" s="110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spans="1:26" ht="14.25" customHeight="1">
      <c r="A596" s="44"/>
      <c r="B596" s="110"/>
      <c r="C596" s="110"/>
      <c r="D596" s="110"/>
      <c r="E596" s="110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spans="1:26" ht="14.25" customHeight="1">
      <c r="A597" s="44"/>
      <c r="B597" s="110"/>
      <c r="C597" s="110"/>
      <c r="D597" s="110"/>
      <c r="E597" s="110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spans="1:26" ht="14.25" customHeight="1">
      <c r="A598" s="44"/>
      <c r="B598" s="110"/>
      <c r="C598" s="110"/>
      <c r="D598" s="110"/>
      <c r="E598" s="110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spans="1:26" ht="14.25" customHeight="1">
      <c r="A599" s="44"/>
      <c r="B599" s="110"/>
      <c r="C599" s="110"/>
      <c r="D599" s="110"/>
      <c r="E599" s="110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spans="1:26" ht="14.25" customHeight="1">
      <c r="A600" s="44"/>
      <c r="B600" s="110"/>
      <c r="C600" s="110"/>
      <c r="D600" s="110"/>
      <c r="E600" s="110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spans="1:26" ht="14.25" customHeight="1">
      <c r="A601" s="44"/>
      <c r="B601" s="110"/>
      <c r="C601" s="110"/>
      <c r="D601" s="110"/>
      <c r="E601" s="110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spans="1:26" ht="14.25" customHeight="1">
      <c r="A602" s="44"/>
      <c r="B602" s="110"/>
      <c r="C602" s="110"/>
      <c r="D602" s="110"/>
      <c r="E602" s="110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spans="1:26" ht="14.25" customHeight="1">
      <c r="A603" s="44"/>
      <c r="B603" s="110"/>
      <c r="C603" s="110"/>
      <c r="D603" s="110"/>
      <c r="E603" s="110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spans="1:26" ht="14.25" customHeight="1">
      <c r="A604" s="44"/>
      <c r="B604" s="110"/>
      <c r="C604" s="110"/>
      <c r="D604" s="110"/>
      <c r="E604" s="110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spans="1:26" ht="14.25" customHeight="1">
      <c r="A605" s="44"/>
      <c r="B605" s="110"/>
      <c r="C605" s="110"/>
      <c r="D605" s="110"/>
      <c r="E605" s="110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spans="1:26" ht="14.25" customHeight="1">
      <c r="A606" s="44"/>
      <c r="B606" s="110"/>
      <c r="C606" s="110"/>
      <c r="D606" s="110"/>
      <c r="E606" s="110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spans="1:26" ht="14.25" customHeight="1">
      <c r="A607" s="44"/>
      <c r="B607" s="110"/>
      <c r="C607" s="110"/>
      <c r="D607" s="110"/>
      <c r="E607" s="110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spans="1:26" ht="14.25" customHeight="1">
      <c r="A608" s="44"/>
      <c r="B608" s="110"/>
      <c r="C608" s="110"/>
      <c r="D608" s="110"/>
      <c r="E608" s="110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spans="1:26" ht="14.25" customHeight="1">
      <c r="A609" s="44"/>
      <c r="B609" s="110"/>
      <c r="C609" s="110"/>
      <c r="D609" s="110"/>
      <c r="E609" s="110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spans="1:26" ht="14.25" customHeight="1">
      <c r="A610" s="44"/>
      <c r="B610" s="110"/>
      <c r="C610" s="110"/>
      <c r="D610" s="110"/>
      <c r="E610" s="110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spans="1:26" ht="14.25" customHeight="1">
      <c r="A611" s="44"/>
      <c r="B611" s="110"/>
      <c r="C611" s="110"/>
      <c r="D611" s="110"/>
      <c r="E611" s="110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spans="1:26" ht="14.25" customHeight="1">
      <c r="A612" s="44"/>
      <c r="B612" s="110"/>
      <c r="C612" s="110"/>
      <c r="D612" s="110"/>
      <c r="E612" s="110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spans="1:26" ht="14.25" customHeight="1">
      <c r="A613" s="44"/>
      <c r="B613" s="110"/>
      <c r="C613" s="110"/>
      <c r="D613" s="110"/>
      <c r="E613" s="110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spans="1:26" ht="14.25" customHeight="1">
      <c r="A614" s="44"/>
      <c r="B614" s="110"/>
      <c r="C614" s="110"/>
      <c r="D614" s="110"/>
      <c r="E614" s="110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spans="1:26" ht="14.25" customHeight="1">
      <c r="A615" s="44"/>
      <c r="B615" s="110"/>
      <c r="C615" s="110"/>
      <c r="D615" s="110"/>
      <c r="E615" s="110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spans="1:26" ht="14.25" customHeight="1">
      <c r="A616" s="44"/>
      <c r="B616" s="110"/>
      <c r="C616" s="110"/>
      <c r="D616" s="110"/>
      <c r="E616" s="110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spans="1:26" ht="14.25" customHeight="1">
      <c r="A617" s="44"/>
      <c r="B617" s="110"/>
      <c r="C617" s="110"/>
      <c r="D617" s="110"/>
      <c r="E617" s="110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spans="1:26" ht="14.25" customHeight="1">
      <c r="A618" s="44"/>
      <c r="B618" s="110"/>
      <c r="C618" s="110"/>
      <c r="D618" s="110"/>
      <c r="E618" s="110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spans="1:26" ht="14.25" customHeight="1">
      <c r="A619" s="44"/>
      <c r="B619" s="110"/>
      <c r="C619" s="110"/>
      <c r="D619" s="110"/>
      <c r="E619" s="110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spans="1:26" ht="14.25" customHeight="1">
      <c r="A620" s="44"/>
      <c r="B620" s="110"/>
      <c r="C620" s="110"/>
      <c r="D620" s="110"/>
      <c r="E620" s="110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spans="1:26" ht="14.25" customHeight="1">
      <c r="A621" s="44"/>
      <c r="B621" s="110"/>
      <c r="C621" s="110"/>
      <c r="D621" s="110"/>
      <c r="E621" s="110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spans="1:26" ht="14.25" customHeight="1">
      <c r="A622" s="44"/>
      <c r="B622" s="110"/>
      <c r="C622" s="110"/>
      <c r="D622" s="110"/>
      <c r="E622" s="110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spans="1:26" ht="14.25" customHeight="1">
      <c r="A623" s="44"/>
      <c r="B623" s="110"/>
      <c r="C623" s="110"/>
      <c r="D623" s="110"/>
      <c r="E623" s="110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spans="1:26" ht="14.25" customHeight="1">
      <c r="A624" s="44"/>
      <c r="B624" s="110"/>
      <c r="C624" s="110"/>
      <c r="D624" s="110"/>
      <c r="E624" s="110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spans="1:26" ht="14.25" customHeight="1">
      <c r="A625" s="44"/>
      <c r="B625" s="110"/>
      <c r="C625" s="110"/>
      <c r="D625" s="110"/>
      <c r="E625" s="110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spans="1:26" ht="14.25" customHeight="1">
      <c r="A626" s="44"/>
      <c r="B626" s="110"/>
      <c r="C626" s="110"/>
      <c r="D626" s="110"/>
      <c r="E626" s="110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spans="1:26" ht="14.25" customHeight="1">
      <c r="A627" s="44"/>
      <c r="B627" s="110"/>
      <c r="C627" s="110"/>
      <c r="D627" s="110"/>
      <c r="E627" s="110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spans="1:26" ht="14.25" customHeight="1">
      <c r="A628" s="44"/>
      <c r="B628" s="110"/>
      <c r="C628" s="110"/>
      <c r="D628" s="110"/>
      <c r="E628" s="110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spans="1:26" ht="14.25" customHeight="1">
      <c r="A629" s="44"/>
      <c r="B629" s="110"/>
      <c r="C629" s="110"/>
      <c r="D629" s="110"/>
      <c r="E629" s="110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spans="1:26" ht="14.25" customHeight="1">
      <c r="A630" s="44"/>
      <c r="B630" s="110"/>
      <c r="C630" s="110"/>
      <c r="D630" s="110"/>
      <c r="E630" s="110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spans="1:26" ht="14.25" customHeight="1">
      <c r="A631" s="44"/>
      <c r="B631" s="110"/>
      <c r="C631" s="110"/>
      <c r="D631" s="110"/>
      <c r="E631" s="110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spans="1:26" ht="14.25" customHeight="1">
      <c r="A632" s="44"/>
      <c r="B632" s="110"/>
      <c r="C632" s="110"/>
      <c r="D632" s="110"/>
      <c r="E632" s="110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spans="1:26" ht="14.25" customHeight="1">
      <c r="A633" s="44"/>
      <c r="B633" s="110"/>
      <c r="C633" s="110"/>
      <c r="D633" s="110"/>
      <c r="E633" s="110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spans="1:26" ht="14.25" customHeight="1">
      <c r="A634" s="44"/>
      <c r="B634" s="110"/>
      <c r="C634" s="110"/>
      <c r="D634" s="110"/>
      <c r="E634" s="110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spans="1:26" ht="14.25" customHeight="1">
      <c r="A635" s="44"/>
      <c r="B635" s="110"/>
      <c r="C635" s="110"/>
      <c r="D635" s="110"/>
      <c r="E635" s="110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spans="1:26" ht="14.25" customHeight="1">
      <c r="A636" s="44"/>
      <c r="B636" s="110"/>
      <c r="C636" s="110"/>
      <c r="D636" s="110"/>
      <c r="E636" s="110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spans="1:26" ht="14.25" customHeight="1">
      <c r="A637" s="44"/>
      <c r="B637" s="110"/>
      <c r="C637" s="110"/>
      <c r="D637" s="110"/>
      <c r="E637" s="110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spans="1:26" ht="14.25" customHeight="1">
      <c r="A638" s="44"/>
      <c r="B638" s="110"/>
      <c r="C638" s="110"/>
      <c r="D638" s="110"/>
      <c r="E638" s="110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spans="1:26" ht="14.25" customHeight="1">
      <c r="A639" s="44"/>
      <c r="B639" s="110"/>
      <c r="C639" s="110"/>
      <c r="D639" s="110"/>
      <c r="E639" s="110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spans="1:26" ht="14.25" customHeight="1">
      <c r="A640" s="44"/>
      <c r="B640" s="110"/>
      <c r="C640" s="110"/>
      <c r="D640" s="110"/>
      <c r="E640" s="110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spans="1:26" ht="14.25" customHeight="1">
      <c r="A641" s="44"/>
      <c r="B641" s="110"/>
      <c r="C641" s="110"/>
      <c r="D641" s="110"/>
      <c r="E641" s="110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spans="1:26" ht="14.25" customHeight="1">
      <c r="A642" s="44"/>
      <c r="B642" s="110"/>
      <c r="C642" s="110"/>
      <c r="D642" s="110"/>
      <c r="E642" s="110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spans="1:26" ht="14.25" customHeight="1">
      <c r="A643" s="44"/>
      <c r="B643" s="110"/>
      <c r="C643" s="110"/>
      <c r="D643" s="110"/>
      <c r="E643" s="110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spans="1:26" ht="14.25" customHeight="1">
      <c r="A644" s="44"/>
      <c r="B644" s="110"/>
      <c r="C644" s="110"/>
      <c r="D644" s="110"/>
      <c r="E644" s="110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spans="1:26" ht="14.25" customHeight="1">
      <c r="A645" s="44"/>
      <c r="B645" s="110"/>
      <c r="C645" s="110"/>
      <c r="D645" s="110"/>
      <c r="E645" s="110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spans="1:26" ht="14.25" customHeight="1">
      <c r="A646" s="44"/>
      <c r="B646" s="110"/>
      <c r="C646" s="110"/>
      <c r="D646" s="110"/>
      <c r="E646" s="110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spans="1:26" ht="14.25" customHeight="1">
      <c r="A647" s="44"/>
      <c r="B647" s="110"/>
      <c r="C647" s="110"/>
      <c r="D647" s="110"/>
      <c r="E647" s="110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spans="1:26" ht="14.25" customHeight="1">
      <c r="A648" s="44"/>
      <c r="B648" s="110"/>
      <c r="C648" s="110"/>
      <c r="D648" s="110"/>
      <c r="E648" s="110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spans="1:26" ht="14.25" customHeight="1">
      <c r="A649" s="44"/>
      <c r="B649" s="110"/>
      <c r="C649" s="110"/>
      <c r="D649" s="110"/>
      <c r="E649" s="110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spans="1:26" ht="14.25" customHeight="1">
      <c r="A650" s="44"/>
      <c r="B650" s="110"/>
      <c r="C650" s="110"/>
      <c r="D650" s="110"/>
      <c r="E650" s="110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spans="1:26" ht="14.25" customHeight="1">
      <c r="A651" s="44"/>
      <c r="B651" s="110"/>
      <c r="C651" s="110"/>
      <c r="D651" s="110"/>
      <c r="E651" s="110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spans="1:26" ht="14.25" customHeight="1">
      <c r="A652" s="44"/>
      <c r="B652" s="110"/>
      <c r="C652" s="110"/>
      <c r="D652" s="110"/>
      <c r="E652" s="110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spans="1:26" ht="14.25" customHeight="1">
      <c r="A653" s="44"/>
      <c r="B653" s="110"/>
      <c r="C653" s="110"/>
      <c r="D653" s="110"/>
      <c r="E653" s="110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spans="1:26" ht="14.25" customHeight="1">
      <c r="A654" s="44"/>
      <c r="B654" s="110"/>
      <c r="C654" s="110"/>
      <c r="D654" s="110"/>
      <c r="E654" s="110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spans="1:26" ht="14.25" customHeight="1">
      <c r="A655" s="44"/>
      <c r="B655" s="110"/>
      <c r="C655" s="110"/>
      <c r="D655" s="110"/>
      <c r="E655" s="110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spans="1:26" ht="14.25" customHeight="1">
      <c r="A656" s="44"/>
      <c r="B656" s="110"/>
      <c r="C656" s="110"/>
      <c r="D656" s="110"/>
      <c r="E656" s="110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spans="1:26" ht="14.25" customHeight="1">
      <c r="A657" s="44"/>
      <c r="B657" s="110"/>
      <c r="C657" s="110"/>
      <c r="D657" s="110"/>
      <c r="E657" s="110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spans="1:26" ht="14.25" customHeight="1">
      <c r="A658" s="44"/>
      <c r="B658" s="110"/>
      <c r="C658" s="110"/>
      <c r="D658" s="110"/>
      <c r="E658" s="110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spans="1:26" ht="14.25" customHeight="1">
      <c r="A659" s="44"/>
      <c r="B659" s="110"/>
      <c r="C659" s="110"/>
      <c r="D659" s="110"/>
      <c r="E659" s="110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spans="1:26" ht="14.25" customHeight="1">
      <c r="A660" s="44"/>
      <c r="B660" s="110"/>
      <c r="C660" s="110"/>
      <c r="D660" s="110"/>
      <c r="E660" s="110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spans="1:26" ht="14.25" customHeight="1">
      <c r="A661" s="44"/>
      <c r="B661" s="110"/>
      <c r="C661" s="110"/>
      <c r="D661" s="110"/>
      <c r="E661" s="110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spans="1:26" ht="14.25" customHeight="1">
      <c r="A662" s="44"/>
      <c r="B662" s="110"/>
      <c r="C662" s="110"/>
      <c r="D662" s="110"/>
      <c r="E662" s="110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spans="1:26" ht="14.25" customHeight="1">
      <c r="A663" s="44"/>
      <c r="B663" s="110"/>
      <c r="C663" s="110"/>
      <c r="D663" s="110"/>
      <c r="E663" s="110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spans="1:26" ht="14.25" customHeight="1">
      <c r="A664" s="44"/>
      <c r="B664" s="110"/>
      <c r="C664" s="110"/>
      <c r="D664" s="110"/>
      <c r="E664" s="110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spans="1:26" ht="14.25" customHeight="1">
      <c r="A665" s="44"/>
      <c r="B665" s="110"/>
      <c r="C665" s="110"/>
      <c r="D665" s="110"/>
      <c r="E665" s="110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spans="1:26" ht="14.25" customHeight="1">
      <c r="A666" s="44"/>
      <c r="B666" s="110"/>
      <c r="C666" s="110"/>
      <c r="D666" s="110"/>
      <c r="E666" s="110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spans="1:26" ht="14.25" customHeight="1">
      <c r="A667" s="44"/>
      <c r="B667" s="110"/>
      <c r="C667" s="110"/>
      <c r="D667" s="110"/>
      <c r="E667" s="110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spans="1:26" ht="14.25" customHeight="1">
      <c r="A668" s="44"/>
      <c r="B668" s="110"/>
      <c r="C668" s="110"/>
      <c r="D668" s="110"/>
      <c r="E668" s="110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spans="1:26" ht="14.25" customHeight="1">
      <c r="A669" s="44"/>
      <c r="B669" s="110"/>
      <c r="C669" s="110"/>
      <c r="D669" s="110"/>
      <c r="E669" s="110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spans="1:26" ht="14.25" customHeight="1">
      <c r="A670" s="44"/>
      <c r="B670" s="110"/>
      <c r="C670" s="110"/>
      <c r="D670" s="110"/>
      <c r="E670" s="110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spans="1:26" ht="14.25" customHeight="1">
      <c r="A671" s="44"/>
      <c r="B671" s="110"/>
      <c r="C671" s="110"/>
      <c r="D671" s="110"/>
      <c r="E671" s="110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spans="1:26" ht="14.25" customHeight="1">
      <c r="A672" s="44"/>
      <c r="B672" s="110"/>
      <c r="C672" s="110"/>
      <c r="D672" s="110"/>
      <c r="E672" s="110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spans="1:26" ht="14.25" customHeight="1">
      <c r="A673" s="44"/>
      <c r="B673" s="110"/>
      <c r="C673" s="110"/>
      <c r="D673" s="110"/>
      <c r="E673" s="110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spans="1:26" ht="14.25" customHeight="1">
      <c r="A674" s="44"/>
      <c r="B674" s="110"/>
      <c r="C674" s="110"/>
      <c r="D674" s="110"/>
      <c r="E674" s="110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spans="1:26" ht="14.25" customHeight="1">
      <c r="A675" s="44"/>
      <c r="B675" s="110"/>
      <c r="C675" s="110"/>
      <c r="D675" s="110"/>
      <c r="E675" s="110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spans="1:26" ht="14.25" customHeight="1">
      <c r="A676" s="44"/>
      <c r="B676" s="110"/>
      <c r="C676" s="110"/>
      <c r="D676" s="110"/>
      <c r="E676" s="110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spans="1:26" ht="14.25" customHeight="1">
      <c r="A677" s="44"/>
      <c r="B677" s="110"/>
      <c r="C677" s="110"/>
      <c r="D677" s="110"/>
      <c r="E677" s="110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spans="1:26" ht="14.25" customHeight="1">
      <c r="A678" s="44"/>
      <c r="B678" s="110"/>
      <c r="C678" s="110"/>
      <c r="D678" s="110"/>
      <c r="E678" s="110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spans="1:26" ht="14.25" customHeight="1">
      <c r="A679" s="44"/>
      <c r="B679" s="110"/>
      <c r="C679" s="110"/>
      <c r="D679" s="110"/>
      <c r="E679" s="110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spans="1:26" ht="14.25" customHeight="1">
      <c r="A680" s="44"/>
      <c r="B680" s="110"/>
      <c r="C680" s="110"/>
      <c r="D680" s="110"/>
      <c r="E680" s="110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spans="1:26" ht="14.25" customHeight="1">
      <c r="A681" s="44"/>
      <c r="B681" s="110"/>
      <c r="C681" s="110"/>
      <c r="D681" s="110"/>
      <c r="E681" s="110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spans="1:26" ht="14.25" customHeight="1">
      <c r="A682" s="44"/>
      <c r="B682" s="110"/>
      <c r="C682" s="110"/>
      <c r="D682" s="110"/>
      <c r="E682" s="110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spans="1:26" ht="14.25" customHeight="1">
      <c r="A683" s="44"/>
      <c r="B683" s="110"/>
      <c r="C683" s="110"/>
      <c r="D683" s="110"/>
      <c r="E683" s="110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spans="1:26" ht="14.25" customHeight="1">
      <c r="A684" s="44"/>
      <c r="B684" s="110"/>
      <c r="C684" s="110"/>
      <c r="D684" s="110"/>
      <c r="E684" s="110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spans="1:26" ht="14.25" customHeight="1">
      <c r="A685" s="44"/>
      <c r="B685" s="110"/>
      <c r="C685" s="110"/>
      <c r="D685" s="110"/>
      <c r="E685" s="110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spans="1:26" ht="14.25" customHeight="1">
      <c r="A686" s="44"/>
      <c r="B686" s="110"/>
      <c r="C686" s="110"/>
      <c r="D686" s="110"/>
      <c r="E686" s="110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spans="1:26" ht="14.25" customHeight="1">
      <c r="A687" s="44"/>
      <c r="B687" s="110"/>
      <c r="C687" s="110"/>
      <c r="D687" s="110"/>
      <c r="E687" s="110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spans="1:26" ht="14.25" customHeight="1">
      <c r="A688" s="44"/>
      <c r="B688" s="110"/>
      <c r="C688" s="110"/>
      <c r="D688" s="110"/>
      <c r="E688" s="110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spans="1:26" ht="14.25" customHeight="1">
      <c r="A689" s="44"/>
      <c r="B689" s="110"/>
      <c r="C689" s="110"/>
      <c r="D689" s="110"/>
      <c r="E689" s="110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spans="1:26" ht="14.25" customHeight="1">
      <c r="A690" s="44"/>
      <c r="B690" s="110"/>
      <c r="C690" s="110"/>
      <c r="D690" s="110"/>
      <c r="E690" s="110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spans="1:26" ht="14.25" customHeight="1">
      <c r="A691" s="44"/>
      <c r="B691" s="110"/>
      <c r="C691" s="110"/>
      <c r="D691" s="110"/>
      <c r="E691" s="110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spans="1:26" ht="14.25" customHeight="1">
      <c r="A692" s="44"/>
      <c r="B692" s="110"/>
      <c r="C692" s="110"/>
      <c r="D692" s="110"/>
      <c r="E692" s="110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spans="1:26" ht="14.25" customHeight="1">
      <c r="A693" s="44"/>
      <c r="B693" s="110"/>
      <c r="C693" s="110"/>
      <c r="D693" s="110"/>
      <c r="E693" s="110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spans="1:26" ht="14.25" customHeight="1">
      <c r="A694" s="44"/>
      <c r="B694" s="110"/>
      <c r="C694" s="110"/>
      <c r="D694" s="110"/>
      <c r="E694" s="110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spans="1:26" ht="14.25" customHeight="1">
      <c r="A695" s="44"/>
      <c r="B695" s="110"/>
      <c r="C695" s="110"/>
      <c r="D695" s="110"/>
      <c r="E695" s="110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spans="1:26" ht="14.25" customHeight="1">
      <c r="A696" s="44"/>
      <c r="B696" s="110"/>
      <c r="C696" s="110"/>
      <c r="D696" s="110"/>
      <c r="E696" s="110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spans="1:26" ht="14.25" customHeight="1">
      <c r="A697" s="44"/>
      <c r="B697" s="110"/>
      <c r="C697" s="110"/>
      <c r="D697" s="110"/>
      <c r="E697" s="110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spans="1:26" ht="14.25" customHeight="1">
      <c r="A698" s="44"/>
      <c r="B698" s="110"/>
      <c r="C698" s="110"/>
      <c r="D698" s="110"/>
      <c r="E698" s="110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spans="1:26" ht="14.25" customHeight="1">
      <c r="A699" s="44"/>
      <c r="B699" s="110"/>
      <c r="C699" s="110"/>
      <c r="D699" s="110"/>
      <c r="E699" s="110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spans="1:26" ht="14.25" customHeight="1">
      <c r="A700" s="44"/>
      <c r="B700" s="110"/>
      <c r="C700" s="110"/>
      <c r="D700" s="110"/>
      <c r="E700" s="110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spans="1:26" ht="14.25" customHeight="1">
      <c r="A701" s="44"/>
      <c r="B701" s="110"/>
      <c r="C701" s="110"/>
      <c r="D701" s="110"/>
      <c r="E701" s="110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spans="1:26" ht="14.25" customHeight="1">
      <c r="A702" s="44"/>
      <c r="B702" s="110"/>
      <c r="C702" s="110"/>
      <c r="D702" s="110"/>
      <c r="E702" s="110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spans="1:26" ht="14.25" customHeight="1">
      <c r="A703" s="44"/>
      <c r="B703" s="110"/>
      <c r="C703" s="110"/>
      <c r="D703" s="110"/>
      <c r="E703" s="110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spans="1:26" ht="14.25" customHeight="1">
      <c r="A704" s="44"/>
      <c r="B704" s="110"/>
      <c r="C704" s="110"/>
      <c r="D704" s="110"/>
      <c r="E704" s="110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spans="1:26" ht="14.25" customHeight="1">
      <c r="A705" s="44"/>
      <c r="B705" s="110"/>
      <c r="C705" s="110"/>
      <c r="D705" s="110"/>
      <c r="E705" s="110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spans="1:26" ht="14.25" customHeight="1">
      <c r="A706" s="44"/>
      <c r="B706" s="110"/>
      <c r="C706" s="110"/>
      <c r="D706" s="110"/>
      <c r="E706" s="110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spans="1:26" ht="14.25" customHeight="1">
      <c r="A707" s="44"/>
      <c r="B707" s="110"/>
      <c r="C707" s="110"/>
      <c r="D707" s="110"/>
      <c r="E707" s="110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spans="1:26" ht="14.25" customHeight="1">
      <c r="A708" s="44"/>
      <c r="B708" s="110"/>
      <c r="C708" s="110"/>
      <c r="D708" s="110"/>
      <c r="E708" s="110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spans="1:26" ht="14.25" customHeight="1">
      <c r="A709" s="44"/>
      <c r="B709" s="110"/>
      <c r="C709" s="110"/>
      <c r="D709" s="110"/>
      <c r="E709" s="110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spans="1:26" ht="14.25" customHeight="1">
      <c r="A710" s="44"/>
      <c r="B710" s="110"/>
      <c r="C710" s="110"/>
      <c r="D710" s="110"/>
      <c r="E710" s="110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spans="1:26" ht="14.25" customHeight="1">
      <c r="A711" s="44"/>
      <c r="B711" s="110"/>
      <c r="C711" s="110"/>
      <c r="D711" s="110"/>
      <c r="E711" s="110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spans="1:26" ht="14.25" customHeight="1">
      <c r="A712" s="44"/>
      <c r="B712" s="110"/>
      <c r="C712" s="110"/>
      <c r="D712" s="110"/>
      <c r="E712" s="110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spans="1:26" ht="14.25" customHeight="1">
      <c r="A713" s="44"/>
      <c r="B713" s="110"/>
      <c r="C713" s="110"/>
      <c r="D713" s="110"/>
      <c r="E713" s="110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spans="1:26" ht="14.25" customHeight="1">
      <c r="A714" s="44"/>
      <c r="B714" s="110"/>
      <c r="C714" s="110"/>
      <c r="D714" s="110"/>
      <c r="E714" s="110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spans="1:26" ht="14.25" customHeight="1">
      <c r="A715" s="44"/>
      <c r="B715" s="110"/>
      <c r="C715" s="110"/>
      <c r="D715" s="110"/>
      <c r="E715" s="110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spans="1:26" ht="14.25" customHeight="1">
      <c r="A716" s="44"/>
      <c r="B716" s="110"/>
      <c r="C716" s="110"/>
      <c r="D716" s="110"/>
      <c r="E716" s="110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spans="1:26" ht="14.25" customHeight="1">
      <c r="A717" s="44"/>
      <c r="B717" s="110"/>
      <c r="C717" s="110"/>
      <c r="D717" s="110"/>
      <c r="E717" s="110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spans="1:26" ht="14.25" customHeight="1">
      <c r="A718" s="44"/>
      <c r="B718" s="110"/>
      <c r="C718" s="110"/>
      <c r="D718" s="110"/>
      <c r="E718" s="110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spans="1:26" ht="14.25" customHeight="1">
      <c r="A719" s="44"/>
      <c r="B719" s="110"/>
      <c r="C719" s="110"/>
      <c r="D719" s="110"/>
      <c r="E719" s="110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spans="1:26" ht="14.25" customHeight="1">
      <c r="A720" s="44"/>
      <c r="B720" s="110"/>
      <c r="C720" s="110"/>
      <c r="D720" s="110"/>
      <c r="E720" s="110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spans="1:26" ht="14.25" customHeight="1">
      <c r="A721" s="44"/>
      <c r="B721" s="110"/>
      <c r="C721" s="110"/>
      <c r="D721" s="110"/>
      <c r="E721" s="110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spans="1:26" ht="14.25" customHeight="1">
      <c r="A722" s="44"/>
      <c r="B722" s="110"/>
      <c r="C722" s="110"/>
      <c r="D722" s="110"/>
      <c r="E722" s="110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spans="1:26" ht="14.25" customHeight="1">
      <c r="A723" s="44"/>
      <c r="B723" s="110"/>
      <c r="C723" s="110"/>
      <c r="D723" s="110"/>
      <c r="E723" s="110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spans="1:26" ht="14.25" customHeight="1">
      <c r="A724" s="44"/>
      <c r="B724" s="110"/>
      <c r="C724" s="110"/>
      <c r="D724" s="110"/>
      <c r="E724" s="110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spans="1:26" ht="14.25" customHeight="1">
      <c r="A725" s="44"/>
      <c r="B725" s="110"/>
      <c r="C725" s="110"/>
      <c r="D725" s="110"/>
      <c r="E725" s="110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spans="1:26" ht="14.25" customHeight="1">
      <c r="A726" s="44"/>
      <c r="B726" s="110"/>
      <c r="C726" s="110"/>
      <c r="D726" s="110"/>
      <c r="E726" s="110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spans="1:26" ht="14.25" customHeight="1">
      <c r="A727" s="44"/>
      <c r="B727" s="110"/>
      <c r="C727" s="110"/>
      <c r="D727" s="110"/>
      <c r="E727" s="110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spans="1:26" ht="14.25" customHeight="1">
      <c r="A728" s="44"/>
      <c r="B728" s="110"/>
      <c r="C728" s="110"/>
      <c r="D728" s="110"/>
      <c r="E728" s="110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spans="1:26" ht="14.25" customHeight="1">
      <c r="A729" s="44"/>
      <c r="B729" s="110"/>
      <c r="C729" s="110"/>
      <c r="D729" s="110"/>
      <c r="E729" s="110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spans="1:26" ht="14.25" customHeight="1">
      <c r="A730" s="44"/>
      <c r="B730" s="110"/>
      <c r="C730" s="110"/>
      <c r="D730" s="110"/>
      <c r="E730" s="110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spans="1:26" ht="14.25" customHeight="1">
      <c r="A731" s="44"/>
      <c r="B731" s="110"/>
      <c r="C731" s="110"/>
      <c r="D731" s="110"/>
      <c r="E731" s="110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spans="1:26" ht="14.25" customHeight="1">
      <c r="A732" s="44"/>
      <c r="B732" s="110"/>
      <c r="C732" s="110"/>
      <c r="D732" s="110"/>
      <c r="E732" s="110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spans="1:26" ht="14.25" customHeight="1">
      <c r="A733" s="44"/>
      <c r="B733" s="110"/>
      <c r="C733" s="110"/>
      <c r="D733" s="110"/>
      <c r="E733" s="110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spans="1:26" ht="14.25" customHeight="1">
      <c r="A734" s="44"/>
      <c r="B734" s="110"/>
      <c r="C734" s="110"/>
      <c r="D734" s="110"/>
      <c r="E734" s="110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spans="1:26" ht="14.25" customHeight="1">
      <c r="A735" s="44"/>
      <c r="B735" s="110"/>
      <c r="C735" s="110"/>
      <c r="D735" s="110"/>
      <c r="E735" s="110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spans="1:26" ht="14.25" customHeight="1">
      <c r="A736" s="44"/>
      <c r="B736" s="110"/>
      <c r="C736" s="110"/>
      <c r="D736" s="110"/>
      <c r="E736" s="110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spans="1:26" ht="14.25" customHeight="1">
      <c r="A737" s="44"/>
      <c r="B737" s="110"/>
      <c r="C737" s="110"/>
      <c r="D737" s="110"/>
      <c r="E737" s="110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spans="1:26" ht="14.25" customHeight="1">
      <c r="A738" s="44"/>
      <c r="B738" s="110"/>
      <c r="C738" s="110"/>
      <c r="D738" s="110"/>
      <c r="E738" s="110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spans="1:26" ht="14.25" customHeight="1">
      <c r="A739" s="44"/>
      <c r="B739" s="110"/>
      <c r="C739" s="110"/>
      <c r="D739" s="110"/>
      <c r="E739" s="110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spans="1:26" ht="14.25" customHeight="1">
      <c r="A740" s="44"/>
      <c r="B740" s="110"/>
      <c r="C740" s="110"/>
      <c r="D740" s="110"/>
      <c r="E740" s="110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spans="1:26" ht="14.25" customHeight="1">
      <c r="A741" s="44"/>
      <c r="B741" s="110"/>
      <c r="C741" s="110"/>
      <c r="D741" s="110"/>
      <c r="E741" s="110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spans="1:26" ht="14.25" customHeight="1">
      <c r="A742" s="44"/>
      <c r="B742" s="110"/>
      <c r="C742" s="110"/>
      <c r="D742" s="110"/>
      <c r="E742" s="110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spans="1:26" ht="14.25" customHeight="1">
      <c r="A743" s="44"/>
      <c r="B743" s="110"/>
      <c r="C743" s="110"/>
      <c r="D743" s="110"/>
      <c r="E743" s="110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spans="1:26" ht="14.25" customHeight="1">
      <c r="A744" s="44"/>
      <c r="B744" s="110"/>
      <c r="C744" s="110"/>
      <c r="D744" s="110"/>
      <c r="E744" s="110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spans="1:26" ht="14.25" customHeight="1">
      <c r="A745" s="44"/>
      <c r="B745" s="110"/>
      <c r="C745" s="110"/>
      <c r="D745" s="110"/>
      <c r="E745" s="110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spans="1:26" ht="14.25" customHeight="1">
      <c r="A746" s="44"/>
      <c r="B746" s="110"/>
      <c r="C746" s="110"/>
      <c r="D746" s="110"/>
      <c r="E746" s="110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spans="1:26" ht="14.25" customHeight="1">
      <c r="A747" s="44"/>
      <c r="B747" s="110"/>
      <c r="C747" s="110"/>
      <c r="D747" s="110"/>
      <c r="E747" s="110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spans="1:26" ht="14.25" customHeight="1">
      <c r="A748" s="44"/>
      <c r="B748" s="110"/>
      <c r="C748" s="110"/>
      <c r="D748" s="110"/>
      <c r="E748" s="110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spans="1:26" ht="14.25" customHeight="1">
      <c r="A749" s="44"/>
      <c r="B749" s="110"/>
      <c r="C749" s="110"/>
      <c r="D749" s="110"/>
      <c r="E749" s="110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spans="1:26" ht="14.25" customHeight="1">
      <c r="A750" s="44"/>
      <c r="B750" s="110"/>
      <c r="C750" s="110"/>
      <c r="D750" s="110"/>
      <c r="E750" s="110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spans="1:26" ht="14.25" customHeight="1">
      <c r="A751" s="44"/>
      <c r="B751" s="110"/>
      <c r="C751" s="110"/>
      <c r="D751" s="110"/>
      <c r="E751" s="110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spans="1:26" ht="14.25" customHeight="1">
      <c r="A752" s="44"/>
      <c r="B752" s="110"/>
      <c r="C752" s="110"/>
      <c r="D752" s="110"/>
      <c r="E752" s="110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spans="1:26" ht="14.25" customHeight="1">
      <c r="A753" s="44"/>
      <c r="B753" s="110"/>
      <c r="C753" s="110"/>
      <c r="D753" s="110"/>
      <c r="E753" s="110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spans="1:26" ht="14.25" customHeight="1">
      <c r="A754" s="44"/>
      <c r="B754" s="110"/>
      <c r="C754" s="110"/>
      <c r="D754" s="110"/>
      <c r="E754" s="110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spans="1:26" ht="14.25" customHeight="1">
      <c r="A755" s="44"/>
      <c r="B755" s="110"/>
      <c r="C755" s="110"/>
      <c r="D755" s="110"/>
      <c r="E755" s="110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spans="1:26" ht="14.25" customHeight="1">
      <c r="A756" s="44"/>
      <c r="B756" s="110"/>
      <c r="C756" s="110"/>
      <c r="D756" s="110"/>
      <c r="E756" s="110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spans="1:26" ht="14.25" customHeight="1">
      <c r="A757" s="44"/>
      <c r="B757" s="110"/>
      <c r="C757" s="110"/>
      <c r="D757" s="110"/>
      <c r="E757" s="110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spans="1:26" ht="14.25" customHeight="1">
      <c r="A758" s="44"/>
      <c r="B758" s="110"/>
      <c r="C758" s="110"/>
      <c r="D758" s="110"/>
      <c r="E758" s="110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spans="1:26" ht="14.25" customHeight="1">
      <c r="A759" s="44"/>
      <c r="B759" s="110"/>
      <c r="C759" s="110"/>
      <c r="D759" s="110"/>
      <c r="E759" s="110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spans="1:26" ht="14.25" customHeight="1">
      <c r="A760" s="44"/>
      <c r="B760" s="110"/>
      <c r="C760" s="110"/>
      <c r="D760" s="110"/>
      <c r="E760" s="110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spans="1:26" ht="14.25" customHeight="1">
      <c r="A761" s="44"/>
      <c r="B761" s="110"/>
      <c r="C761" s="110"/>
      <c r="D761" s="110"/>
      <c r="E761" s="110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spans="1:26" ht="14.25" customHeight="1">
      <c r="A762" s="44"/>
      <c r="B762" s="110"/>
      <c r="C762" s="110"/>
      <c r="D762" s="110"/>
      <c r="E762" s="110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spans="1:26" ht="14.25" customHeight="1">
      <c r="A763" s="44"/>
      <c r="B763" s="110"/>
      <c r="C763" s="110"/>
      <c r="D763" s="110"/>
      <c r="E763" s="110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spans="1:26" ht="14.25" customHeight="1">
      <c r="A764" s="44"/>
      <c r="B764" s="110"/>
      <c r="C764" s="110"/>
      <c r="D764" s="110"/>
      <c r="E764" s="110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spans="1:26" ht="14.25" customHeight="1">
      <c r="A765" s="44"/>
      <c r="B765" s="110"/>
      <c r="C765" s="110"/>
      <c r="D765" s="110"/>
      <c r="E765" s="110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spans="1:26" ht="14.25" customHeight="1">
      <c r="A766" s="44"/>
      <c r="B766" s="110"/>
      <c r="C766" s="110"/>
      <c r="D766" s="110"/>
      <c r="E766" s="110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spans="1:26" ht="14.25" customHeight="1">
      <c r="A767" s="44"/>
      <c r="B767" s="110"/>
      <c r="C767" s="110"/>
      <c r="D767" s="110"/>
      <c r="E767" s="110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spans="1:26" ht="14.25" customHeight="1">
      <c r="A768" s="44"/>
      <c r="B768" s="110"/>
      <c r="C768" s="110"/>
      <c r="D768" s="110"/>
      <c r="E768" s="110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spans="1:26" ht="14.25" customHeight="1">
      <c r="A769" s="44"/>
      <c r="B769" s="110"/>
      <c r="C769" s="110"/>
      <c r="D769" s="110"/>
      <c r="E769" s="110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spans="1:26" ht="14.25" customHeight="1">
      <c r="A770" s="44"/>
      <c r="B770" s="110"/>
      <c r="C770" s="110"/>
      <c r="D770" s="110"/>
      <c r="E770" s="110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spans="1:26" ht="14.25" customHeight="1">
      <c r="A771" s="44"/>
      <c r="B771" s="110"/>
      <c r="C771" s="110"/>
      <c r="D771" s="110"/>
      <c r="E771" s="110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spans="1:26" ht="14.25" customHeight="1">
      <c r="A772" s="44"/>
      <c r="B772" s="110"/>
      <c r="C772" s="110"/>
      <c r="D772" s="110"/>
      <c r="E772" s="110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spans="1:26" ht="14.25" customHeight="1">
      <c r="A773" s="44"/>
      <c r="B773" s="110"/>
      <c r="C773" s="110"/>
      <c r="D773" s="110"/>
      <c r="E773" s="110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spans="1:26" ht="14.25" customHeight="1">
      <c r="A774" s="44"/>
      <c r="B774" s="110"/>
      <c r="C774" s="110"/>
      <c r="D774" s="110"/>
      <c r="E774" s="110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spans="1:26" ht="14.25" customHeight="1">
      <c r="A775" s="44"/>
      <c r="B775" s="110"/>
      <c r="C775" s="110"/>
      <c r="D775" s="110"/>
      <c r="E775" s="110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spans="1:26" ht="14.25" customHeight="1">
      <c r="A776" s="44"/>
      <c r="B776" s="110"/>
      <c r="C776" s="110"/>
      <c r="D776" s="110"/>
      <c r="E776" s="110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spans="1:26" ht="14.25" customHeight="1">
      <c r="A777" s="44"/>
      <c r="B777" s="110"/>
      <c r="C777" s="110"/>
      <c r="D777" s="110"/>
      <c r="E777" s="110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spans="1:26" ht="14.25" customHeight="1">
      <c r="A778" s="44"/>
      <c r="B778" s="110"/>
      <c r="C778" s="110"/>
      <c r="D778" s="110"/>
      <c r="E778" s="110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spans="1:26" ht="14.25" customHeight="1">
      <c r="A779" s="44"/>
      <c r="B779" s="110"/>
      <c r="C779" s="110"/>
      <c r="D779" s="110"/>
      <c r="E779" s="110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spans="1:26" ht="14.25" customHeight="1">
      <c r="A780" s="44"/>
      <c r="B780" s="110"/>
      <c r="C780" s="110"/>
      <c r="D780" s="110"/>
      <c r="E780" s="110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spans="1:26" ht="14.25" customHeight="1">
      <c r="A781" s="44"/>
      <c r="B781" s="110"/>
      <c r="C781" s="110"/>
      <c r="D781" s="110"/>
      <c r="E781" s="110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spans="1:26" ht="14.25" customHeight="1">
      <c r="A782" s="44"/>
      <c r="B782" s="110"/>
      <c r="C782" s="110"/>
      <c r="D782" s="110"/>
      <c r="E782" s="110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spans="1:26" ht="14.25" customHeight="1">
      <c r="A783" s="44"/>
      <c r="B783" s="110"/>
      <c r="C783" s="110"/>
      <c r="D783" s="110"/>
      <c r="E783" s="110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spans="1:26" ht="14.25" customHeight="1">
      <c r="A784" s="44"/>
      <c r="B784" s="110"/>
      <c r="C784" s="110"/>
      <c r="D784" s="110"/>
      <c r="E784" s="110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spans="1:26" ht="14.25" customHeight="1">
      <c r="A785" s="44"/>
      <c r="B785" s="110"/>
      <c r="C785" s="110"/>
      <c r="D785" s="110"/>
      <c r="E785" s="110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spans="1:26" ht="14.25" customHeight="1">
      <c r="A786" s="44"/>
      <c r="B786" s="110"/>
      <c r="C786" s="110"/>
      <c r="D786" s="110"/>
      <c r="E786" s="110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spans="1:26" ht="14.25" customHeight="1">
      <c r="A787" s="44"/>
      <c r="B787" s="110"/>
      <c r="C787" s="110"/>
      <c r="D787" s="110"/>
      <c r="E787" s="110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spans="1:26" ht="14.25" customHeight="1">
      <c r="A788" s="44"/>
      <c r="B788" s="110"/>
      <c r="C788" s="110"/>
      <c r="D788" s="110"/>
      <c r="E788" s="110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spans="1:26" ht="14.25" customHeight="1">
      <c r="A789" s="44"/>
      <c r="B789" s="110"/>
      <c r="C789" s="110"/>
      <c r="D789" s="110"/>
      <c r="E789" s="110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spans="1:26" ht="14.25" customHeight="1">
      <c r="A790" s="44"/>
      <c r="B790" s="110"/>
      <c r="C790" s="110"/>
      <c r="D790" s="110"/>
      <c r="E790" s="110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spans="1:26" ht="14.25" customHeight="1">
      <c r="A791" s="44"/>
      <c r="B791" s="110"/>
      <c r="C791" s="110"/>
      <c r="D791" s="110"/>
      <c r="E791" s="110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spans="1:26" ht="14.25" customHeight="1">
      <c r="A792" s="44"/>
      <c r="B792" s="110"/>
      <c r="C792" s="110"/>
      <c r="D792" s="110"/>
      <c r="E792" s="110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spans="1:26" ht="14.25" customHeight="1">
      <c r="A793" s="44"/>
      <c r="B793" s="110"/>
      <c r="C793" s="110"/>
      <c r="D793" s="110"/>
      <c r="E793" s="110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spans="1:26" ht="14.25" customHeight="1">
      <c r="A794" s="44"/>
      <c r="B794" s="110"/>
      <c r="C794" s="110"/>
      <c r="D794" s="110"/>
      <c r="E794" s="110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spans="1:26" ht="14.25" customHeight="1">
      <c r="A795" s="44"/>
      <c r="B795" s="110"/>
      <c r="C795" s="110"/>
      <c r="D795" s="110"/>
      <c r="E795" s="110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spans="1:26" ht="14.25" customHeight="1">
      <c r="A796" s="44"/>
      <c r="B796" s="110"/>
      <c r="C796" s="110"/>
      <c r="D796" s="110"/>
      <c r="E796" s="110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spans="1:26" ht="14.25" customHeight="1">
      <c r="A797" s="44"/>
      <c r="B797" s="110"/>
      <c r="C797" s="110"/>
      <c r="D797" s="110"/>
      <c r="E797" s="110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spans="1:26" ht="14.25" customHeight="1">
      <c r="A798" s="44"/>
      <c r="B798" s="110"/>
      <c r="C798" s="110"/>
      <c r="D798" s="110"/>
      <c r="E798" s="110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spans="1:26" ht="14.25" customHeight="1">
      <c r="A799" s="44"/>
      <c r="B799" s="110"/>
      <c r="C799" s="110"/>
      <c r="D799" s="110"/>
      <c r="E799" s="110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spans="1:26" ht="14.25" customHeight="1">
      <c r="A800" s="44"/>
      <c r="B800" s="110"/>
      <c r="C800" s="110"/>
      <c r="D800" s="110"/>
      <c r="E800" s="110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spans="1:26" ht="14.25" customHeight="1">
      <c r="A801" s="44"/>
      <c r="B801" s="110"/>
      <c r="C801" s="110"/>
      <c r="D801" s="110"/>
      <c r="E801" s="110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spans="1:26" ht="14.25" customHeight="1">
      <c r="A802" s="44"/>
      <c r="B802" s="110"/>
      <c r="C802" s="110"/>
      <c r="D802" s="110"/>
      <c r="E802" s="110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spans="1:26" ht="14.25" customHeight="1">
      <c r="A803" s="44"/>
      <c r="B803" s="110"/>
      <c r="C803" s="110"/>
      <c r="D803" s="110"/>
      <c r="E803" s="110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spans="1:26" ht="14.25" customHeight="1">
      <c r="A804" s="44"/>
      <c r="B804" s="110"/>
      <c r="C804" s="110"/>
      <c r="D804" s="110"/>
      <c r="E804" s="110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spans="1:26" ht="14.25" customHeight="1">
      <c r="A805" s="44"/>
      <c r="B805" s="110"/>
      <c r="C805" s="110"/>
      <c r="D805" s="110"/>
      <c r="E805" s="110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spans="1:26" ht="14.25" customHeight="1">
      <c r="A806" s="44"/>
      <c r="B806" s="110"/>
      <c r="C806" s="110"/>
      <c r="D806" s="110"/>
      <c r="E806" s="110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spans="1:26" ht="14.25" customHeight="1">
      <c r="A807" s="44"/>
      <c r="B807" s="110"/>
      <c r="C807" s="110"/>
      <c r="D807" s="110"/>
      <c r="E807" s="110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spans="1:26" ht="14.25" customHeight="1">
      <c r="A808" s="44"/>
      <c r="B808" s="110"/>
      <c r="C808" s="110"/>
      <c r="D808" s="110"/>
      <c r="E808" s="110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spans="1:26" ht="14.25" customHeight="1">
      <c r="A809" s="44"/>
      <c r="B809" s="110"/>
      <c r="C809" s="110"/>
      <c r="D809" s="110"/>
      <c r="E809" s="110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spans="1:26" ht="14.25" customHeight="1">
      <c r="A810" s="44"/>
      <c r="B810" s="110"/>
      <c r="C810" s="110"/>
      <c r="D810" s="110"/>
      <c r="E810" s="110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spans="1:26" ht="14.25" customHeight="1">
      <c r="A811" s="44"/>
      <c r="B811" s="110"/>
      <c r="C811" s="110"/>
      <c r="D811" s="110"/>
      <c r="E811" s="110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spans="1:26" ht="14.25" customHeight="1">
      <c r="A812" s="44"/>
      <c r="B812" s="110"/>
      <c r="C812" s="110"/>
      <c r="D812" s="110"/>
      <c r="E812" s="110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spans="1:26" ht="14.25" customHeight="1">
      <c r="A813" s="44"/>
      <c r="B813" s="110"/>
      <c r="C813" s="110"/>
      <c r="D813" s="110"/>
      <c r="E813" s="110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spans="1:26" ht="14.25" customHeight="1">
      <c r="A814" s="44"/>
      <c r="B814" s="110"/>
      <c r="C814" s="110"/>
      <c r="D814" s="110"/>
      <c r="E814" s="110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spans="1:26" ht="14.25" customHeight="1">
      <c r="A815" s="44"/>
      <c r="B815" s="110"/>
      <c r="C815" s="110"/>
      <c r="D815" s="110"/>
      <c r="E815" s="110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spans="1:26" ht="14.25" customHeight="1">
      <c r="A816" s="44"/>
      <c r="B816" s="110"/>
      <c r="C816" s="110"/>
      <c r="D816" s="110"/>
      <c r="E816" s="110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spans="1:26" ht="14.25" customHeight="1">
      <c r="A817" s="44"/>
      <c r="B817" s="110"/>
      <c r="C817" s="110"/>
      <c r="D817" s="110"/>
      <c r="E817" s="110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spans="1:26" ht="14.25" customHeight="1">
      <c r="A818" s="44"/>
      <c r="B818" s="110"/>
      <c r="C818" s="110"/>
      <c r="D818" s="110"/>
      <c r="E818" s="110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spans="1:26" ht="14.25" customHeight="1">
      <c r="A819" s="44"/>
      <c r="B819" s="110"/>
      <c r="C819" s="110"/>
      <c r="D819" s="110"/>
      <c r="E819" s="110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spans="1:26" ht="14.25" customHeight="1">
      <c r="A820" s="44"/>
      <c r="B820" s="110"/>
      <c r="C820" s="110"/>
      <c r="D820" s="110"/>
      <c r="E820" s="110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spans="1:26" ht="14.25" customHeight="1">
      <c r="A821" s="44"/>
      <c r="B821" s="110"/>
      <c r="C821" s="110"/>
      <c r="D821" s="110"/>
      <c r="E821" s="110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spans="1:26" ht="14.25" customHeight="1">
      <c r="A822" s="44"/>
      <c r="B822" s="110"/>
      <c r="C822" s="110"/>
      <c r="D822" s="110"/>
      <c r="E822" s="110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spans="1:26" ht="14.25" customHeight="1">
      <c r="A823" s="44"/>
      <c r="B823" s="110"/>
      <c r="C823" s="110"/>
      <c r="D823" s="110"/>
      <c r="E823" s="110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spans="1:26" ht="14.25" customHeight="1">
      <c r="A824" s="44"/>
      <c r="B824" s="110"/>
      <c r="C824" s="110"/>
      <c r="D824" s="110"/>
      <c r="E824" s="110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spans="1:26" ht="14.25" customHeight="1">
      <c r="A825" s="44"/>
      <c r="B825" s="110"/>
      <c r="C825" s="110"/>
      <c r="D825" s="110"/>
      <c r="E825" s="110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spans="1:26" ht="14.25" customHeight="1">
      <c r="A826" s="44"/>
      <c r="B826" s="110"/>
      <c r="C826" s="110"/>
      <c r="D826" s="110"/>
      <c r="E826" s="110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spans="1:26" ht="14.25" customHeight="1">
      <c r="A827" s="44"/>
      <c r="B827" s="110"/>
      <c r="C827" s="110"/>
      <c r="D827" s="110"/>
      <c r="E827" s="110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spans="1:26" ht="14.25" customHeight="1">
      <c r="A828" s="44"/>
      <c r="B828" s="110"/>
      <c r="C828" s="110"/>
      <c r="D828" s="110"/>
      <c r="E828" s="110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spans="1:26" ht="14.25" customHeight="1">
      <c r="A829" s="44"/>
      <c r="B829" s="110"/>
      <c r="C829" s="110"/>
      <c r="D829" s="110"/>
      <c r="E829" s="110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spans="1:26" ht="14.25" customHeight="1">
      <c r="A830" s="44"/>
      <c r="B830" s="110"/>
      <c r="C830" s="110"/>
      <c r="D830" s="110"/>
      <c r="E830" s="110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spans="1:26" ht="14.25" customHeight="1">
      <c r="A831" s="44"/>
      <c r="B831" s="110"/>
      <c r="C831" s="110"/>
      <c r="D831" s="110"/>
      <c r="E831" s="110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spans="1:26" ht="14.25" customHeight="1">
      <c r="A832" s="44"/>
      <c r="B832" s="110"/>
      <c r="C832" s="110"/>
      <c r="D832" s="110"/>
      <c r="E832" s="110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spans="1:26" ht="14.25" customHeight="1">
      <c r="A833" s="44"/>
      <c r="B833" s="110"/>
      <c r="C833" s="110"/>
      <c r="D833" s="110"/>
      <c r="E833" s="110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spans="1:26" ht="14.25" customHeight="1">
      <c r="A834" s="44"/>
      <c r="B834" s="110"/>
      <c r="C834" s="110"/>
      <c r="D834" s="110"/>
      <c r="E834" s="110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spans="1:26" ht="14.25" customHeight="1">
      <c r="A835" s="44"/>
      <c r="B835" s="110"/>
      <c r="C835" s="110"/>
      <c r="D835" s="110"/>
      <c r="E835" s="110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spans="1:26" ht="14.25" customHeight="1">
      <c r="A836" s="44"/>
      <c r="B836" s="110"/>
      <c r="C836" s="110"/>
      <c r="D836" s="110"/>
      <c r="E836" s="110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spans="1:26" ht="14.25" customHeight="1">
      <c r="A837" s="44"/>
      <c r="B837" s="110"/>
      <c r="C837" s="110"/>
      <c r="D837" s="110"/>
      <c r="E837" s="110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spans="1:26" ht="14.25" customHeight="1">
      <c r="A838" s="44"/>
      <c r="B838" s="110"/>
      <c r="C838" s="110"/>
      <c r="D838" s="110"/>
      <c r="E838" s="110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spans="1:26" ht="14.25" customHeight="1">
      <c r="A839" s="44"/>
      <c r="B839" s="110"/>
      <c r="C839" s="110"/>
      <c r="D839" s="110"/>
      <c r="E839" s="110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spans="1:26" ht="14.25" customHeight="1">
      <c r="A840" s="44"/>
      <c r="B840" s="110"/>
      <c r="C840" s="110"/>
      <c r="D840" s="110"/>
      <c r="E840" s="110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spans="1:26" ht="14.25" customHeight="1">
      <c r="A841" s="44"/>
      <c r="B841" s="110"/>
      <c r="C841" s="110"/>
      <c r="D841" s="110"/>
      <c r="E841" s="110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spans="1:26" ht="14.25" customHeight="1">
      <c r="A842" s="44"/>
      <c r="B842" s="110"/>
      <c r="C842" s="110"/>
      <c r="D842" s="110"/>
      <c r="E842" s="110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spans="1:26" ht="14.25" customHeight="1">
      <c r="A843" s="44"/>
      <c r="B843" s="110"/>
      <c r="C843" s="110"/>
      <c r="D843" s="110"/>
      <c r="E843" s="110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spans="1:26" ht="14.25" customHeight="1">
      <c r="A844" s="44"/>
      <c r="B844" s="110"/>
      <c r="C844" s="110"/>
      <c r="D844" s="110"/>
      <c r="E844" s="110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spans="1:26" ht="14.25" customHeight="1">
      <c r="A845" s="44"/>
      <c r="B845" s="110"/>
      <c r="C845" s="110"/>
      <c r="D845" s="110"/>
      <c r="E845" s="110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spans="1:26" ht="14.25" customHeight="1">
      <c r="A846" s="44"/>
      <c r="B846" s="110"/>
      <c r="C846" s="110"/>
      <c r="D846" s="110"/>
      <c r="E846" s="110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spans="1:26" ht="14.25" customHeight="1">
      <c r="A847" s="44"/>
      <c r="B847" s="110"/>
      <c r="C847" s="110"/>
      <c r="D847" s="110"/>
      <c r="E847" s="110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spans="1:26" ht="14.25" customHeight="1">
      <c r="A848" s="44"/>
      <c r="B848" s="110"/>
      <c r="C848" s="110"/>
      <c r="D848" s="110"/>
      <c r="E848" s="110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spans="1:26" ht="14.25" customHeight="1">
      <c r="A849" s="44"/>
      <c r="B849" s="110"/>
      <c r="C849" s="110"/>
      <c r="D849" s="110"/>
      <c r="E849" s="110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spans="1:26" ht="14.25" customHeight="1">
      <c r="A850" s="44"/>
      <c r="B850" s="110"/>
      <c r="C850" s="110"/>
      <c r="D850" s="110"/>
      <c r="E850" s="110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spans="1:26" ht="14.25" customHeight="1">
      <c r="A851" s="44"/>
      <c r="B851" s="110"/>
      <c r="C851" s="110"/>
      <c r="D851" s="110"/>
      <c r="E851" s="110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spans="1:26" ht="14.25" customHeight="1">
      <c r="A852" s="44"/>
      <c r="B852" s="110"/>
      <c r="C852" s="110"/>
      <c r="D852" s="110"/>
      <c r="E852" s="110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spans="1:26" ht="14.25" customHeight="1">
      <c r="A853" s="44"/>
      <c r="B853" s="110"/>
      <c r="C853" s="110"/>
      <c r="D853" s="110"/>
      <c r="E853" s="110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spans="1:26" ht="14.25" customHeight="1">
      <c r="A854" s="44"/>
      <c r="B854" s="110"/>
      <c r="C854" s="110"/>
      <c r="D854" s="110"/>
      <c r="E854" s="110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spans="1:26" ht="14.25" customHeight="1">
      <c r="A855" s="44"/>
      <c r="B855" s="110"/>
      <c r="C855" s="110"/>
      <c r="D855" s="110"/>
      <c r="E855" s="110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spans="1:26" ht="14.25" customHeight="1">
      <c r="A856" s="44"/>
      <c r="B856" s="110"/>
      <c r="C856" s="110"/>
      <c r="D856" s="110"/>
      <c r="E856" s="110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spans="1:26" ht="14.25" customHeight="1">
      <c r="A857" s="44"/>
      <c r="B857" s="110"/>
      <c r="C857" s="110"/>
      <c r="D857" s="110"/>
      <c r="E857" s="110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spans="1:26" ht="14.25" customHeight="1">
      <c r="A858" s="44"/>
      <c r="B858" s="110"/>
      <c r="C858" s="110"/>
      <c r="D858" s="110"/>
      <c r="E858" s="110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spans="1:26" ht="14.25" customHeight="1">
      <c r="A859" s="44"/>
      <c r="B859" s="110"/>
      <c r="C859" s="110"/>
      <c r="D859" s="110"/>
      <c r="E859" s="110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spans="1:26" ht="14.25" customHeight="1">
      <c r="A860" s="44"/>
      <c r="B860" s="110"/>
      <c r="C860" s="110"/>
      <c r="D860" s="110"/>
      <c r="E860" s="110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spans="1:26" ht="14.25" customHeight="1">
      <c r="A861" s="44"/>
      <c r="B861" s="110"/>
      <c r="C861" s="110"/>
      <c r="D861" s="110"/>
      <c r="E861" s="110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spans="1:26" ht="14.25" customHeight="1">
      <c r="A862" s="44"/>
      <c r="B862" s="110"/>
      <c r="C862" s="110"/>
      <c r="D862" s="110"/>
      <c r="E862" s="110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spans="1:26" ht="14.25" customHeight="1">
      <c r="A863" s="44"/>
      <c r="B863" s="110"/>
      <c r="C863" s="110"/>
      <c r="D863" s="110"/>
      <c r="E863" s="110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spans="1:26" ht="14.25" customHeight="1">
      <c r="A864" s="44"/>
      <c r="B864" s="110"/>
      <c r="C864" s="110"/>
      <c r="D864" s="110"/>
      <c r="E864" s="110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spans="1:26" ht="14.25" customHeight="1">
      <c r="A865" s="44"/>
      <c r="B865" s="110"/>
      <c r="C865" s="110"/>
      <c r="D865" s="110"/>
      <c r="E865" s="110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spans="1:26" ht="14.25" customHeight="1">
      <c r="A866" s="44"/>
      <c r="B866" s="110"/>
      <c r="C866" s="110"/>
      <c r="D866" s="110"/>
      <c r="E866" s="110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spans="1:26" ht="14.25" customHeight="1">
      <c r="A867" s="44"/>
      <c r="B867" s="110"/>
      <c r="C867" s="110"/>
      <c r="D867" s="110"/>
      <c r="E867" s="110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spans="1:26" ht="14.25" customHeight="1">
      <c r="A868" s="44"/>
      <c r="B868" s="110"/>
      <c r="C868" s="110"/>
      <c r="D868" s="110"/>
      <c r="E868" s="110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spans="1:26" ht="14.25" customHeight="1">
      <c r="A869" s="44"/>
      <c r="B869" s="110"/>
      <c r="C869" s="110"/>
      <c r="D869" s="110"/>
      <c r="E869" s="110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spans="1:26" ht="14.25" customHeight="1">
      <c r="A870" s="44"/>
      <c r="B870" s="110"/>
      <c r="C870" s="110"/>
      <c r="D870" s="110"/>
      <c r="E870" s="110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spans="1:26" ht="14.25" customHeight="1">
      <c r="A871" s="44"/>
      <c r="B871" s="110"/>
      <c r="C871" s="110"/>
      <c r="D871" s="110"/>
      <c r="E871" s="110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spans="1:26" ht="14.25" customHeight="1">
      <c r="A872" s="44"/>
      <c r="B872" s="110"/>
      <c r="C872" s="110"/>
      <c r="D872" s="110"/>
      <c r="E872" s="110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spans="1:26" ht="14.25" customHeight="1">
      <c r="A873" s="44"/>
      <c r="B873" s="110"/>
      <c r="C873" s="110"/>
      <c r="D873" s="110"/>
      <c r="E873" s="110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spans="1:26" ht="14.25" customHeight="1">
      <c r="A874" s="44"/>
      <c r="B874" s="110"/>
      <c r="C874" s="110"/>
      <c r="D874" s="110"/>
      <c r="E874" s="110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spans="1:26" ht="14.25" customHeight="1">
      <c r="A875" s="44"/>
      <c r="B875" s="110"/>
      <c r="C875" s="110"/>
      <c r="D875" s="110"/>
      <c r="E875" s="110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spans="1:26" ht="14.25" customHeight="1">
      <c r="A876" s="44"/>
      <c r="B876" s="110"/>
      <c r="C876" s="110"/>
      <c r="D876" s="110"/>
      <c r="E876" s="110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spans="1:26" ht="14.25" customHeight="1">
      <c r="A877" s="44"/>
      <c r="B877" s="110"/>
      <c r="C877" s="110"/>
      <c r="D877" s="110"/>
      <c r="E877" s="110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spans="1:26" ht="14.25" customHeight="1">
      <c r="A878" s="44"/>
      <c r="B878" s="110"/>
      <c r="C878" s="110"/>
      <c r="D878" s="110"/>
      <c r="E878" s="110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spans="1:26" ht="14.25" customHeight="1">
      <c r="A879" s="44"/>
      <c r="B879" s="110"/>
      <c r="C879" s="110"/>
      <c r="D879" s="110"/>
      <c r="E879" s="110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spans="1:26" ht="14.25" customHeight="1">
      <c r="A880" s="44"/>
      <c r="B880" s="110"/>
      <c r="C880" s="110"/>
      <c r="D880" s="110"/>
      <c r="E880" s="110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spans="1:26" ht="14.25" customHeight="1">
      <c r="A881" s="44"/>
      <c r="B881" s="110"/>
      <c r="C881" s="110"/>
      <c r="D881" s="110"/>
      <c r="E881" s="110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spans="1:26" ht="14.25" customHeight="1">
      <c r="A882" s="44"/>
      <c r="B882" s="110"/>
      <c r="C882" s="110"/>
      <c r="D882" s="110"/>
      <c r="E882" s="110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spans="1:26" ht="14.25" customHeight="1">
      <c r="A883" s="44"/>
      <c r="B883" s="110"/>
      <c r="C883" s="110"/>
      <c r="D883" s="110"/>
      <c r="E883" s="110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spans="1:26" ht="14.25" customHeight="1">
      <c r="A884" s="44"/>
      <c r="B884" s="110"/>
      <c r="C884" s="110"/>
      <c r="D884" s="110"/>
      <c r="E884" s="110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spans="1:26" ht="14.25" customHeight="1">
      <c r="A885" s="44"/>
      <c r="B885" s="110"/>
      <c r="C885" s="110"/>
      <c r="D885" s="110"/>
      <c r="E885" s="110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spans="1:26" ht="14.25" customHeight="1">
      <c r="A886" s="44"/>
      <c r="B886" s="110"/>
      <c r="C886" s="110"/>
      <c r="D886" s="110"/>
      <c r="E886" s="110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spans="1:26" ht="14.25" customHeight="1">
      <c r="A887" s="44"/>
      <c r="B887" s="110"/>
      <c r="C887" s="110"/>
      <c r="D887" s="110"/>
      <c r="E887" s="110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spans="1:26" ht="14.25" customHeight="1">
      <c r="A888" s="44"/>
      <c r="B888" s="110"/>
      <c r="C888" s="110"/>
      <c r="D888" s="110"/>
      <c r="E888" s="110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spans="1:26" ht="14.25" customHeight="1">
      <c r="A889" s="44"/>
      <c r="B889" s="110"/>
      <c r="C889" s="110"/>
      <c r="D889" s="110"/>
      <c r="E889" s="110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spans="1:26" ht="14.25" customHeight="1">
      <c r="A890" s="44"/>
      <c r="B890" s="110"/>
      <c r="C890" s="110"/>
      <c r="D890" s="110"/>
      <c r="E890" s="110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spans="1:26" ht="14.25" customHeight="1">
      <c r="A891" s="44"/>
      <c r="B891" s="110"/>
      <c r="C891" s="110"/>
      <c r="D891" s="110"/>
      <c r="E891" s="110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spans="1:26" ht="14.25" customHeight="1">
      <c r="A892" s="44"/>
      <c r="B892" s="110"/>
      <c r="C892" s="110"/>
      <c r="D892" s="110"/>
      <c r="E892" s="110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spans="1:26" ht="14.25" customHeight="1">
      <c r="A893" s="44"/>
      <c r="B893" s="110"/>
      <c r="C893" s="110"/>
      <c r="D893" s="110"/>
      <c r="E893" s="110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spans="1:26" ht="14.25" customHeight="1">
      <c r="A894" s="44"/>
      <c r="B894" s="110"/>
      <c r="C894" s="110"/>
      <c r="D894" s="110"/>
      <c r="E894" s="110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spans="1:26" ht="14.25" customHeight="1">
      <c r="A895" s="44"/>
      <c r="B895" s="110"/>
      <c r="C895" s="110"/>
      <c r="D895" s="110"/>
      <c r="E895" s="110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spans="1:26" ht="14.25" customHeight="1">
      <c r="A896" s="44"/>
      <c r="B896" s="110"/>
      <c r="C896" s="110"/>
      <c r="D896" s="110"/>
      <c r="E896" s="110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spans="1:26" ht="14.25" customHeight="1">
      <c r="A897" s="44"/>
      <c r="B897" s="110"/>
      <c r="C897" s="110"/>
      <c r="D897" s="110"/>
      <c r="E897" s="110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spans="1:26" ht="14.25" customHeight="1">
      <c r="A898" s="44"/>
      <c r="B898" s="110"/>
      <c r="C898" s="110"/>
      <c r="D898" s="110"/>
      <c r="E898" s="110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spans="1:26" ht="14.25" customHeight="1">
      <c r="A899" s="44"/>
      <c r="B899" s="110"/>
      <c r="C899" s="110"/>
      <c r="D899" s="110"/>
      <c r="E899" s="110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spans="1:26" ht="14.25" customHeight="1">
      <c r="A900" s="44"/>
      <c r="B900" s="110"/>
      <c r="C900" s="110"/>
      <c r="D900" s="110"/>
      <c r="E900" s="110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spans="1:26" ht="14.25" customHeight="1">
      <c r="A901" s="44"/>
      <c r="B901" s="110"/>
      <c r="C901" s="110"/>
      <c r="D901" s="110"/>
      <c r="E901" s="110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spans="1:26" ht="14.25" customHeight="1">
      <c r="A902" s="44"/>
      <c r="B902" s="110"/>
      <c r="C902" s="110"/>
      <c r="D902" s="110"/>
      <c r="E902" s="110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spans="1:26" ht="14.25" customHeight="1">
      <c r="A903" s="44"/>
      <c r="B903" s="110"/>
      <c r="C903" s="110"/>
      <c r="D903" s="110"/>
      <c r="E903" s="110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spans="1:26" ht="14.25" customHeight="1">
      <c r="A904" s="44"/>
      <c r="B904" s="110"/>
      <c r="C904" s="110"/>
      <c r="D904" s="110"/>
      <c r="E904" s="110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spans="1:26" ht="14.25" customHeight="1">
      <c r="A905" s="44"/>
      <c r="B905" s="110"/>
      <c r="C905" s="110"/>
      <c r="D905" s="110"/>
      <c r="E905" s="110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spans="1:26" ht="14.25" customHeight="1">
      <c r="A906" s="44"/>
      <c r="B906" s="110"/>
      <c r="C906" s="110"/>
      <c r="D906" s="110"/>
      <c r="E906" s="110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spans="1:26" ht="14.25" customHeight="1">
      <c r="A907" s="44"/>
      <c r="B907" s="110"/>
      <c r="C907" s="110"/>
      <c r="D907" s="110"/>
      <c r="E907" s="110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spans="1:26" ht="14.25" customHeight="1">
      <c r="A908" s="44"/>
      <c r="B908" s="110"/>
      <c r="C908" s="110"/>
      <c r="D908" s="110"/>
      <c r="E908" s="110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spans="1:26" ht="14.25" customHeight="1">
      <c r="A909" s="44"/>
      <c r="B909" s="110"/>
      <c r="C909" s="110"/>
      <c r="D909" s="110"/>
      <c r="E909" s="110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spans="1:26" ht="14.25" customHeight="1">
      <c r="A910" s="44"/>
      <c r="B910" s="110"/>
      <c r="C910" s="110"/>
      <c r="D910" s="110"/>
      <c r="E910" s="110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spans="1:26" ht="14.25" customHeight="1">
      <c r="A911" s="44"/>
      <c r="B911" s="110"/>
      <c r="C911" s="110"/>
      <c r="D911" s="110"/>
      <c r="E911" s="110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spans="1:26" ht="14.25" customHeight="1">
      <c r="A912" s="44"/>
      <c r="B912" s="110"/>
      <c r="C912" s="110"/>
      <c r="D912" s="110"/>
      <c r="E912" s="110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spans="1:26" ht="14.25" customHeight="1">
      <c r="A913" s="44"/>
      <c r="B913" s="110"/>
      <c r="C913" s="110"/>
      <c r="D913" s="110"/>
      <c r="E913" s="110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spans="1:26" ht="14.25" customHeight="1">
      <c r="A914" s="44"/>
      <c r="B914" s="110"/>
      <c r="C914" s="110"/>
      <c r="D914" s="110"/>
      <c r="E914" s="110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spans="1:26" ht="14.25" customHeight="1">
      <c r="A915" s="44"/>
      <c r="B915" s="110"/>
      <c r="C915" s="110"/>
      <c r="D915" s="110"/>
      <c r="E915" s="110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spans="1:26" ht="14.25" customHeight="1">
      <c r="A916" s="44"/>
      <c r="B916" s="110"/>
      <c r="C916" s="110"/>
      <c r="D916" s="110"/>
      <c r="E916" s="110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spans="1:26" ht="14.25" customHeight="1">
      <c r="A917" s="44"/>
      <c r="B917" s="110"/>
      <c r="C917" s="110"/>
      <c r="D917" s="110"/>
      <c r="E917" s="110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spans="1:26" ht="14.25" customHeight="1">
      <c r="A918" s="44"/>
      <c r="B918" s="110"/>
      <c r="C918" s="110"/>
      <c r="D918" s="110"/>
      <c r="E918" s="110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spans="1:26" ht="14.25" customHeight="1">
      <c r="A919" s="44"/>
      <c r="B919" s="110"/>
      <c r="C919" s="110"/>
      <c r="D919" s="110"/>
      <c r="E919" s="110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spans="1:26" ht="14.25" customHeight="1">
      <c r="A920" s="44"/>
      <c r="B920" s="110"/>
      <c r="C920" s="110"/>
      <c r="D920" s="110"/>
      <c r="E920" s="110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spans="1:26" ht="14.25" customHeight="1">
      <c r="A921" s="44"/>
      <c r="B921" s="110"/>
      <c r="C921" s="110"/>
      <c r="D921" s="110"/>
      <c r="E921" s="110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spans="1:26" ht="14.25" customHeight="1">
      <c r="A922" s="44"/>
      <c r="B922" s="110"/>
      <c r="C922" s="110"/>
      <c r="D922" s="110"/>
      <c r="E922" s="110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spans="1:26" ht="14.25" customHeight="1">
      <c r="A923" s="44"/>
      <c r="B923" s="110"/>
      <c r="C923" s="110"/>
      <c r="D923" s="110"/>
      <c r="E923" s="110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spans="1:26" ht="14.25" customHeight="1">
      <c r="A924" s="44"/>
      <c r="B924" s="110"/>
      <c r="C924" s="110"/>
      <c r="D924" s="110"/>
      <c r="E924" s="110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spans="1:26" ht="14.25" customHeight="1">
      <c r="A925" s="44"/>
      <c r="B925" s="110"/>
      <c r="C925" s="110"/>
      <c r="D925" s="110"/>
      <c r="E925" s="110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spans="1:26" ht="14.25" customHeight="1">
      <c r="A926" s="44"/>
      <c r="B926" s="110"/>
      <c r="C926" s="110"/>
      <c r="D926" s="110"/>
      <c r="E926" s="110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spans="1:26" ht="14.25" customHeight="1">
      <c r="A927" s="44"/>
      <c r="B927" s="110"/>
      <c r="C927" s="110"/>
      <c r="D927" s="110"/>
      <c r="E927" s="110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spans="1:26" ht="14.25" customHeight="1">
      <c r="A928" s="44"/>
      <c r="B928" s="110"/>
      <c r="C928" s="110"/>
      <c r="D928" s="110"/>
      <c r="E928" s="110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spans="1:26" ht="14.25" customHeight="1">
      <c r="A929" s="44"/>
      <c r="B929" s="110"/>
      <c r="C929" s="110"/>
      <c r="D929" s="110"/>
      <c r="E929" s="110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spans="1:26" ht="14.25" customHeight="1">
      <c r="A930" s="44"/>
      <c r="B930" s="110"/>
      <c r="C930" s="110"/>
      <c r="D930" s="110"/>
      <c r="E930" s="110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spans="1:26" ht="14.25" customHeight="1">
      <c r="A931" s="44"/>
      <c r="B931" s="110"/>
      <c r="C931" s="110"/>
      <c r="D931" s="110"/>
      <c r="E931" s="110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spans="1:26" ht="14.25" customHeight="1">
      <c r="A932" s="44"/>
      <c r="B932" s="110"/>
      <c r="C932" s="110"/>
      <c r="D932" s="110"/>
      <c r="E932" s="110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spans="1:26" ht="14.25" customHeight="1">
      <c r="A933" s="44"/>
      <c r="B933" s="110"/>
      <c r="C933" s="110"/>
      <c r="D933" s="110"/>
      <c r="E933" s="110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spans="1:26" ht="14.25" customHeight="1">
      <c r="A934" s="44"/>
      <c r="B934" s="110"/>
      <c r="C934" s="110"/>
      <c r="D934" s="110"/>
      <c r="E934" s="110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spans="1:26" ht="14.25" customHeight="1">
      <c r="A935" s="44"/>
      <c r="B935" s="110"/>
      <c r="C935" s="110"/>
      <c r="D935" s="110"/>
      <c r="E935" s="110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spans="1:26" ht="14.25" customHeight="1">
      <c r="A936" s="44"/>
      <c r="B936" s="110"/>
      <c r="C936" s="110"/>
      <c r="D936" s="110"/>
      <c r="E936" s="110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spans="1:26" ht="14.25" customHeight="1">
      <c r="A937" s="44"/>
      <c r="B937" s="110"/>
      <c r="C937" s="110"/>
      <c r="D937" s="110"/>
      <c r="E937" s="110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spans="1:26" ht="14.25" customHeight="1">
      <c r="A938" s="44"/>
      <c r="B938" s="110"/>
      <c r="C938" s="110"/>
      <c r="D938" s="110"/>
      <c r="E938" s="110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spans="1:26" ht="14.25" customHeight="1">
      <c r="A939" s="44"/>
      <c r="B939" s="110"/>
      <c r="C939" s="110"/>
      <c r="D939" s="110"/>
      <c r="E939" s="110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spans="1:26" ht="14.25" customHeight="1">
      <c r="A940" s="44"/>
      <c r="B940" s="110"/>
      <c r="C940" s="110"/>
      <c r="D940" s="110"/>
      <c r="E940" s="110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spans="1:26" ht="14.25" customHeight="1">
      <c r="A941" s="44"/>
      <c r="B941" s="110"/>
      <c r="C941" s="110"/>
      <c r="D941" s="110"/>
      <c r="E941" s="110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spans="1:26" ht="14.25" customHeight="1">
      <c r="A942" s="44"/>
      <c r="B942" s="110"/>
      <c r="C942" s="110"/>
      <c r="D942" s="110"/>
      <c r="E942" s="110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spans="1:26" ht="14.25" customHeight="1">
      <c r="A943" s="44"/>
      <c r="B943" s="110"/>
      <c r="C943" s="110"/>
      <c r="D943" s="110"/>
      <c r="E943" s="110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spans="1:26" ht="14.25" customHeight="1">
      <c r="A944" s="44"/>
      <c r="B944" s="110"/>
      <c r="C944" s="110"/>
      <c r="D944" s="110"/>
      <c r="E944" s="110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spans="1:26" ht="14.25" customHeight="1">
      <c r="A945" s="44"/>
      <c r="B945" s="110"/>
      <c r="C945" s="110"/>
      <c r="D945" s="110"/>
      <c r="E945" s="110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spans="1:26" ht="14.25" customHeight="1">
      <c r="A946" s="44"/>
      <c r="B946" s="110"/>
      <c r="C946" s="110"/>
      <c r="D946" s="110"/>
      <c r="E946" s="110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spans="1:26" ht="14.25" customHeight="1">
      <c r="A947" s="44"/>
      <c r="B947" s="110"/>
      <c r="C947" s="110"/>
      <c r="D947" s="110"/>
      <c r="E947" s="110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spans="1:26" ht="14.25" customHeight="1">
      <c r="A948" s="44"/>
      <c r="B948" s="110"/>
      <c r="C948" s="110"/>
      <c r="D948" s="110"/>
      <c r="E948" s="110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spans="1:26" ht="14.25" customHeight="1">
      <c r="A949" s="44"/>
      <c r="B949" s="110"/>
      <c r="C949" s="110"/>
      <c r="D949" s="110"/>
      <c r="E949" s="110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spans="1:26" ht="14.25" customHeight="1">
      <c r="A950" s="44"/>
      <c r="B950" s="110"/>
      <c r="C950" s="110"/>
      <c r="D950" s="110"/>
      <c r="E950" s="110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spans="1:26" ht="14.25" customHeight="1">
      <c r="A951" s="44"/>
      <c r="B951" s="110"/>
      <c r="C951" s="110"/>
      <c r="D951" s="110"/>
      <c r="E951" s="110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spans="1:26" ht="14.25" customHeight="1">
      <c r="A952" s="44"/>
      <c r="B952" s="110"/>
      <c r="C952" s="110"/>
      <c r="D952" s="110"/>
      <c r="E952" s="110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spans="1:26" ht="14.25" customHeight="1">
      <c r="A953" s="44"/>
      <c r="B953" s="110"/>
      <c r="C953" s="110"/>
      <c r="D953" s="110"/>
      <c r="E953" s="110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spans="1:26" ht="14.25" customHeight="1">
      <c r="A954" s="44"/>
      <c r="B954" s="110"/>
      <c r="C954" s="110"/>
      <c r="D954" s="110"/>
      <c r="E954" s="110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spans="1:26" ht="14.25" customHeight="1">
      <c r="A955" s="44"/>
      <c r="B955" s="110"/>
      <c r="C955" s="110"/>
      <c r="D955" s="110"/>
      <c r="E955" s="110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spans="1:26" ht="16.5">
      <c r="A956" s="2"/>
      <c r="B956" s="2"/>
      <c r="C956" s="2"/>
      <c r="D956" s="2"/>
      <c r="E956" s="2"/>
      <c r="F956" s="1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6.5">
      <c r="A957" s="2"/>
      <c r="B957" s="2"/>
      <c r="C957" s="2"/>
      <c r="D957" s="2"/>
      <c r="E957" s="2"/>
      <c r="F957" s="1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6.5">
      <c r="A958" s="2"/>
      <c r="B958" s="2"/>
      <c r="C958" s="2"/>
      <c r="D958" s="2"/>
      <c r="E958" s="2"/>
      <c r="F958" s="1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6.5">
      <c r="A959" s="2"/>
      <c r="B959" s="2"/>
      <c r="C959" s="2"/>
      <c r="D959" s="2"/>
      <c r="E959" s="2"/>
      <c r="F959" s="1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6.5">
      <c r="A960" s="2"/>
      <c r="B960" s="2"/>
      <c r="C960" s="2"/>
      <c r="D960" s="2"/>
      <c r="E960" s="2"/>
      <c r="F960" s="1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6.5">
      <c r="A961" s="2"/>
      <c r="B961" s="2"/>
      <c r="C961" s="2"/>
      <c r="D961" s="2"/>
      <c r="E961" s="2"/>
      <c r="F961" s="1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6.5">
      <c r="A962" s="2"/>
      <c r="B962" s="2"/>
      <c r="C962" s="2"/>
      <c r="D962" s="2"/>
      <c r="E962" s="2"/>
      <c r="F962" s="1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6.5">
      <c r="A963" s="2"/>
      <c r="B963" s="2"/>
      <c r="C963" s="2"/>
      <c r="D963" s="2"/>
      <c r="E963" s="2"/>
      <c r="F963" s="1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6.5">
      <c r="A964" s="2"/>
      <c r="B964" s="2"/>
      <c r="C964" s="2"/>
      <c r="D964" s="2"/>
      <c r="E964" s="2"/>
      <c r="F964" s="1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6.5">
      <c r="A965" s="2"/>
      <c r="B965" s="2"/>
      <c r="C965" s="2"/>
      <c r="D965" s="2"/>
      <c r="E965" s="2"/>
      <c r="F965" s="1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6.5">
      <c r="A966" s="2"/>
      <c r="B966" s="2"/>
      <c r="C966" s="2"/>
      <c r="D966" s="2"/>
      <c r="E966" s="2"/>
      <c r="F966" s="1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6.5">
      <c r="A967" s="2"/>
      <c r="B967" s="2"/>
      <c r="C967" s="2"/>
      <c r="D967" s="2"/>
      <c r="E967" s="2"/>
      <c r="F967" s="1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6.5">
      <c r="A968" s="2"/>
      <c r="B968" s="2"/>
      <c r="C968" s="2"/>
      <c r="D968" s="2"/>
      <c r="E968" s="2"/>
      <c r="F968" s="1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6.5">
      <c r="A969" s="2"/>
      <c r="B969" s="2"/>
      <c r="C969" s="2"/>
      <c r="D969" s="2"/>
      <c r="E969" s="2"/>
      <c r="F969" s="1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6.5">
      <c r="A970" s="2"/>
      <c r="B970" s="2"/>
      <c r="C970" s="2"/>
      <c r="D970" s="2"/>
      <c r="E970" s="2"/>
      <c r="F970" s="1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6.5">
      <c r="A971" s="2"/>
      <c r="B971" s="2"/>
      <c r="C971" s="2"/>
      <c r="D971" s="2"/>
      <c r="E971" s="2"/>
      <c r="F971" s="1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6.5">
      <c r="A972" s="2"/>
      <c r="B972" s="2"/>
      <c r="C972" s="2"/>
      <c r="D972" s="2"/>
      <c r="E972" s="2"/>
      <c r="F972" s="1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6.5">
      <c r="A973" s="2"/>
      <c r="B973" s="2"/>
      <c r="C973" s="2"/>
      <c r="D973" s="2"/>
      <c r="E973" s="2"/>
      <c r="F973" s="1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6.5">
      <c r="A974" s="2"/>
      <c r="B974" s="2"/>
      <c r="C974" s="2"/>
      <c r="D974" s="2"/>
      <c r="E974" s="2"/>
      <c r="F974" s="1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</sheetData>
  <mergeCells count="39">
    <mergeCell ref="C53:D53"/>
    <mergeCell ref="C42:D42"/>
    <mergeCell ref="C43:D43"/>
    <mergeCell ref="B44:C44"/>
    <mergeCell ref="C41:D41"/>
    <mergeCell ref="C48:D48"/>
    <mergeCell ref="C49:D49"/>
    <mergeCell ref="C52:D52"/>
    <mergeCell ref="C51:D51"/>
    <mergeCell ref="C50:D50"/>
    <mergeCell ref="C31:D31"/>
    <mergeCell ref="C32:D32"/>
    <mergeCell ref="B33:C33"/>
    <mergeCell ref="C37:E37"/>
    <mergeCell ref="B38:B39"/>
    <mergeCell ref="C38:D38"/>
    <mergeCell ref="C39:D39"/>
    <mergeCell ref="C30:D30"/>
    <mergeCell ref="C26:E26"/>
    <mergeCell ref="B27:B28"/>
    <mergeCell ref="C27:D27"/>
    <mergeCell ref="C28:D28"/>
    <mergeCell ref="B22:C22"/>
    <mergeCell ref="C17:D17"/>
    <mergeCell ref="C10:D10"/>
    <mergeCell ref="B11:C11"/>
    <mergeCell ref="C21:D21"/>
    <mergeCell ref="C15:E15"/>
    <mergeCell ref="B16:B17"/>
    <mergeCell ref="C16:D16"/>
    <mergeCell ref="C19:D19"/>
    <mergeCell ref="C20:D20"/>
    <mergeCell ref="C9:D9"/>
    <mergeCell ref="C7:D7"/>
    <mergeCell ref="B1:E1"/>
    <mergeCell ref="C3:E3"/>
    <mergeCell ref="B4:B5"/>
    <mergeCell ref="C4:D4"/>
    <mergeCell ref="C5:D5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4:Z1002"/>
  <sheetViews>
    <sheetView showGridLines="0" tabSelected="1" workbookViewId="0">
      <selection activeCell="F17" sqref="F17"/>
    </sheetView>
  </sheetViews>
  <sheetFormatPr baseColWidth="10" defaultColWidth="14.42578125" defaultRowHeight="15" customHeight="1"/>
  <cols>
    <col min="1" max="1" width="11.5703125" customWidth="1"/>
    <col min="2" max="2" width="29.140625" customWidth="1"/>
    <col min="3" max="3" width="7" customWidth="1"/>
    <col min="4" max="4" width="5.28515625" customWidth="1"/>
    <col min="5" max="5" width="26.140625" customWidth="1"/>
    <col min="6" max="6" width="18.42578125" customWidth="1"/>
    <col min="7" max="8" width="12" bestFit="1" customWidth="1"/>
    <col min="9" max="9" width="12.7109375" bestFit="1" customWidth="1"/>
    <col min="10" max="26" width="11.42578125" customWidth="1"/>
  </cols>
  <sheetData>
    <row r="4" spans="1:26" ht="28.5" customHeight="1">
      <c r="B4" s="193" t="s">
        <v>279</v>
      </c>
      <c r="C4" s="194" t="s">
        <v>280</v>
      </c>
      <c r="D4" s="194" t="s">
        <v>281</v>
      </c>
      <c r="E4" s="194" t="s">
        <v>282</v>
      </c>
      <c r="F4" s="195" t="s">
        <v>283</v>
      </c>
      <c r="G4" s="151" t="s">
        <v>284</v>
      </c>
      <c r="H4" s="151" t="s">
        <v>285</v>
      </c>
      <c r="I4" s="151" t="s">
        <v>286</v>
      </c>
      <c r="J4" s="151" t="s">
        <v>287</v>
      </c>
    </row>
    <row r="5" spans="1:26" ht="47.25" hidden="1">
      <c r="B5" s="199" t="s">
        <v>288</v>
      </c>
      <c r="C5" s="200">
        <f>SUM('DATOS INICIALES'!C13:C15)</f>
        <v>0</v>
      </c>
      <c r="D5" s="200" t="s">
        <v>289</v>
      </c>
      <c r="E5" s="201">
        <f>IFERROR(F5/C5,0)</f>
        <v>0</v>
      </c>
      <c r="F5" s="201">
        <f>+H5</f>
        <v>0</v>
      </c>
      <c r="G5" s="152">
        <f>'MATRIZ VENTA'!$E$11</f>
        <v>0</v>
      </c>
      <c r="H5" s="152">
        <f>+G5/(1-J5)</f>
        <v>0</v>
      </c>
      <c r="I5" s="152">
        <f t="shared" ref="I5:I11" si="0">H5-G5</f>
        <v>0</v>
      </c>
      <c r="J5" s="202">
        <v>0.25</v>
      </c>
    </row>
    <row r="6" spans="1:26" ht="31.5">
      <c r="B6" s="199" t="s">
        <v>295</v>
      </c>
      <c r="C6" s="200">
        <f>+'DATOS INICIALES'!C21</f>
        <v>1</v>
      </c>
      <c r="D6" s="200" t="s">
        <v>289</v>
      </c>
      <c r="E6" s="201">
        <f t="shared" ref="E6:E8" si="1">IFERROR(F6/C6,0)</f>
        <v>323553.41672143975</v>
      </c>
      <c r="F6" s="201">
        <f t="shared" ref="F6:F10" si="2">+H6</f>
        <v>323553.41672143975</v>
      </c>
      <c r="G6" s="152">
        <f>'MATRIZ VENTA'!$E$22</f>
        <v>210309.72086893584</v>
      </c>
      <c r="H6" s="152">
        <f t="shared" ref="H6:H10" si="3">+G6/(1-J6)</f>
        <v>323553.41672143975</v>
      </c>
      <c r="I6" s="152">
        <f t="shared" si="0"/>
        <v>113243.69585250391</v>
      </c>
      <c r="J6" s="202">
        <v>0.35</v>
      </c>
    </row>
    <row r="7" spans="1:26" ht="31.5">
      <c r="B7" s="199" t="s">
        <v>296</v>
      </c>
      <c r="C7" s="200">
        <f>+'DATOS INICIALES'!H13</f>
        <v>2</v>
      </c>
      <c r="D7" s="200" t="s">
        <v>289</v>
      </c>
      <c r="E7" s="201">
        <f t="shared" si="1"/>
        <v>141346.89406051807</v>
      </c>
      <c r="F7" s="201">
        <f t="shared" si="2"/>
        <v>282693.78812103614</v>
      </c>
      <c r="G7" s="152">
        <f>'MATRIZ VENTA'!$E$33</f>
        <v>197885.65168472528</v>
      </c>
      <c r="H7" s="152">
        <f t="shared" si="3"/>
        <v>282693.78812103614</v>
      </c>
      <c r="I7" s="152">
        <f t="shared" si="0"/>
        <v>84808.136436310859</v>
      </c>
      <c r="J7" s="202">
        <v>0.3</v>
      </c>
    </row>
    <row r="8" spans="1:26" ht="31.5">
      <c r="B8" s="199" t="s">
        <v>297</v>
      </c>
      <c r="C8" s="200">
        <f>+'DATOS INICIALES'!H19</f>
        <v>2</v>
      </c>
      <c r="D8" s="200" t="s">
        <v>298</v>
      </c>
      <c r="E8" s="201">
        <f t="shared" si="1"/>
        <v>152219.73206517327</v>
      </c>
      <c r="F8" s="201">
        <f t="shared" si="2"/>
        <v>304439.46413034655</v>
      </c>
      <c r="G8" s="152">
        <f>'MATRIZ VENTA'!$E$44</f>
        <v>197885.65168472528</v>
      </c>
      <c r="H8" s="152">
        <f t="shared" si="3"/>
        <v>304439.46413034655</v>
      </c>
      <c r="I8" s="152">
        <f t="shared" si="0"/>
        <v>106553.81244562127</v>
      </c>
      <c r="J8" s="202">
        <v>0.35</v>
      </c>
    </row>
    <row r="9" spans="1:26" ht="15.75" hidden="1">
      <c r="B9" s="199" t="s">
        <v>168</v>
      </c>
      <c r="C9" s="200">
        <v>1</v>
      </c>
      <c r="D9" s="200" t="s">
        <v>289</v>
      </c>
      <c r="E9" s="201">
        <f t="shared" ref="E9:E10" si="4">+F9/C9</f>
        <v>0</v>
      </c>
      <c r="F9" s="201">
        <f t="shared" si="2"/>
        <v>0</v>
      </c>
      <c r="G9" s="152">
        <f>+'MATRIZ VENTA'!E49</f>
        <v>0</v>
      </c>
      <c r="H9" s="152">
        <f t="shared" si="3"/>
        <v>0</v>
      </c>
      <c r="I9" s="152">
        <f t="shared" si="0"/>
        <v>0</v>
      </c>
      <c r="J9" s="203">
        <v>0</v>
      </c>
    </row>
    <row r="10" spans="1:26" ht="15.75">
      <c r="B10" s="199" t="s">
        <v>317</v>
      </c>
      <c r="C10" s="200">
        <v>1</v>
      </c>
      <c r="D10" s="200" t="s">
        <v>289</v>
      </c>
      <c r="E10" s="201">
        <f t="shared" si="4"/>
        <v>252472.5</v>
      </c>
      <c r="F10" s="201">
        <f t="shared" si="2"/>
        <v>252472.5</v>
      </c>
      <c r="G10" s="152">
        <f>SUM('MATRIZ VENTA'!E50:E52)</f>
        <v>252472.5</v>
      </c>
      <c r="H10" s="152">
        <f t="shared" si="3"/>
        <v>252472.5</v>
      </c>
      <c r="I10" s="152">
        <f t="shared" si="0"/>
        <v>0</v>
      </c>
      <c r="J10" s="203">
        <v>0</v>
      </c>
    </row>
    <row r="11" spans="1:26" ht="15.75">
      <c r="B11" s="196"/>
      <c r="C11" s="196"/>
      <c r="D11" s="197"/>
      <c r="E11" s="153" t="s">
        <v>290</v>
      </c>
      <c r="F11" s="198">
        <f>SUM(F5:F10)</f>
        <v>1163159.1689728224</v>
      </c>
      <c r="G11" s="155">
        <f>SUM(G5:G10)</f>
        <v>858553.52423838642</v>
      </c>
      <c r="H11" s="155">
        <f>+F11</f>
        <v>1163159.1689728224</v>
      </c>
      <c r="I11" s="152">
        <f t="shared" si="0"/>
        <v>304605.64473443595</v>
      </c>
      <c r="J11" s="192">
        <f>IFERROR(I11/H11,"0%")</f>
        <v>0.26187786922010942</v>
      </c>
    </row>
    <row r="12" spans="1:26" ht="15.75">
      <c r="A12" s="39"/>
      <c r="B12" s="156"/>
      <c r="C12" s="39"/>
      <c r="D12" s="39"/>
      <c r="E12" s="153" t="s">
        <v>322</v>
      </c>
      <c r="F12" s="198">
        <f>+F11*19%</f>
        <v>221000.24210483624</v>
      </c>
      <c r="G12" s="39"/>
      <c r="H12" s="152">
        <f>+F12</f>
        <v>221000.24210483624</v>
      </c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5.75">
      <c r="A13" s="39"/>
      <c r="B13" s="39"/>
      <c r="C13" s="39"/>
      <c r="D13" s="39"/>
      <c r="E13" s="153" t="s">
        <v>321</v>
      </c>
      <c r="F13" s="198">
        <f>+F11+F12</f>
        <v>1384159.4110776586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>
      <c r="A14" s="39"/>
      <c r="B14" s="39"/>
      <c r="C14" s="39"/>
      <c r="D14" s="39"/>
      <c r="E14" s="39"/>
      <c r="F14" s="158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>
      <c r="A15" s="39"/>
      <c r="B15" s="152"/>
      <c r="C15" s="15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>
      <c r="A16" s="39"/>
      <c r="B16" s="152"/>
      <c r="C16" s="15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>
      <c r="A17" s="39"/>
      <c r="B17" s="152"/>
      <c r="C17" s="15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>
      <c r="A18" s="39"/>
      <c r="B18" s="155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5.7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5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5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5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5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5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5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5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5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5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5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5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5.75" customHeight="1"/>
    <row r="104" spans="1:26" ht="15.75" customHeight="1"/>
    <row r="105" spans="1:26" ht="15.75" customHeight="1"/>
    <row r="106" spans="1:26" ht="15.75" customHeight="1"/>
    <row r="107" spans="1:26" ht="15.75" customHeight="1"/>
    <row r="108" spans="1:26" ht="15.75" customHeight="1"/>
    <row r="109" spans="1:26" ht="15.75" customHeight="1"/>
    <row r="110" spans="1:26" ht="15.75" customHeight="1"/>
    <row r="111" spans="1:26" ht="15.75" customHeight="1"/>
    <row r="112" spans="1:2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activeCell="G16" sqref="G16"/>
    </sheetView>
  </sheetViews>
  <sheetFormatPr baseColWidth="10" defaultColWidth="14.42578125" defaultRowHeight="15" customHeight="1"/>
  <cols>
    <col min="1" max="1" width="11.5703125" customWidth="1"/>
    <col min="2" max="2" width="13" customWidth="1"/>
    <col min="3" max="3" width="14.5703125" customWidth="1"/>
    <col min="4" max="26" width="11.5703125" customWidth="1"/>
  </cols>
  <sheetData>
    <row r="1" spans="1:26" ht="15.75">
      <c r="A1" s="160" t="s">
        <v>169</v>
      </c>
      <c r="B1" s="154">
        <v>181651.25159999999</v>
      </c>
    </row>
    <row r="2" spans="1:26" ht="15.75">
      <c r="A2" s="160" t="s">
        <v>291</v>
      </c>
      <c r="B2" s="154">
        <v>599364.0850657894</v>
      </c>
    </row>
    <row r="3" spans="1:26" ht="15.75">
      <c r="A3" s="160" t="s">
        <v>292</v>
      </c>
      <c r="B3" s="154">
        <v>345729.53835000005</v>
      </c>
    </row>
    <row r="4" spans="1:26">
      <c r="B4" s="158">
        <f>SUM(B1:B3)</f>
        <v>1126744.8750157894</v>
      </c>
      <c r="C4" s="157">
        <v>1076321.2090657894</v>
      </c>
    </row>
    <row r="5" spans="1:26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5.7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5.7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5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5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5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5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5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5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5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5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5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5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5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5.75" customHeight="1"/>
    <row r="59" spans="1:26" ht="15.75" customHeight="1"/>
    <row r="60" spans="1:26" ht="15.75" customHeight="1"/>
    <row r="61" spans="1:26" ht="15.75" customHeight="1"/>
    <row r="62" spans="1:26" ht="15.75" customHeight="1"/>
    <row r="63" spans="1:26" ht="15.75" customHeight="1"/>
    <row r="64" spans="1:2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INICIALES</vt:lpstr>
      <vt:lpstr>DATA PERSONAL</vt:lpstr>
      <vt:lpstr>SALARIOS</vt:lpstr>
      <vt:lpstr>TRANSPORTES</vt:lpstr>
      <vt:lpstr>DATOS INSU</vt:lpstr>
      <vt:lpstr>MATRIZ VENTA</vt:lpstr>
      <vt:lpstr>Oferta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ingenieria3</cp:lastModifiedBy>
  <dcterms:created xsi:type="dcterms:W3CDTF">2022-07-22T21:53:14Z</dcterms:created>
  <dcterms:modified xsi:type="dcterms:W3CDTF">2025-10-09T16:48:35Z</dcterms:modified>
</cp:coreProperties>
</file>